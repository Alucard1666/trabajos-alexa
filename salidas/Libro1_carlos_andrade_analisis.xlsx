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mensual" sheetId="1" state="visible" r:id="rId3"/>
    <sheet name="Por qué 94.827" sheetId="2" state="visible" r:id="rId4"/>
    <sheet name="carlos andra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<sst xmlns="http://schemas.openxmlformats.org/spreadsheetml/2006/main" count="932" uniqueCount="391">
  <si>
    <t xml:space="preserve">Cuenta 13659501 OTROS — Carlos Andrade: movimiento y saldo por mes</t>
  </si>
  <si>
    <t xml:space="preserve">Mes</t>
  </si>
  <si>
    <t xml:space="preserve">Débitos (cobros)</t>
  </si>
  <si>
    <t xml:space="preserve">Créditos (descuentos)</t>
  </si>
  <si>
    <t xml:space="preserve">Neto del mes</t>
  </si>
  <si>
    <t xml:space="preserve">Saldo a fin de mes</t>
  </si>
  <si>
    <t xml:space="preserve">Estado</t>
  </si>
  <si>
    <t xml:space="preserve">Cambio vs mes anterior</t>
  </si>
  <si>
    <t xml:space="preserve">Total</t>
  </si>
  <si>
    <t xml:space="preserve">¿De dónde salen los $94.827 al 30/09/2026?</t>
  </si>
  <si>
    <t xml:space="preserve">Concepto</t>
  </si>
  <si>
    <t xml:space="preserve">Valor</t>
  </si>
  <si>
    <t xml:space="preserve">Qué pasó</t>
  </si>
  <si>
    <t xml:space="preserve">Saldo a 31/07/2026 (antes del ajuste)</t>
  </si>
  <si>
    <t xml:space="preserve">Descuentos de póliza de vehículo/exequial superiores a lo amortizado/facturado desde sep-2025</t>
  </si>
  <si>
    <t xml:space="preserve">+ NT-12625 del 31/08/26 "Corrección tercero NTE 12088"</t>
  </si>
  <si>
    <t xml:space="preserve">Débito: amortizaciones (35.700, 131.733, 142.268, cada una x2) pasadas a este tercero</t>
  </si>
  <si>
    <t xml:space="preserve">+ FSC-11290 del 27/08/26 póliza moto (62.590) cobrada y no descontada en agosto</t>
  </si>
  <si>
    <t xml:space="preserve">En agosto la quincena solo descontó 117.897 (carro + exequial), sin la moto. En septiembre se descontó la de septiembre</t>
  </si>
  <si>
    <t xml:space="preserve">± Otros movimientos de ago-sep 2026 (septiembre cobro 190.990 vs descuento 190.991, etc.)</t>
  </si>
  <si>
    <t xml:space="preserve">Diferencia de redondeo</t>
  </si>
  <si>
    <t xml:space="preserve">− NF-355 del 30/09/26 descuento póliza de salud (feb-mar-abr)</t>
  </si>
  <si>
    <t xml:space="preserve">Las facturas de salud (FSC-9538 y 9539, 91.984) ya habían sido anuladas con las NC de abril (NT-12434 y 12435). Este descuento queda sin cobro que lo respalde</t>
  </si>
  <si>
    <t xml:space="preserve">Saldo al 30/09/2026 (resultado)</t>
  </si>
  <si>
    <t xml:space="preserve">Reparto del resultado (sin el descuento de salud): 186.810 corresponden a vehículo/exequial y −91.983 al descuento de salud sin cobro.</t>
  </si>
  <si>
    <t xml:space="preserve">Saldo inicial a</t>
  </si>
  <si>
    <t xml:space="preserve">Saldo final a</t>
  </si>
  <si>
    <t xml:space="preserve">Fecha</t>
  </si>
  <si>
    <t xml:space="preserve">Documento</t>
  </si>
  <si>
    <t xml:space="preserve">C.O.</t>
  </si>
  <si>
    <t xml:space="preserve">U.N.</t>
  </si>
  <si>
    <t xml:space="preserve">1/01/2020</t>
  </si>
  <si>
    <t xml:space="preserve">Débitos</t>
  </si>
  <si>
    <t xml:space="preserve">Créditos</t>
  </si>
  <si>
    <t xml:space="preserve">30/09/2026</t>
  </si>
  <si>
    <t xml:space="preserve">13659501</t>
  </si>
  <si>
    <t xml:space="preserve">                  OTROS                                   </t>
  </si>
  <si>
    <t xml:space="preserve"> 94504468          ANDRADE IMBACHI CARLOS</t>
  </si>
  <si>
    <t xml:space="preserve">001-NQ-00000499</t>
  </si>
  <si>
    <t xml:space="preserve">001</t>
  </si>
  <si>
    <t xml:space="preserve">99</t>
  </si>
  <si>
    <t xml:space="preserve"> - 1a QUINCENA NOVIEMBRE DE 2022</t>
  </si>
  <si>
    <t xml:space="preserve">001-NB-00001817</t>
  </si>
  <si>
    <t xml:space="preserve"> - REG,PAGO FACTURA COMPRA DE SEGUROS OBLIGATORIO CORPORATIVO NSI MES DE OCTUBRE 2022</t>
  </si>
  <si>
    <t xml:space="preserve">001-FSC-00003312</t>
  </si>
  <si>
    <t xml:space="preserve"> - REG,FACTURA COMPRA DE SEGUROS OBLIGATORIO CORPORATIVO N S I MES DE NOV 2022</t>
  </si>
  <si>
    <t xml:space="preserve">001-NQ-00000503</t>
  </si>
  <si>
    <t xml:space="preserve"> - 1a QUINCENA DICIEMBRE DE 2022</t>
  </si>
  <si>
    <t xml:space="preserve">001-LV-00000062</t>
  </si>
  <si>
    <t xml:space="preserve"> - VACACIONES COLECTIVAS 2022</t>
  </si>
  <si>
    <t xml:space="preserve">001-FSC-00003369</t>
  </si>
  <si>
    <t xml:space="preserve"> - REG,FACTURA COMPRA DE SEGUROS OBLIGATORIO CORPORATIVO N S I MES DE DIC 2022</t>
  </si>
  <si>
    <t xml:space="preserve">001-NQ-00000505</t>
  </si>
  <si>
    <t xml:space="preserve"> - 1a QUINCENA ENERO DE 2023</t>
  </si>
  <si>
    <t xml:space="preserve">001-FSC-00003456</t>
  </si>
  <si>
    <t xml:space="preserve"> - FACTURA COMPRA SEGUROS VEHICULOS CORPORATIVO N S I MES DE ENERO 2023</t>
  </si>
  <si>
    <t xml:space="preserve">001-NQ-00000509</t>
  </si>
  <si>
    <t xml:space="preserve"> - 1a Quincena Febrero 2023</t>
  </si>
  <si>
    <t xml:space="preserve">001-FSC-00003510</t>
  </si>
  <si>
    <t xml:space="preserve"> - COMRA SEGUROS VEHICULOS CORPORATIVO N S I MES DE FEBRERO 2023</t>
  </si>
  <si>
    <t xml:space="preserve">001-NQ-00000513</t>
  </si>
  <si>
    <t xml:space="preserve"> - 1a Quincena Marzo de 2023</t>
  </si>
  <si>
    <t xml:space="preserve">001-FSC-00003591</t>
  </si>
  <si>
    <t xml:space="preserve"> - COMPRA SEGUROS VEHICULO CORPORATIVOS NSI MARZO 2023</t>
  </si>
  <si>
    <t xml:space="preserve">001-NQ-00000516</t>
  </si>
  <si>
    <t xml:space="preserve"> - 1aQuincena y Vaca Abril 2023</t>
  </si>
  <si>
    <t xml:space="preserve">001-FSC-00003636</t>
  </si>
  <si>
    <t xml:space="preserve"> - SEGURO CORPORATIVO VEHICULOS NSI MES ABRIL 2023</t>
  </si>
  <si>
    <t xml:space="preserve">001-FSC-00003703</t>
  </si>
  <si>
    <t xml:space="preserve"> - SEG CORPORATIVO VEH NSI MAYO 2023</t>
  </si>
  <si>
    <t xml:space="preserve">001-NQ-00000518</t>
  </si>
  <si>
    <t xml:space="preserve"> - 1a Quincena Mayo de 2023</t>
  </si>
  <si>
    <t xml:space="preserve">001-FSC-00003785</t>
  </si>
  <si>
    <t xml:space="preserve"> - SEGURO VEHICULAR CORPORATIVO JUNIO 2023</t>
  </si>
  <si>
    <t xml:space="preserve">001-NQ-00000520</t>
  </si>
  <si>
    <t xml:space="preserve"> - 1a Quincena Junio de 2023</t>
  </si>
  <si>
    <t xml:space="preserve">001-FSC-00003888</t>
  </si>
  <si>
    <t xml:space="preserve"> - SEGURO VEHICULAR CORPORATIVO JULIO 2023</t>
  </si>
  <si>
    <t xml:space="preserve">001-NQ-00000523</t>
  </si>
  <si>
    <t xml:space="preserve"> - 1a Quincena Julio de 2023</t>
  </si>
  <si>
    <t xml:space="preserve">001-NQ-00000526</t>
  </si>
  <si>
    <t xml:space="preserve"> - 1A QUINCENA AGOSTO DE 2023</t>
  </si>
  <si>
    <t xml:space="preserve">001-FSC-00003958</t>
  </si>
  <si>
    <t xml:space="preserve"> - SEGURO VEHICULAR CORPORATIVO AGOSTO 2023</t>
  </si>
  <si>
    <t xml:space="preserve">001-NQ-00000529</t>
  </si>
  <si>
    <t xml:space="preserve"> - 1a Quincena Septiembre de 2023</t>
  </si>
  <si>
    <t xml:space="preserve">001-FSC-00004090</t>
  </si>
  <si>
    <t xml:space="preserve"> - SEGURO DE VIDA CORPORATIVO SEP 2023</t>
  </si>
  <si>
    <t xml:space="preserve">001-NQ-00000530</t>
  </si>
  <si>
    <t xml:space="preserve"> - 2a Quincena Septiembre de 2023</t>
  </si>
  <si>
    <t xml:space="preserve">001-NQ-00000532</t>
  </si>
  <si>
    <t xml:space="preserve"> - 1a Quincena Octubre de 2023</t>
  </si>
  <si>
    <t xml:space="preserve">001-FSC-00004171</t>
  </si>
  <si>
    <t xml:space="preserve"> - SEGURO VEHICULAR CORPORATIVO OCT 2023</t>
  </si>
  <si>
    <t xml:space="preserve">001-NQ-00000535</t>
  </si>
  <si>
    <t xml:space="preserve"> - 1a Quincena Noviembre de 2023</t>
  </si>
  <si>
    <t xml:space="preserve">001-FSC-00004255</t>
  </si>
  <si>
    <t xml:space="preserve"> - SEGURO VEHICULAR CORPORATIVO NOV 2023</t>
  </si>
  <si>
    <t xml:space="preserve">001-FSC-00004328</t>
  </si>
  <si>
    <t xml:space="preserve"> - SEGURO VEHICULAR CORPORATIVO DIC 2023</t>
  </si>
  <si>
    <t xml:space="preserve">001-NQ-00000540</t>
  </si>
  <si>
    <t xml:space="preserve"> - 1a Quincena Diciembre de 2023</t>
  </si>
  <si>
    <t xml:space="preserve">001-LV-00000063</t>
  </si>
  <si>
    <t xml:space="preserve"> - VACACIONES COLECTIVAS 2023</t>
  </si>
  <si>
    <t xml:space="preserve">001-NT-00010979</t>
  </si>
  <si>
    <t xml:space="preserve"> - RECLASIF CUENTA 13659501 DESC VEHICULAR POR DESC ANTICIPADO EN DIC 2023</t>
  </si>
  <si>
    <t xml:space="preserve">001-FSC-00004423</t>
  </si>
  <si>
    <t xml:space="preserve"> - SEGURO VEHICULAR CORPORATIVO ENERO 2024</t>
  </si>
  <si>
    <t xml:space="preserve">001-NT-00010999</t>
  </si>
  <si>
    <t xml:space="preserve"> - RECLASIF NT 10979 ENERO 2024</t>
  </si>
  <si>
    <t xml:space="preserve">OK</t>
  </si>
  <si>
    <t xml:space="preserve">001-NQ-00000548</t>
  </si>
  <si>
    <t xml:space="preserve"> - 1a QUincena Febrero de 2024</t>
  </si>
  <si>
    <t xml:space="preserve">001-FSC-00004495</t>
  </si>
  <si>
    <t xml:space="preserve"> - DESC SEGURO VEHICULAR CORPORATIVO FEB 2024</t>
  </si>
  <si>
    <t xml:space="preserve">001-NQ-00000552</t>
  </si>
  <si>
    <t xml:space="preserve"> - 1a Quincena Marzo de 2024</t>
  </si>
  <si>
    <t xml:space="preserve">001-NQ-00000554</t>
  </si>
  <si>
    <t xml:space="preserve"> - 2a Quincena Mar 2024 y vacacio</t>
  </si>
  <si>
    <t xml:space="preserve">001-FSC-00004642</t>
  </si>
  <si>
    <t xml:space="preserve"> - DESC SEGURO VEHICULAR MARZO ABRIL 2024</t>
  </si>
  <si>
    <t xml:space="preserve">001-NT-00011157</t>
  </si>
  <si>
    <t xml:space="preserve"> - RECLASIFICACION DE NIT COBRO SEG VEHICULAR MARZ ABRIL 2024</t>
  </si>
  <si>
    <t xml:space="preserve">001-NQ-00000556</t>
  </si>
  <si>
    <t xml:space="preserve"> - 1a Quincena Abril de 2024</t>
  </si>
  <si>
    <t xml:space="preserve">001-FSC-00004691</t>
  </si>
  <si>
    <t xml:space="preserve"> - POLIZA DE SEGURO EXEQUIAL MARZO 2024</t>
  </si>
  <si>
    <t xml:space="preserve">001-NQ-00000558</t>
  </si>
  <si>
    <t xml:space="preserve"> - 2a Quincena Abril de 2024</t>
  </si>
  <si>
    <t xml:space="preserve">001-FSC-00004704</t>
  </si>
  <si>
    <t xml:space="preserve"> - DESC SEGURO VEHICLUAR ABRIL MAYO 2024</t>
  </si>
  <si>
    <t xml:space="preserve">001-FSC-00004815</t>
  </si>
  <si>
    <t xml:space="preserve"> - SEGURO VEHICULAR CORPORATIVO MAYO JUNIO 2024</t>
  </si>
  <si>
    <t xml:space="preserve">001-NQ-00000559</t>
  </si>
  <si>
    <t xml:space="preserve"> - 1a Quicena Mayo de 2024</t>
  </si>
  <si>
    <t xml:space="preserve">001-NQ-00000561</t>
  </si>
  <si>
    <t xml:space="preserve"> - 2a Quincena Mayo 2024</t>
  </si>
  <si>
    <t xml:space="preserve">001-FSC-00004813</t>
  </si>
  <si>
    <t xml:space="preserve"> - POLIZA SEGURO EXEQUIAL MES DE ABRIL 2024</t>
  </si>
  <si>
    <t xml:space="preserve">001-NQ-00000563</t>
  </si>
  <si>
    <t xml:space="preserve"> - 1a Quincena Junio de 2024</t>
  </si>
  <si>
    <t xml:space="preserve">001-FSC-00004874</t>
  </si>
  <si>
    <t xml:space="preserve"> - POLIZA DE VEHICULO COLECTIVA JUN/24</t>
  </si>
  <si>
    <t xml:space="preserve">001-FSC-00004875</t>
  </si>
  <si>
    <t xml:space="preserve"> - PLAN EXEQUIAL EMPLEADOS JUN/24</t>
  </si>
  <si>
    <t xml:space="preserve">001-NQ-00000565</t>
  </si>
  <si>
    <t xml:space="preserve"> - 2a Quincena Junio de 2024</t>
  </si>
  <si>
    <t xml:space="preserve">001-NQ-00000567</t>
  </si>
  <si>
    <t xml:space="preserve"> - 1a Quincena Julio de 2024</t>
  </si>
  <si>
    <t xml:space="preserve">001-FSC-00005008</t>
  </si>
  <si>
    <t xml:space="preserve"> - POLIZA COLECTIVA VEHICULOS JUL/24</t>
  </si>
  <si>
    <t xml:space="preserve">001-NQ-00000569</t>
  </si>
  <si>
    <t xml:space="preserve"> - 2a Quincena Julio de 2024</t>
  </si>
  <si>
    <t xml:space="preserve">001-FSC-00005022</t>
  </si>
  <si>
    <t xml:space="preserve"> - POLIZA SEGURO EXEQUIAL MES DE JUNIO 2024</t>
  </si>
  <si>
    <t xml:space="preserve">001-FSC-00005098</t>
  </si>
  <si>
    <t xml:space="preserve"> - FACT. FP-582606 POLIZA COLECTIVA DE VEHICULOS BEW94G-JWF303 AGO/24</t>
  </si>
  <si>
    <t xml:space="preserve">001-FSC-00005107</t>
  </si>
  <si>
    <t xml:space="preserve"> - FACT. VT-4175232 POLIZA SEGURO EXEQUIAL MES DE JULIO 2024</t>
  </si>
  <si>
    <t xml:space="preserve">001-NQ-00000571</t>
  </si>
  <si>
    <t xml:space="preserve"> - 1a Quincena Agosto de 2024</t>
  </si>
  <si>
    <t xml:space="preserve">001-NQ-00000572</t>
  </si>
  <si>
    <t xml:space="preserve"> - 2a Quincena Agosto de 2024</t>
  </si>
  <si>
    <t xml:space="preserve">001-FSC-00005316</t>
  </si>
  <si>
    <t xml:space="preserve"> - FACT. FP-614994 POLIZA COLECTIVA DE VEHICULOS SEP/24 BEW94G-JWF303</t>
  </si>
  <si>
    <t xml:space="preserve">001-NQ-00000573</t>
  </si>
  <si>
    <t xml:space="preserve"> - 1a QUINCENA SEPIEMBRE DE 2024</t>
  </si>
  <si>
    <t xml:space="preserve">001-FSC-00005597</t>
  </si>
  <si>
    <t xml:space="preserve"> - FACT. VT-5006609 POLIZA SEGURO EXEQUIAL AGO/24</t>
  </si>
  <si>
    <t xml:space="preserve">001-NQ-00000574</t>
  </si>
  <si>
    <t xml:space="preserve"> - 2a Quincena Septiembre de 2024</t>
  </si>
  <si>
    <t xml:space="preserve">001-NQ-00000576</t>
  </si>
  <si>
    <t xml:space="preserve"> - 1a Quincena Octubre de 2024</t>
  </si>
  <si>
    <t xml:space="preserve">001-FSC-00005878</t>
  </si>
  <si>
    <t xml:space="preserve"> - FACT. VT-5819006 POLIZA SEGURO EXEQUIAL SEP/24</t>
  </si>
  <si>
    <t xml:space="preserve">001-NQ-00000577</t>
  </si>
  <si>
    <t xml:space="preserve"> - 2a Quincena Octubre de 2024</t>
  </si>
  <si>
    <t xml:space="preserve">001-NQ-00000578</t>
  </si>
  <si>
    <t xml:space="preserve"> - 1a Quincena Noviembre de 2024</t>
  </si>
  <si>
    <t xml:space="preserve">001-FSC-00006151</t>
  </si>
  <si>
    <t xml:space="preserve"> - FACT. VT-6664575 POLIZA SEGURO EXEQUIAL OCT/24</t>
  </si>
  <si>
    <t xml:space="preserve">001-NQ-00000579</t>
  </si>
  <si>
    <t xml:space="preserve"> - 2a Quincena Noviembre de 2024</t>
  </si>
  <si>
    <t xml:space="preserve">001-NT-00011590</t>
  </si>
  <si>
    <t xml:space="preserve"> - AMORTIZACION DIFERIDOS NOVIEMBRE 2024</t>
  </si>
  <si>
    <t xml:space="preserve">001-NQ-00000582</t>
  </si>
  <si>
    <t xml:space="preserve"> - 1a Quincena Diciembre 2024</t>
  </si>
  <si>
    <t xml:space="preserve">001-FSC-00006479</t>
  </si>
  <si>
    <t xml:space="preserve"> - FACT. VT-7479769 POLIZA SEGURO EXEQUIAL NOV/24</t>
  </si>
  <si>
    <t xml:space="preserve">001-LV-00000064</t>
  </si>
  <si>
    <t xml:space="preserve"> - VACACIONES COLECTIVAS 2024</t>
  </si>
  <si>
    <t xml:space="preserve">001-NT-00011672</t>
  </si>
  <si>
    <t xml:space="preserve"> - AMORTIZACION DIFERIDOS DICIEMBRE 2024</t>
  </si>
  <si>
    <t xml:space="preserve">001-NT-00011690</t>
  </si>
  <si>
    <t xml:space="preserve"> - RECL. PROVSIONAL CTA SALDO INVERSO POR DES. VACACIONES</t>
  </si>
  <si>
    <t xml:space="preserve">ok</t>
  </si>
  <si>
    <t xml:space="preserve">001-FSC-00006605</t>
  </si>
  <si>
    <t xml:space="preserve"> - FACT. VT-8267577 POLIZA SEGURO EXEQUIAL DIC/24</t>
  </si>
  <si>
    <t xml:space="preserve">001-NQ-00000587</t>
  </si>
  <si>
    <t xml:space="preserve"> - 2a Quincena Enero de 2024</t>
  </si>
  <si>
    <t xml:space="preserve">001-NT-00011731</t>
  </si>
  <si>
    <t xml:space="preserve"> - REV. ANTICIPOS DE DESCUENTOS POR VACACIONES</t>
  </si>
  <si>
    <t xml:space="preserve">001-NT-00011739</t>
  </si>
  <si>
    <t xml:space="preserve"> - AMORTIZACION DIFERIDOS ENERO 2025</t>
  </si>
  <si>
    <t xml:space="preserve">001-FSC-00006824</t>
  </si>
  <si>
    <t xml:space="preserve"> - FACT. VT-9117974 SEGURO EXEQUIAL EMPLEADOS ENE/25</t>
  </si>
  <si>
    <t xml:space="preserve">001-NQ-00000588</t>
  </si>
  <si>
    <t xml:space="preserve"> - 1a QUINCENA FEBRERO DE 2025</t>
  </si>
  <si>
    <t xml:space="preserve">001-NQ-00000589</t>
  </si>
  <si>
    <t xml:space="preserve"> - 2A QUINCENA FEB 2025</t>
  </si>
  <si>
    <t xml:space="preserve">001-NT-00011804</t>
  </si>
  <si>
    <t xml:space="preserve"> - AMORTIZACION DIFERIDOS FEB/25</t>
  </si>
  <si>
    <t xml:space="preserve">001-FSC-00007134</t>
  </si>
  <si>
    <t xml:space="preserve"> - FACT. VT-9913505 SEGURO EXEQUIAL EMPLEADOS FEB/25</t>
  </si>
  <si>
    <t xml:space="preserve">001-NQ-00000591</t>
  </si>
  <si>
    <t xml:space="preserve"> - 1a Quincena Marzo de 2025</t>
  </si>
  <si>
    <t xml:space="preserve">001-NQ-00000592</t>
  </si>
  <si>
    <t xml:space="preserve"> - 2a Quincena Marzo 2025</t>
  </si>
  <si>
    <t xml:space="preserve">001-FSC-00007218</t>
  </si>
  <si>
    <t xml:space="preserve"> - FACT. VT-10200935 SEGURO EXEQUIAL EMPLEADOS MAR/25</t>
  </si>
  <si>
    <t xml:space="preserve">001-NT-00011860</t>
  </si>
  <si>
    <t xml:space="preserve"> - AMORTIZACION DIFERIDOS MAR/25</t>
  </si>
  <si>
    <t xml:space="preserve">001-FSC-00007261</t>
  </si>
  <si>
    <t xml:space="preserve"> - FACT. VT-10700239 SEGURO EXEQUIAL EMPLEADOS MAR/25</t>
  </si>
  <si>
    <t xml:space="preserve">001-NT-00011885</t>
  </si>
  <si>
    <t xml:space="preserve"> - APLICA NC NCV-1316851 ABR/25 A FACT. VT-10700239 FSC-7218 MAR/25</t>
  </si>
  <si>
    <t xml:space="preserve">001-FSC-00007270</t>
  </si>
  <si>
    <t xml:space="preserve"> - FACT. VT-10751443 SEGURO EXEQUIAL EMPLEADOS ABR/25</t>
  </si>
  <si>
    <t xml:space="preserve">001-NQ-00000593</t>
  </si>
  <si>
    <t xml:space="preserve"> - 1a Quincena Abril de 2025</t>
  </si>
  <si>
    <t xml:space="preserve">001-NQ-00000596</t>
  </si>
  <si>
    <t xml:space="preserve"> - 2a Quincena Abril de 2025</t>
  </si>
  <si>
    <t xml:space="preserve">001-NT-00011926</t>
  </si>
  <si>
    <t xml:space="preserve"> - AMORTIZACION DIFERIDOS ABRIL/25</t>
  </si>
  <si>
    <t xml:space="preserve">001-NQ-00000597</t>
  </si>
  <si>
    <t xml:space="preserve"> - 1a Quincena Mayo de 2025</t>
  </si>
  <si>
    <t xml:space="preserve">001-FSC-00007505</t>
  </si>
  <si>
    <t xml:space="preserve"> - REG POLIZA EXEQUIAL EMPLEADOS MAYO/25</t>
  </si>
  <si>
    <t xml:space="preserve">001-NQ-00000600</t>
  </si>
  <si>
    <t xml:space="preserve"> - 2a Quincena Mayo de 2025</t>
  </si>
  <si>
    <t xml:space="preserve">001-NF-00000309</t>
  </si>
  <si>
    <t xml:space="preserve"> - REG. AMORTIZACION DIFERIDOS MAYO/25</t>
  </si>
  <si>
    <t xml:space="preserve">001-NQ-00000601</t>
  </si>
  <si>
    <t xml:space="preserve"> - 1a Quincena Junio de 2025</t>
  </si>
  <si>
    <t xml:space="preserve">001-FSC-00007603</t>
  </si>
  <si>
    <t xml:space="preserve"> - REG. POLIZA EXEQUIAL JUN/2025</t>
  </si>
  <si>
    <t xml:space="preserve">001-NQ-00000603</t>
  </si>
  <si>
    <t xml:space="preserve"> - 2a Quincena Junio de 2025</t>
  </si>
  <si>
    <t xml:space="preserve">001-NF-00000310</t>
  </si>
  <si>
    <t xml:space="preserve"> - REG. AMORTIZACION DIFERIDOS JUN 2025</t>
  </si>
  <si>
    <t xml:space="preserve">001-NQ-00000604</t>
  </si>
  <si>
    <t xml:space="preserve"> - 1a Quincena Julio de 2025</t>
  </si>
  <si>
    <t xml:space="preserve">001-NQ-00000605</t>
  </si>
  <si>
    <t xml:space="preserve"> - 2a Quincena Julio de 2025</t>
  </si>
  <si>
    <t xml:space="preserve">001-NT-00011988</t>
  </si>
  <si>
    <t xml:space="preserve"> - REG. AMORTIZACION DIFERIDOS JUL 2025</t>
  </si>
  <si>
    <t xml:space="preserve">001-FSC-00007790</t>
  </si>
  <si>
    <t xml:space="preserve"> - REG. POLIZA EXEQUIAL JULIO/2025</t>
  </si>
  <si>
    <t xml:space="preserve">001-FSC-00007884</t>
  </si>
  <si>
    <t xml:space="preserve"> - VT 14184848 POLIZA EXEQUIAL PERIODO AGOSTO DE 2025</t>
  </si>
  <si>
    <t xml:space="preserve">001-NQ-00000606</t>
  </si>
  <si>
    <t xml:space="preserve"> - 1a Quincena Agosto de 2025</t>
  </si>
  <si>
    <t xml:space="preserve">001-NQ-00000607</t>
  </si>
  <si>
    <t xml:space="preserve"> - 2a Quincena Agosto de 2025</t>
  </si>
  <si>
    <t xml:space="preserve">001-NT-00012007</t>
  </si>
  <si>
    <t xml:space="preserve"> - REG. AMORTIZACION DIFERIDOS AGO/25</t>
  </si>
  <si>
    <t xml:space="preserve">001-NQ-00000608</t>
  </si>
  <si>
    <t xml:space="preserve"> - 1a Quincena Septiembre de 2025</t>
  </si>
  <si>
    <t xml:space="preserve">001-FSC-00008247</t>
  </si>
  <si>
    <t xml:space="preserve"> - VT 15079486 POLIZA EXEQUIAL PERIODO SEPTIEMBRE DE 2025</t>
  </si>
  <si>
    <t xml:space="preserve">001-NQ-00000609</t>
  </si>
  <si>
    <t xml:space="preserve"> - 2a Quincena Septiembre 2025</t>
  </si>
  <si>
    <t xml:space="preserve">001-NQ-00000610</t>
  </si>
  <si>
    <t xml:space="preserve"> - 1a QUINCENA OCTUBRE DE 2025</t>
  </si>
  <si>
    <t xml:space="preserve">001-FSC-00008474</t>
  </si>
  <si>
    <t xml:space="preserve"> - VT 15079486 POLIZA EXEQUIAL PERIODO OCTUBRE DE 2025</t>
  </si>
  <si>
    <t xml:space="preserve">001-NQ-00000611</t>
  </si>
  <si>
    <t xml:space="preserve"> - 2A QUINCENA OCTUBRE DE 2025</t>
  </si>
  <si>
    <t xml:space="preserve">001-NQ-00000612</t>
  </si>
  <si>
    <t xml:space="preserve"> - 1A QUINCENA NOV 2025</t>
  </si>
  <si>
    <t xml:space="preserve">001-NQ-00000614</t>
  </si>
  <si>
    <t xml:space="preserve"> - 2A QUINCENA NOVIEMBRE DE 2025</t>
  </si>
  <si>
    <t xml:space="preserve">001-FSC-00008837</t>
  </si>
  <si>
    <t xml:space="preserve"> - vt 16830983 POLIZA DE SEGUROS EZEQUIAL PERIODO NOVIEMBRE DE 2025</t>
  </si>
  <si>
    <t xml:space="preserve">001-FSC-00008838</t>
  </si>
  <si>
    <t xml:space="preserve"> - FPO 13773654 POLIZA DE SEGURO DE VEHICULOS EMPLEADOS NRO 900753-609084</t>
  </si>
  <si>
    <t xml:space="preserve">001-NQ-00000617</t>
  </si>
  <si>
    <t xml:space="preserve"> - 1A QUINCENA DICIEMBRE DE 2025</t>
  </si>
  <si>
    <t xml:space="preserve">001-FSC-00008907</t>
  </si>
  <si>
    <t xml:space="preserve"> - FPOM 1000950 POLIZA DE VECHICULO DEL MES DE OCTUBRE DE 2025 FACTURADO EN DIC 2025</t>
  </si>
  <si>
    <t xml:space="preserve">001-FSC-00008908</t>
  </si>
  <si>
    <t xml:space="preserve"> - FPO 13858756 POLIZAS DE VEHICULOS DEL MES DE DICIEMBRE DE 2025</t>
  </si>
  <si>
    <t xml:space="preserve">001-FSC-00008945</t>
  </si>
  <si>
    <t xml:space="preserve"> - vt 17739910 POLIZA EXEQUIAL MES DE DIC DE 2025</t>
  </si>
  <si>
    <t xml:space="preserve">001-LV-00000065</t>
  </si>
  <si>
    <t xml:space="preserve"> - VACACIONES COLECTIVAS 2025</t>
  </si>
  <si>
    <t xml:space="preserve">001-FSC-00009106</t>
  </si>
  <si>
    <t xml:space="preserve"> - FPO-13921068 POLIZA DE VEHICULO DEL 15 DE DIC 2025 AL 15 DE ENERO DE 2026</t>
  </si>
  <si>
    <t xml:space="preserve">001-NT-00012170</t>
  </si>
  <si>
    <t xml:space="preserve"> - COBRO POLIZA DE VEHICULO</t>
  </si>
  <si>
    <t xml:space="preserve">001-NT-00012197</t>
  </si>
  <si>
    <t xml:space="preserve"> - NCFP-1852188 APLICADO A LA FACTURA FPO 1388756 POLIZA DE VEHICULOS-16/12/2025</t>
  </si>
  <si>
    <t xml:space="preserve">001-NT-00012198</t>
  </si>
  <si>
    <t xml:space="preserve"> - NCFP-1852212 APLICADO A LA FACTURA FPO 1388756 POLIZA DE VEHICULOS-16/12/2025</t>
  </si>
  <si>
    <t xml:space="preserve">001-NT-00012199</t>
  </si>
  <si>
    <t xml:space="preserve"> - NCFP-1852224 PARA APLICAR A LA FACTURA FPOM 1000950 POLIZA DE VEHICULO 10-12-2025</t>
  </si>
  <si>
    <t xml:space="preserve">001-NQ-00000619</t>
  </si>
  <si>
    <t xml:space="preserve"> - 1A QUINCENA ENERO DE 2026</t>
  </si>
  <si>
    <t xml:space="preserve">001-NQ-00000620</t>
  </si>
  <si>
    <t xml:space="preserve"> - 2A QUINCENA ENE 2026</t>
  </si>
  <si>
    <t xml:space="preserve">001-FSC-00009330</t>
  </si>
  <si>
    <t xml:space="preserve">001-FSC-00009386</t>
  </si>
  <si>
    <t xml:space="preserve">001-FSC-00009444</t>
  </si>
  <si>
    <t xml:space="preserve"> - FPO-14024607 POLIZA DE VEHICULO DEL 15 DE FEB AL 15 DE MAR DE 2026</t>
  </si>
  <si>
    <t xml:space="preserve">001-NQ-00000622</t>
  </si>
  <si>
    <t xml:space="preserve"> - 1a Quincena Febrero de 2026</t>
  </si>
  <si>
    <t xml:space="preserve">001-FSC-00009471</t>
  </si>
  <si>
    <t xml:space="preserve"> - 901528731 POLIZA EXEQUIAL DEL MES DE FEBRERO DE 2026</t>
  </si>
  <si>
    <t xml:space="preserve">001-FSC-00009538</t>
  </si>
  <si>
    <t xml:space="preserve"> - FV 20911210147 POLIZA DE SALUD COLECTIVO PERIODO 15 ENE AL 15 DE FEB DE 2026</t>
  </si>
  <si>
    <t xml:space="preserve">001-FSC-00009539</t>
  </si>
  <si>
    <t xml:space="preserve"> - FV 20911210851 POLIZA DE SALUD COLECTIVO PERIODO 15 FEB AL 15 DE MAR DE 2026</t>
  </si>
  <si>
    <t xml:space="preserve">001-NQ-00000625</t>
  </si>
  <si>
    <t xml:space="preserve"> - 2a Quincena Febrero de 2026</t>
  </si>
  <si>
    <t xml:space="preserve">001-FSC-00009624</t>
  </si>
  <si>
    <t xml:space="preserve">001-NQ-00000627</t>
  </si>
  <si>
    <t xml:space="preserve"> - 1A QUINCENA MARZO DE 2026</t>
  </si>
  <si>
    <t xml:space="preserve">001-NQ-00000628</t>
  </si>
  <si>
    <t xml:space="preserve"> - 2a Quincena y Vaca Marzo 2026</t>
  </si>
  <si>
    <t xml:space="preserve">001-NQ-00000630</t>
  </si>
  <si>
    <t xml:space="preserve"> - 1A QUINCENA ABRIL DE 2026</t>
  </si>
  <si>
    <t xml:space="preserve">001-FSC-00010132</t>
  </si>
  <si>
    <t xml:space="preserve">001-NQ-00000631</t>
  </si>
  <si>
    <t xml:space="preserve"> - 2A QUINCENA ABRIL DE 2026</t>
  </si>
  <si>
    <t xml:space="preserve">001-NT-00012434</t>
  </si>
  <si>
    <t xml:space="preserve"> - NC 20006598207 APLICADA A LA FACTURA NRO 20911210851 DEL RECIBO 14084521 ERROR FACTURACION POLIZA DE</t>
  </si>
  <si>
    <t xml:space="preserve">001-NT-00012435</t>
  </si>
  <si>
    <t xml:space="preserve"> - NC 20006598206 APLICADA A LA FACTURA NRO 20911210147 DEL RECIBO 14083192 ERROR FACTURACION POLIZA DE</t>
  </si>
  <si>
    <t xml:space="preserve">001-FSC-00010464</t>
  </si>
  <si>
    <t xml:space="preserve"> - FPO-14419306 POLIZA DE VEHICULO DEL 15 DE FEB AL 15 DE MAR DE 2026</t>
  </si>
  <si>
    <t xml:space="preserve">001-NQ-00000632</t>
  </si>
  <si>
    <t xml:space="preserve"> - 1A QUINCENA MAYO DE 2026</t>
  </si>
  <si>
    <t xml:space="preserve">001-NQ-00000633</t>
  </si>
  <si>
    <t xml:space="preserve"> - 2A QUINCENA MAYO DE 2026</t>
  </si>
  <si>
    <t xml:space="preserve">001-FSC-00010607</t>
  </si>
  <si>
    <t xml:space="preserve">001-FSC-00010608</t>
  </si>
  <si>
    <t xml:space="preserve">001-FSC-00010609</t>
  </si>
  <si>
    <t xml:space="preserve">001-FSC-00010707</t>
  </si>
  <si>
    <t xml:space="preserve"> - FPO 14579166 POLIZA DE VEHICULO DEL 15JUN AL 15 DE JUL DE 2026</t>
  </si>
  <si>
    <t xml:space="preserve">001-NQ-00000634</t>
  </si>
  <si>
    <t xml:space="preserve"> - 1a QUINCENA JUNIO DE 2026</t>
  </si>
  <si>
    <t xml:space="preserve">001-FSC-00010732</t>
  </si>
  <si>
    <t xml:space="preserve">001-NT-00012490</t>
  </si>
  <si>
    <t xml:space="preserve">001-NQ-00000637</t>
  </si>
  <si>
    <t xml:space="preserve"> - 2A QUINCENA JUNIO DE 2026</t>
  </si>
  <si>
    <t xml:space="preserve">001-NQ-00000638</t>
  </si>
  <si>
    <t xml:space="preserve"> - 1a Quincena Julio de 2026</t>
  </si>
  <si>
    <t xml:space="preserve">001-FSC-00010945</t>
  </si>
  <si>
    <t xml:space="preserve">001-NQ-00000639</t>
  </si>
  <si>
    <t xml:space="preserve"> - 2A QUINCENA JULIO DE 2026</t>
  </si>
  <si>
    <t xml:space="preserve">001-FSC-00011130</t>
  </si>
  <si>
    <t xml:space="preserve"> - VT 23776318 POLIZA EXEQUIAL PERIODO JULIO DE 2026</t>
  </si>
  <si>
    <t xml:space="preserve">001-NQ-00000640</t>
  </si>
  <si>
    <t xml:space="preserve"> - 1A QUINCENA AGOSTO DE 2026</t>
  </si>
  <si>
    <t xml:space="preserve">001-FSC-00011156</t>
  </si>
  <si>
    <t xml:space="preserve"> - FPOM 1001495 POLIZA DE VEHICULO PERIODO DEL 15 JUL -15 AGO</t>
  </si>
  <si>
    <t xml:space="preserve">001-FSC-00011157</t>
  </si>
  <si>
    <t xml:space="preserve"> - FPOM 14853123 POLIZA DE VEHICULO PERIODO DEL 15 AGO -15 SEP</t>
  </si>
  <si>
    <t xml:space="preserve">001-FSC-00011158</t>
  </si>
  <si>
    <t xml:space="preserve"> - FPOM 1001496 POLIZA DE VEHICULO PERIODO DEL 15 AGO -15 SEP</t>
  </si>
  <si>
    <t xml:space="preserve">001-FSC-00011181</t>
  </si>
  <si>
    <t xml:space="preserve"> - VT 24652525 POLIA DE SEGUROS EXEQUIAL MES DE AGOSTO DE 2026</t>
  </si>
  <si>
    <t xml:space="preserve">001-NT-00012614</t>
  </si>
  <si>
    <t xml:space="preserve"> - NOTA CREDITO NCPM 8196 ANULACION ACTURA FPO 14853123</t>
  </si>
  <si>
    <t xml:space="preserve">001-NT-00012615</t>
  </si>
  <si>
    <t xml:space="preserve"> - NOTA CREDITO NCPM 8195 ANULACION ACTURA FPO 14724906</t>
  </si>
  <si>
    <t xml:space="preserve">001-NQ-00000642</t>
  </si>
  <si>
    <t xml:space="preserve"> - 2a Quincena Agosto de 2026</t>
  </si>
  <si>
    <t xml:space="preserve">001-FSC-00011290</t>
  </si>
  <si>
    <t xml:space="preserve"> - FPO 14923671 POLIZA DE VEHICULO DE MOTOS INGRESO PERIODO DEL 15 AGO A 15 DE SEP 2026</t>
  </si>
  <si>
    <t xml:space="preserve">001-NT-00012625</t>
  </si>
  <si>
    <t xml:space="preserve"> - CORRECCION TERCERO NTE 12088 YA QUE NO SE HABIA REALIZADO LA AMORTIZACION DE LA POLIZA DE VEHICULOS </t>
  </si>
  <si>
    <t xml:space="preserve">001-FSC-00011379</t>
  </si>
  <si>
    <t xml:space="preserve"> - FPO 15013237 POLIZA DE VEHICULO EMPLEADOS PERIODO DEL 15 DE SEP AL 15 DE OCT 2026</t>
  </si>
  <si>
    <t xml:space="preserve">001-NQ-00000643</t>
  </si>
  <si>
    <t xml:space="preserve"> - 1A QUINCENA SEPTIEMBRE DE 2026</t>
  </si>
  <si>
    <t xml:space="preserve">001-NQ-00000644</t>
  </si>
  <si>
    <t xml:space="preserve"> - 2A QUINCENA SEPTIEMBRE DE 2026</t>
  </si>
  <si>
    <t xml:space="preserve">001-FSC-00011564</t>
  </si>
  <si>
    <t xml:space="preserve">001-NF-00000355</t>
  </si>
  <si>
    <t xml:space="preserve"> - DSTO POR NOM POLIZA DE SALUD EN FEBRERO MARZO Y ABRIL DE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</si>
</sst>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#,##0;[RED]\-#,##0"/>
    <numFmt numFmtId="167" formatCode="#,##0"/>
    <numFmt numFmtId="168" formatCode="\$#,##0.00_);&quot;-$&quot;#,##0.00"/>
    <numFmt numFmtId="169" formatCode="d\/mm\/yyyy"/>
    <numFmt numFmtId="170" formatCode="#,##0.00_ ;\-#,##0.00\ "/>
  </numFmts>
  <fonts count="9">
    <font>
      <sz val="10"/>
      <color rgb="FF000000"/>
      <name val="MS Sans Serif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8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ADB9CA"/>
      </patternFill>
    </fill>
    <fill>
      <patternFill patternType="solid">
        <fgColor theme="7" tint="0.3999"/>
        <bgColor rgb="FFF8CBAD"/>
      </patternFill>
    </fill>
    <fill>
      <patternFill patternType="solid">
        <fgColor theme="3" tint="0.5999"/>
        <bgColor rgb="FFB4C7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44866</v>
      </c>
      <c r="B4" s="4" t="n">
        <f aca="false">SUMIFS('carlos andrade'!$J$7:$J$229,'carlos andrade'!$A$7:$A$229,"&gt;="&amp;$A4,'carlos andrade'!$A$7:$A$229,"&lt;"&amp;EDATE($A4,1))</f>
        <v>277936</v>
      </c>
      <c r="C4" s="4" t="n">
        <f aca="false">SUMIFS('carlos andrade'!$K$7:$K$229,'carlos andrade'!$A$7:$A$229,"&gt;="&amp;$A4,'carlos andrade'!$A$7:$A$229,"&lt;"&amp;EDATE($A4,1))</f>
        <v>138968</v>
      </c>
      <c r="D4" s="4" t="n">
        <f aca="false">B4-C4</f>
        <v>138968</v>
      </c>
      <c r="E4" s="4" t="n">
        <f aca="false">D4</f>
        <v>138968</v>
      </c>
      <c r="F4" s="0" t="str">
        <f aca="false">IF(E4=0,"Cuadrado en 0","Diferencia")</f>
        <v>Diferencia</v>
      </c>
      <c r="G4" s="4" t="n">
        <f aca="false">E4</f>
        <v>138968</v>
      </c>
    </row>
    <row r="5" customFormat="false" ht="15" hidden="false" customHeight="false" outlineLevel="0" collapsed="false">
      <c r="A5" s="3" t="n">
        <v>44896</v>
      </c>
      <c r="B5" s="4" t="n">
        <f aca="false">SUMIFS('carlos andrade'!$J$7:$J$229,'carlos andrade'!$A$7:$A$229,"&gt;="&amp;$A5,'carlos andrade'!$A$7:$A$229,"&lt;"&amp;EDATE($A5,1))</f>
        <v>138968</v>
      </c>
      <c r="C5" s="4" t="n">
        <f aca="false">SUMIFS('carlos andrade'!$K$7:$K$229,'carlos andrade'!$A$7:$A$229,"&gt;="&amp;$A5,'carlos andrade'!$A$7:$A$229,"&lt;"&amp;EDATE($A5,1))</f>
        <v>277936</v>
      </c>
      <c r="D5" s="4" t="n">
        <f aca="false">B5-C5</f>
        <v>-138968</v>
      </c>
      <c r="E5" s="4" t="n">
        <f aca="false">E4+D5</f>
        <v>0</v>
      </c>
      <c r="F5" s="0" t="str">
        <f aca="false">IF(E5=0,"Cuadrado en 0","Diferencia")</f>
        <v>Cuadrado en 0</v>
      </c>
      <c r="G5" s="4" t="n">
        <f aca="false">E5-E4</f>
        <v>-138968</v>
      </c>
    </row>
    <row r="6" customFormat="false" ht="15" hidden="false" customHeight="false" outlineLevel="0" collapsed="false">
      <c r="A6" s="3" t="n">
        <v>44927</v>
      </c>
      <c r="B6" s="4" t="n">
        <f aca="false">SUMIFS('carlos andrade'!$J$7:$J$229,'carlos andrade'!$A$7:$A$229,"&gt;="&amp;$A6,'carlos andrade'!$A$7:$A$229,"&lt;"&amp;EDATE($A6,1))</f>
        <v>125504</v>
      </c>
      <c r="C6" s="4" t="n">
        <f aca="false">SUMIFS('carlos andrade'!$K$7:$K$229,'carlos andrade'!$A$7:$A$229,"&gt;="&amp;$A6,'carlos andrade'!$A$7:$A$229,"&lt;"&amp;EDATE($A6,1))</f>
        <v>138968</v>
      </c>
      <c r="D6" s="4" t="n">
        <f aca="false">B6-C6</f>
        <v>-13464</v>
      </c>
      <c r="E6" s="4" t="n">
        <f aca="false">E5+D6</f>
        <v>-13464</v>
      </c>
      <c r="F6" s="0" t="str">
        <f aca="false">IF(E6=0,"Cuadrado en 0","Diferencia")</f>
        <v>Diferencia</v>
      </c>
      <c r="G6" s="4" t="n">
        <f aca="false">E6-E5</f>
        <v>-13464</v>
      </c>
    </row>
    <row r="7" customFormat="false" ht="15" hidden="false" customHeight="false" outlineLevel="0" collapsed="false">
      <c r="A7" s="3" t="n">
        <v>44958</v>
      </c>
      <c r="B7" s="4" t="n">
        <f aca="false">SUMIFS('carlos andrade'!$J$7:$J$229,'carlos andrade'!$A$7:$A$229,"&gt;="&amp;$A7,'carlos andrade'!$A$7:$A$229,"&lt;"&amp;EDATE($A7,1))</f>
        <v>155798</v>
      </c>
      <c r="C7" s="4" t="n">
        <f aca="false">SUMIFS('carlos andrade'!$K$7:$K$229,'carlos andrade'!$A$7:$A$229,"&gt;="&amp;$A7,'carlos andrade'!$A$7:$A$229,"&lt;"&amp;EDATE($A7,1))</f>
        <v>140651</v>
      </c>
      <c r="D7" s="4" t="n">
        <f aca="false">B7-C7</f>
        <v>15147</v>
      </c>
      <c r="E7" s="4" t="n">
        <f aca="false">E6+D7</f>
        <v>1683</v>
      </c>
      <c r="F7" s="0" t="str">
        <f aca="false">IF(E7=0,"Cuadrado en 0","Diferencia")</f>
        <v>Diferencia</v>
      </c>
      <c r="G7" s="4" t="n">
        <f aca="false">E7-E6</f>
        <v>15147</v>
      </c>
    </row>
    <row r="8" customFormat="false" ht="15" hidden="false" customHeight="false" outlineLevel="0" collapsed="false">
      <c r="A8" s="3" t="n">
        <v>44986</v>
      </c>
      <c r="B8" s="4" t="n">
        <f aca="false">SUMIFS('carlos andrade'!$J$7:$J$229,'carlos andrade'!$A$7:$A$229,"&gt;="&amp;$A8,'carlos andrade'!$A$7:$A$229,"&lt;"&amp;EDATE($A8,1))</f>
        <v>140651</v>
      </c>
      <c r="C8" s="4" t="n">
        <f aca="false">SUMIFS('carlos andrade'!$K$7:$K$229,'carlos andrade'!$A$7:$A$229,"&gt;="&amp;$A8,'carlos andrade'!$A$7:$A$229,"&lt;"&amp;EDATE($A8,1))</f>
        <v>140651</v>
      </c>
      <c r="D8" s="4" t="n">
        <f aca="false">B8-C8</f>
        <v>0</v>
      </c>
      <c r="E8" s="4" t="n">
        <f aca="false">E7+D8</f>
        <v>1683</v>
      </c>
      <c r="F8" s="0" t="str">
        <f aca="false">IF(E8=0,"Cuadrado en 0","Diferencia")</f>
        <v>Diferencia</v>
      </c>
      <c r="G8" s="4" t="n">
        <f aca="false">E8-E7</f>
        <v>0</v>
      </c>
    </row>
    <row r="9" customFormat="false" ht="15" hidden="false" customHeight="false" outlineLevel="0" collapsed="false">
      <c r="A9" s="3" t="n">
        <v>45017</v>
      </c>
      <c r="B9" s="4" t="n">
        <f aca="false">SUMIFS('carlos andrade'!$J$7:$J$229,'carlos andrade'!$A$7:$A$229,"&gt;="&amp;$A9,'carlos andrade'!$A$7:$A$229,"&lt;"&amp;EDATE($A9,1))</f>
        <v>140651</v>
      </c>
      <c r="C9" s="4" t="n">
        <f aca="false">SUMIFS('carlos andrade'!$K$7:$K$229,'carlos andrade'!$A$7:$A$229,"&gt;="&amp;$A9,'carlos andrade'!$A$7:$A$229,"&lt;"&amp;EDATE($A9,1))</f>
        <v>140651</v>
      </c>
      <c r="D9" s="4" t="n">
        <f aca="false">B9-C9</f>
        <v>0</v>
      </c>
      <c r="E9" s="4" t="n">
        <f aca="false">E8+D9</f>
        <v>1683</v>
      </c>
      <c r="F9" s="0" t="str">
        <f aca="false">IF(E9=0,"Cuadrado en 0","Diferencia")</f>
        <v>Diferencia</v>
      </c>
      <c r="G9" s="4" t="n">
        <f aca="false">E9-E8</f>
        <v>0</v>
      </c>
    </row>
    <row r="10" customFormat="false" ht="15" hidden="false" customHeight="false" outlineLevel="0" collapsed="false">
      <c r="A10" s="3" t="n">
        <v>45047</v>
      </c>
      <c r="B10" s="4" t="n">
        <f aca="false">SUMIFS('carlos andrade'!$J$7:$J$229,'carlos andrade'!$A$7:$A$229,"&gt;="&amp;$A10,'carlos andrade'!$A$7:$A$229,"&lt;"&amp;EDATE($A10,1))</f>
        <v>140651</v>
      </c>
      <c r="C10" s="4" t="n">
        <f aca="false">SUMIFS('carlos andrade'!$K$7:$K$229,'carlos andrade'!$A$7:$A$229,"&gt;="&amp;$A10,'carlos andrade'!$A$7:$A$229,"&lt;"&amp;EDATE($A10,1))</f>
        <v>140651</v>
      </c>
      <c r="D10" s="4" t="n">
        <f aca="false">B10-C10</f>
        <v>0</v>
      </c>
      <c r="E10" s="4" t="n">
        <f aca="false">E9+D10</f>
        <v>1683</v>
      </c>
      <c r="F10" s="0" t="str">
        <f aca="false">IF(E10=0,"Cuadrado en 0","Diferencia")</f>
        <v>Diferencia</v>
      </c>
      <c r="G10" s="4" t="n">
        <f aca="false">E10-E9</f>
        <v>0</v>
      </c>
    </row>
    <row r="11" customFormat="false" ht="15" hidden="false" customHeight="false" outlineLevel="0" collapsed="false">
      <c r="A11" s="3" t="n">
        <v>45078</v>
      </c>
      <c r="B11" s="4" t="n">
        <f aca="false">SUMIFS('carlos andrade'!$J$7:$J$229,'carlos andrade'!$A$7:$A$229,"&gt;="&amp;$A11,'carlos andrade'!$A$7:$A$229,"&lt;"&amp;EDATE($A11,1))</f>
        <v>140651</v>
      </c>
      <c r="C11" s="4" t="n">
        <f aca="false">SUMIFS('carlos andrade'!$K$7:$K$229,'carlos andrade'!$A$7:$A$229,"&gt;="&amp;$A11,'carlos andrade'!$A$7:$A$229,"&lt;"&amp;EDATE($A11,1))</f>
        <v>140651</v>
      </c>
      <c r="D11" s="4" t="n">
        <f aca="false">B11-C11</f>
        <v>0</v>
      </c>
      <c r="E11" s="4" t="n">
        <f aca="false">E10+D11</f>
        <v>1683</v>
      </c>
      <c r="F11" s="0" t="str">
        <f aca="false">IF(E11=0,"Cuadrado en 0","Diferencia")</f>
        <v>Diferencia</v>
      </c>
      <c r="G11" s="4" t="n">
        <f aca="false">E11-E10</f>
        <v>0</v>
      </c>
    </row>
    <row r="12" customFormat="false" ht="15" hidden="false" customHeight="false" outlineLevel="0" collapsed="false">
      <c r="A12" s="3" t="n">
        <v>45108</v>
      </c>
      <c r="B12" s="4" t="n">
        <f aca="false">SUMIFS('carlos andrade'!$J$7:$J$229,'carlos andrade'!$A$7:$A$229,"&gt;="&amp;$A12,'carlos andrade'!$A$7:$A$229,"&lt;"&amp;EDATE($A12,1))</f>
        <v>140651</v>
      </c>
      <c r="C12" s="4" t="n">
        <f aca="false">SUMIFS('carlos andrade'!$K$7:$K$229,'carlos andrade'!$A$7:$A$229,"&gt;="&amp;$A12,'carlos andrade'!$A$7:$A$229,"&lt;"&amp;EDATE($A12,1))</f>
        <v>140651</v>
      </c>
      <c r="D12" s="4" t="n">
        <f aca="false">B12-C12</f>
        <v>0</v>
      </c>
      <c r="E12" s="4" t="n">
        <f aca="false">E11+D12</f>
        <v>1683</v>
      </c>
      <c r="F12" s="0" t="str">
        <f aca="false">IF(E12=0,"Cuadrado en 0","Diferencia")</f>
        <v>Diferencia</v>
      </c>
      <c r="G12" s="4" t="n">
        <f aca="false">E12-E11</f>
        <v>0</v>
      </c>
    </row>
    <row r="13" customFormat="false" ht="15" hidden="false" customHeight="false" outlineLevel="0" collapsed="false">
      <c r="A13" s="3" t="n">
        <v>45139</v>
      </c>
      <c r="B13" s="4" t="n">
        <f aca="false">SUMIFS('carlos andrade'!$J$7:$J$229,'carlos andrade'!$A$7:$A$229,"&gt;="&amp;$A13,'carlos andrade'!$A$7:$A$229,"&lt;"&amp;EDATE($A13,1))</f>
        <v>140651</v>
      </c>
      <c r="C13" s="4" t="n">
        <f aca="false">SUMIFS('carlos andrade'!$K$7:$K$229,'carlos andrade'!$A$7:$A$229,"&gt;="&amp;$A13,'carlos andrade'!$A$7:$A$229,"&lt;"&amp;EDATE($A13,1))</f>
        <v>142334</v>
      </c>
      <c r="D13" s="4" t="n">
        <f aca="false">B13-C13</f>
        <v>-1683</v>
      </c>
      <c r="E13" s="4" t="n">
        <f aca="false">E12+D13</f>
        <v>0</v>
      </c>
      <c r="F13" s="0" t="str">
        <f aca="false">IF(E13=0,"Cuadrado en 0","Diferencia")</f>
        <v>Cuadrado en 0</v>
      </c>
      <c r="G13" s="4" t="n">
        <f aca="false">E13-E12</f>
        <v>-1683</v>
      </c>
    </row>
    <row r="14" customFormat="false" ht="15" hidden="false" customHeight="false" outlineLevel="0" collapsed="false">
      <c r="A14" s="3" t="n">
        <v>45170</v>
      </c>
      <c r="B14" s="4" t="n">
        <f aca="false">SUMIFS('carlos andrade'!$J$7:$J$229,'carlos andrade'!$A$7:$A$229,"&gt;="&amp;$A14,'carlos andrade'!$A$7:$A$229,"&lt;"&amp;EDATE($A14,1))</f>
        <v>140651</v>
      </c>
      <c r="C14" s="4" t="n">
        <f aca="false">SUMIFS('carlos andrade'!$K$7:$K$229,'carlos andrade'!$A$7:$A$229,"&gt;="&amp;$A14,'carlos andrade'!$A$7:$A$229,"&lt;"&amp;EDATE($A14,1))</f>
        <v>140651</v>
      </c>
      <c r="D14" s="4" t="n">
        <f aca="false">B14-C14</f>
        <v>0</v>
      </c>
      <c r="E14" s="4" t="n">
        <f aca="false">E13+D14</f>
        <v>0</v>
      </c>
      <c r="F14" s="0" t="str">
        <f aca="false">IF(E14=0,"Cuadrado en 0","Diferencia")</f>
        <v>Cuadrado en 0</v>
      </c>
      <c r="G14" s="4" t="n">
        <f aca="false">E14-E13</f>
        <v>0</v>
      </c>
    </row>
    <row r="15" customFormat="false" ht="15" hidden="false" customHeight="false" outlineLevel="0" collapsed="false">
      <c r="A15" s="3" t="n">
        <v>45200</v>
      </c>
      <c r="B15" s="4" t="n">
        <f aca="false">SUMIFS('carlos andrade'!$J$7:$J$229,'carlos andrade'!$A$7:$A$229,"&gt;="&amp;$A15,'carlos andrade'!$A$7:$A$229,"&lt;"&amp;EDATE($A15,1))</f>
        <v>165505</v>
      </c>
      <c r="C15" s="4" t="n">
        <f aca="false">SUMIFS('carlos andrade'!$K$7:$K$229,'carlos andrade'!$A$7:$A$229,"&gt;="&amp;$A15,'carlos andrade'!$A$7:$A$229,"&lt;"&amp;EDATE($A15,1))</f>
        <v>165505</v>
      </c>
      <c r="D15" s="4" t="n">
        <f aca="false">B15-C15</f>
        <v>0</v>
      </c>
      <c r="E15" s="4" t="n">
        <f aca="false">E14+D15</f>
        <v>0</v>
      </c>
      <c r="F15" s="0" t="str">
        <f aca="false">IF(E15=0,"Cuadrado en 0","Diferencia")</f>
        <v>Cuadrado en 0</v>
      </c>
      <c r="G15" s="4" t="n">
        <f aca="false">E15-E14</f>
        <v>0</v>
      </c>
    </row>
    <row r="16" customFormat="false" ht="15" hidden="false" customHeight="false" outlineLevel="0" collapsed="false">
      <c r="A16" s="3" t="n">
        <v>45231</v>
      </c>
      <c r="B16" s="4" t="n">
        <f aca="false">SUMIFS('carlos andrade'!$J$7:$J$229,'carlos andrade'!$A$7:$A$229,"&gt;="&amp;$A16,'carlos andrade'!$A$7:$A$229,"&lt;"&amp;EDATE($A16,1))</f>
        <v>171536</v>
      </c>
      <c r="C16" s="4" t="n">
        <f aca="false">SUMIFS('carlos andrade'!$K$7:$K$229,'carlos andrade'!$A$7:$A$229,"&gt;="&amp;$A16,'carlos andrade'!$A$7:$A$229,"&lt;"&amp;EDATE($A16,1))</f>
        <v>165505</v>
      </c>
      <c r="D16" s="4" t="n">
        <f aca="false">B16-C16</f>
        <v>6031</v>
      </c>
      <c r="E16" s="4" t="n">
        <f aca="false">E15+D16</f>
        <v>6031</v>
      </c>
      <c r="F16" s="0" t="str">
        <f aca="false">IF(E16=0,"Cuadrado en 0","Diferencia")</f>
        <v>Diferencia</v>
      </c>
      <c r="G16" s="4" t="n">
        <f aca="false">E16-E15</f>
        <v>6031</v>
      </c>
    </row>
    <row r="17" customFormat="false" ht="15" hidden="false" customHeight="false" outlineLevel="0" collapsed="false">
      <c r="A17" s="3" t="n">
        <v>45261</v>
      </c>
      <c r="B17" s="4" t="n">
        <f aca="false">SUMIFS('carlos andrade'!$J$7:$J$229,'carlos andrade'!$A$7:$A$229,"&gt;="&amp;$A17,'carlos andrade'!$A$7:$A$229,"&lt;"&amp;EDATE($A17,1))</f>
        <v>343072</v>
      </c>
      <c r="C17" s="4" t="n">
        <f aca="false">SUMIFS('carlos andrade'!$K$7:$K$229,'carlos andrade'!$A$7:$A$229,"&gt;="&amp;$A17,'carlos andrade'!$A$7:$A$229,"&lt;"&amp;EDATE($A17,1))</f>
        <v>349103</v>
      </c>
      <c r="D17" s="4" t="n">
        <f aca="false">B17-C17</f>
        <v>-6031</v>
      </c>
      <c r="E17" s="4" t="n">
        <f aca="false">E16+D17</f>
        <v>0</v>
      </c>
      <c r="F17" s="0" t="str">
        <f aca="false">IF(E17=0,"Cuadrado en 0","Diferencia")</f>
        <v>Cuadrado en 0</v>
      </c>
      <c r="G17" s="4" t="n">
        <f aca="false">E17-E16</f>
        <v>-6031</v>
      </c>
    </row>
    <row r="18" customFormat="false" ht="15" hidden="false" customHeight="false" outlineLevel="0" collapsed="false">
      <c r="A18" s="3" t="n">
        <v>45292</v>
      </c>
      <c r="B18" s="4" t="n">
        <f aca="false">SUMIFS('carlos andrade'!$J$7:$J$229,'carlos andrade'!$A$7:$A$229,"&gt;="&amp;$A18,'carlos andrade'!$A$7:$A$229,"&lt;"&amp;EDATE($A18,1))</f>
        <v>171536</v>
      </c>
      <c r="C18" s="4" t="n">
        <f aca="false">SUMIFS('carlos andrade'!$K$7:$K$229,'carlos andrade'!$A$7:$A$229,"&gt;="&amp;$A18,'carlos andrade'!$A$7:$A$229,"&lt;"&amp;EDATE($A18,1))</f>
        <v>171536</v>
      </c>
      <c r="D18" s="4" t="n">
        <f aca="false">B18-C18</f>
        <v>0</v>
      </c>
      <c r="E18" s="4" t="n">
        <f aca="false">E17+D18</f>
        <v>0</v>
      </c>
      <c r="F18" s="0" t="str">
        <f aca="false">IF(E18=0,"Cuadrado en 0","Diferencia")</f>
        <v>Cuadrado en 0</v>
      </c>
      <c r="G18" s="4" t="n">
        <f aca="false">E18-E17</f>
        <v>0</v>
      </c>
    </row>
    <row r="19" customFormat="false" ht="15" hidden="false" customHeight="false" outlineLevel="0" collapsed="false">
      <c r="A19" s="3" t="n">
        <v>45323</v>
      </c>
      <c r="B19" s="4" t="n">
        <f aca="false">SUMIFS('carlos andrade'!$J$7:$J$229,'carlos andrade'!$A$7:$A$229,"&gt;="&amp;$A19,'carlos andrade'!$A$7:$A$229,"&lt;"&amp;EDATE($A19,1))</f>
        <v>171536</v>
      </c>
      <c r="C19" s="4" t="n">
        <f aca="false">SUMIFS('carlos andrade'!$K$7:$K$229,'carlos andrade'!$A$7:$A$229,"&gt;="&amp;$A19,'carlos andrade'!$A$7:$A$229,"&lt;"&amp;EDATE($A19,1))</f>
        <v>171536</v>
      </c>
      <c r="D19" s="4" t="n">
        <f aca="false">B19-C19</f>
        <v>0</v>
      </c>
      <c r="E19" s="4" t="n">
        <f aca="false">E18+D19</f>
        <v>0</v>
      </c>
      <c r="F19" s="0" t="str">
        <f aca="false">IF(E19=0,"Cuadrado en 0","Diferencia")</f>
        <v>Cuadrado en 0</v>
      </c>
      <c r="G19" s="4" t="n">
        <f aca="false">E19-E18</f>
        <v>0</v>
      </c>
    </row>
    <row r="20" customFormat="false" ht="15" hidden="false" customHeight="false" outlineLevel="0" collapsed="false">
      <c r="A20" s="3" t="n">
        <v>45352</v>
      </c>
      <c r="B20" s="4" t="n">
        <f aca="false">SUMIFS('carlos andrade'!$J$7:$J$229,'carlos andrade'!$A$7:$A$229,"&gt;="&amp;$A20,'carlos andrade'!$A$7:$A$229,"&lt;"&amp;EDATE($A20,1))</f>
        <v>338630</v>
      </c>
      <c r="C20" s="4" t="n">
        <f aca="false">SUMIFS('carlos andrade'!$K$7:$K$229,'carlos andrade'!$A$7:$A$229,"&gt;="&amp;$A20,'carlos andrade'!$A$7:$A$229,"&lt;"&amp;EDATE($A20,1))</f>
        <v>357630</v>
      </c>
      <c r="D20" s="4" t="n">
        <f aca="false">B20-C20</f>
        <v>-19000</v>
      </c>
      <c r="E20" s="4" t="n">
        <f aca="false">E19+D20</f>
        <v>-19000</v>
      </c>
      <c r="F20" s="0" t="str">
        <f aca="false">IF(E20=0,"Cuadrado en 0","Diferencia")</f>
        <v>Diferencia</v>
      </c>
      <c r="G20" s="4" t="n">
        <f aca="false">E20-E19</f>
        <v>-19000</v>
      </c>
    </row>
    <row r="21" customFormat="false" ht="15" hidden="false" customHeight="false" outlineLevel="0" collapsed="false">
      <c r="A21" s="3" t="n">
        <v>45383</v>
      </c>
      <c r="B21" s="4" t="n">
        <f aca="false">SUMIFS('carlos andrade'!$J$7:$J$229,'carlos andrade'!$A$7:$A$229,"&gt;="&amp;$A21,'carlos andrade'!$A$7:$A$229,"&lt;"&amp;EDATE($A21,1))</f>
        <v>190536</v>
      </c>
      <c r="C21" s="4" t="n">
        <f aca="false">SUMIFS('carlos andrade'!$K$7:$K$229,'carlos andrade'!$A$7:$A$229,"&gt;="&amp;$A21,'carlos andrade'!$A$7:$A$229,"&lt;"&amp;EDATE($A21,1))</f>
        <v>190536</v>
      </c>
      <c r="D21" s="4" t="n">
        <f aca="false">B21-C21</f>
        <v>0</v>
      </c>
      <c r="E21" s="4" t="n">
        <f aca="false">E20+D21</f>
        <v>-19000</v>
      </c>
      <c r="F21" s="0" t="str">
        <f aca="false">IF(E21=0,"Cuadrado en 0","Diferencia")</f>
        <v>Diferencia</v>
      </c>
      <c r="G21" s="4" t="n">
        <f aca="false">E21-E20</f>
        <v>0</v>
      </c>
    </row>
    <row r="22" customFormat="false" ht="15" hidden="false" customHeight="false" outlineLevel="0" collapsed="false">
      <c r="A22" s="3" t="n">
        <v>45413</v>
      </c>
      <c r="B22" s="4" t="n">
        <f aca="false">SUMIFS('carlos andrade'!$J$7:$J$229,'carlos andrade'!$A$7:$A$229,"&gt;="&amp;$A22,'carlos andrade'!$A$7:$A$229,"&lt;"&amp;EDATE($A22,1))</f>
        <v>190536</v>
      </c>
      <c r="C22" s="4" t="n">
        <f aca="false">SUMIFS('carlos andrade'!$K$7:$K$229,'carlos andrade'!$A$7:$A$229,"&gt;="&amp;$A22,'carlos andrade'!$A$7:$A$229,"&lt;"&amp;EDATE($A22,1))</f>
        <v>190536</v>
      </c>
      <c r="D22" s="4" t="n">
        <f aca="false">B22-C22</f>
        <v>0</v>
      </c>
      <c r="E22" s="4" t="n">
        <f aca="false">E21+D22</f>
        <v>-19000</v>
      </c>
      <c r="F22" s="0" t="str">
        <f aca="false">IF(E22=0,"Cuadrado en 0","Diferencia")</f>
        <v>Diferencia</v>
      </c>
      <c r="G22" s="4" t="n">
        <f aca="false">E22-E21</f>
        <v>0</v>
      </c>
    </row>
    <row r="23" customFormat="false" ht="15" hidden="false" customHeight="false" outlineLevel="0" collapsed="false">
      <c r="A23" s="3" t="n">
        <v>45444</v>
      </c>
      <c r="B23" s="4" t="n">
        <f aca="false">SUMIFS('carlos andrade'!$J$7:$J$229,'carlos andrade'!$A$7:$A$229,"&gt;="&amp;$A23,'carlos andrade'!$A$7:$A$229,"&lt;"&amp;EDATE($A23,1))</f>
        <v>190536</v>
      </c>
      <c r="C23" s="4" t="n">
        <f aca="false">SUMIFS('carlos andrade'!$K$7:$K$229,'carlos andrade'!$A$7:$A$229,"&gt;="&amp;$A23,'carlos andrade'!$A$7:$A$229,"&lt;"&amp;EDATE($A23,1))</f>
        <v>190536</v>
      </c>
      <c r="D23" s="4" t="n">
        <f aca="false">B23-C23</f>
        <v>0</v>
      </c>
      <c r="E23" s="4" t="n">
        <f aca="false">E22+D23</f>
        <v>-19000</v>
      </c>
      <c r="F23" s="0" t="str">
        <f aca="false">IF(E23=0,"Cuadrado en 0","Diferencia")</f>
        <v>Diferencia</v>
      </c>
      <c r="G23" s="4" t="n">
        <f aca="false">E23-E22</f>
        <v>0</v>
      </c>
    </row>
    <row r="24" customFormat="false" ht="15" hidden="false" customHeight="false" outlineLevel="0" collapsed="false">
      <c r="A24" s="3" t="n">
        <v>45474</v>
      </c>
      <c r="B24" s="4" t="n">
        <f aca="false">SUMIFS('carlos andrade'!$J$7:$J$229,'carlos andrade'!$A$7:$A$229,"&gt;="&amp;$A24,'carlos andrade'!$A$7:$A$229,"&lt;"&amp;EDATE($A24,1))</f>
        <v>190536</v>
      </c>
      <c r="C24" s="4" t="n">
        <f aca="false">SUMIFS('carlos andrade'!$K$7:$K$229,'carlos andrade'!$A$7:$A$229,"&gt;="&amp;$A24,'carlos andrade'!$A$7:$A$229,"&lt;"&amp;EDATE($A24,1))</f>
        <v>190536</v>
      </c>
      <c r="D24" s="4" t="n">
        <f aca="false">B24-C24</f>
        <v>0</v>
      </c>
      <c r="E24" s="4" t="n">
        <f aca="false">E23+D24</f>
        <v>-19000</v>
      </c>
      <c r="F24" s="0" t="str">
        <f aca="false">IF(E24=0,"Cuadrado en 0","Diferencia")</f>
        <v>Diferencia</v>
      </c>
      <c r="G24" s="4" t="n">
        <f aca="false">E24-E23</f>
        <v>0</v>
      </c>
    </row>
    <row r="25" customFormat="false" ht="15" hidden="false" customHeight="false" outlineLevel="0" collapsed="false">
      <c r="A25" s="3" t="n">
        <v>45505</v>
      </c>
      <c r="B25" s="4" t="n">
        <f aca="false">SUMIFS('carlos andrade'!$J$7:$J$229,'carlos andrade'!$A$7:$A$229,"&gt;="&amp;$A25,'carlos andrade'!$A$7:$A$229,"&lt;"&amp;EDATE($A25,1))</f>
        <v>190536</v>
      </c>
      <c r="C25" s="4" t="n">
        <f aca="false">SUMIFS('carlos andrade'!$K$7:$K$229,'carlos andrade'!$A$7:$A$229,"&gt;="&amp;$A25,'carlos andrade'!$A$7:$A$229,"&lt;"&amp;EDATE($A25,1))</f>
        <v>190536</v>
      </c>
      <c r="D25" s="4" t="n">
        <f aca="false">B25-C25</f>
        <v>0</v>
      </c>
      <c r="E25" s="4" t="n">
        <f aca="false">E24+D25</f>
        <v>-19000</v>
      </c>
      <c r="F25" s="0" t="str">
        <f aca="false">IF(E25=0,"Cuadrado en 0","Diferencia")</f>
        <v>Diferencia</v>
      </c>
      <c r="G25" s="4" t="n">
        <f aca="false">E25-E24</f>
        <v>0</v>
      </c>
    </row>
    <row r="26" customFormat="false" ht="15" hidden="false" customHeight="false" outlineLevel="0" collapsed="false">
      <c r="A26" s="3" t="n">
        <v>45536</v>
      </c>
      <c r="B26" s="4" t="n">
        <f aca="false">SUMIFS('carlos andrade'!$J$7:$J$229,'carlos andrade'!$A$7:$A$229,"&gt;="&amp;$A26,'carlos andrade'!$A$7:$A$229,"&lt;"&amp;EDATE($A26,1))</f>
        <v>190536</v>
      </c>
      <c r="C26" s="4" t="n">
        <f aca="false">SUMIFS('carlos andrade'!$K$7:$K$229,'carlos andrade'!$A$7:$A$229,"&gt;="&amp;$A26,'carlos andrade'!$A$7:$A$229,"&lt;"&amp;EDATE($A26,1))</f>
        <v>130226</v>
      </c>
      <c r="D26" s="4" t="n">
        <f aca="false">B26-C26</f>
        <v>60310</v>
      </c>
      <c r="E26" s="4" t="n">
        <f aca="false">E25+D26</f>
        <v>41310</v>
      </c>
      <c r="F26" s="0" t="str">
        <f aca="false">IF(E26=0,"Cuadrado en 0","Diferencia")</f>
        <v>Diferencia</v>
      </c>
      <c r="G26" s="4" t="n">
        <f aca="false">E26-E25</f>
        <v>60310</v>
      </c>
    </row>
    <row r="27" customFormat="false" ht="15" hidden="false" customHeight="false" outlineLevel="0" collapsed="false">
      <c r="A27" s="3" t="n">
        <v>45566</v>
      </c>
      <c r="B27" s="4" t="n">
        <f aca="false">SUMIFS('carlos andrade'!$J$7:$J$229,'carlos andrade'!$A$7:$A$229,"&gt;="&amp;$A27,'carlos andrade'!$A$7:$A$229,"&lt;"&amp;EDATE($A27,1))</f>
        <v>19000</v>
      </c>
      <c r="C27" s="4" t="n">
        <f aca="false">SUMIFS('carlos andrade'!$K$7:$K$229,'carlos andrade'!$A$7:$A$229,"&gt;="&amp;$A27,'carlos andrade'!$A$7:$A$229,"&lt;"&amp;EDATE($A27,1))</f>
        <v>186433</v>
      </c>
      <c r="D27" s="4" t="n">
        <f aca="false">B27-C27</f>
        <v>-167433</v>
      </c>
      <c r="E27" s="4" t="n">
        <f aca="false">E26+D27</f>
        <v>-126123</v>
      </c>
      <c r="F27" s="0" t="str">
        <f aca="false">IF(E27=0,"Cuadrado en 0","Diferencia")</f>
        <v>Diferencia</v>
      </c>
      <c r="G27" s="4" t="n">
        <f aca="false">E27-E26</f>
        <v>-167433</v>
      </c>
    </row>
    <row r="28" customFormat="false" ht="15" hidden="false" customHeight="false" outlineLevel="0" collapsed="false">
      <c r="A28" s="3" t="n">
        <v>45597</v>
      </c>
      <c r="B28" s="4" t="n">
        <f aca="false">SUMIFS('carlos andrade'!$J$7:$J$229,'carlos andrade'!$A$7:$A$229,"&gt;="&amp;$A28,'carlos andrade'!$A$7:$A$229,"&lt;"&amp;EDATE($A28,1))</f>
        <v>186433</v>
      </c>
      <c r="C28" s="4" t="n">
        <f aca="false">SUMIFS('carlos andrade'!$K$7:$K$229,'carlos andrade'!$A$7:$A$229,"&gt;="&amp;$A28,'carlos andrade'!$A$7:$A$229,"&lt;"&amp;EDATE($A28,1))</f>
        <v>186433</v>
      </c>
      <c r="D28" s="4" t="n">
        <f aca="false">B28-C28</f>
        <v>0</v>
      </c>
      <c r="E28" s="4" t="n">
        <f aca="false">E27+D28</f>
        <v>-126123</v>
      </c>
      <c r="F28" s="0" t="str">
        <f aca="false">IF(E28=0,"Cuadrado en 0","Diferencia")</f>
        <v>Diferencia</v>
      </c>
      <c r="G28" s="4" t="n">
        <f aca="false">E28-E27</f>
        <v>0</v>
      </c>
    </row>
    <row r="29" customFormat="false" ht="15" hidden="false" customHeight="false" outlineLevel="0" collapsed="false">
      <c r="A29" s="3" t="n">
        <v>45627</v>
      </c>
      <c r="B29" s="4" t="n">
        <f aca="false">SUMIFS('carlos andrade'!$J$7:$J$229,'carlos andrade'!$A$7:$A$229,"&gt;="&amp;$A29,'carlos andrade'!$A$7:$A$229,"&lt;"&amp;EDATE($A29,1))</f>
        <v>549799</v>
      </c>
      <c r="C29" s="4" t="n">
        <f aca="false">SUMIFS('carlos andrade'!$K$7:$K$229,'carlos andrade'!$A$7:$A$229,"&gt;="&amp;$A29,'carlos andrade'!$A$7:$A$229,"&lt;"&amp;EDATE($A29,1))</f>
        <v>423676</v>
      </c>
      <c r="D29" s="4" t="n">
        <f aca="false">B29-C29</f>
        <v>126123</v>
      </c>
      <c r="E29" s="4" t="n">
        <f aca="false">E28+D29</f>
        <v>0</v>
      </c>
      <c r="F29" s="0" t="str">
        <f aca="false">IF(E29=0,"Cuadrado en 0","Diferencia")</f>
        <v>Cuadrado en 0</v>
      </c>
      <c r="G29" s="4" t="n">
        <f aca="false">E29-E28</f>
        <v>126123</v>
      </c>
    </row>
    <row r="30" customFormat="false" ht="15" hidden="false" customHeight="false" outlineLevel="0" collapsed="false">
      <c r="A30" s="3" t="n">
        <v>45658</v>
      </c>
      <c r="B30" s="4" t="n">
        <f aca="false">SUMIFS('carlos andrade'!$J$7:$J$229,'carlos andrade'!$A$7:$A$229,"&gt;="&amp;$A30,'carlos andrade'!$A$7:$A$229,"&lt;"&amp;EDATE($A30,1))</f>
        <v>186433</v>
      </c>
      <c r="C30" s="4" t="n">
        <f aca="false">SUMIFS('carlos andrade'!$K$7:$K$229,'carlos andrade'!$A$7:$A$229,"&gt;="&amp;$A30,'carlos andrade'!$A$7:$A$229,"&lt;"&amp;EDATE($A30,1))</f>
        <v>372866</v>
      </c>
      <c r="D30" s="4" t="n">
        <f aca="false">B30-C30</f>
        <v>-186433</v>
      </c>
      <c r="E30" s="4" t="n">
        <f aca="false">E29+D30</f>
        <v>-186433</v>
      </c>
      <c r="F30" s="0" t="str">
        <f aca="false">IF(E30=0,"Cuadrado en 0","Diferencia")</f>
        <v>Diferencia</v>
      </c>
      <c r="G30" s="4" t="n">
        <f aca="false">E30-E29</f>
        <v>-186433</v>
      </c>
    </row>
    <row r="31" customFormat="false" ht="15" hidden="false" customHeight="false" outlineLevel="0" collapsed="false">
      <c r="A31" s="3" t="n">
        <v>45689</v>
      </c>
      <c r="B31" s="4" t="n">
        <f aca="false">SUMIFS('carlos andrade'!$J$7:$J$229,'carlos andrade'!$A$7:$A$229,"&gt;="&amp;$A31,'carlos andrade'!$A$7:$A$229,"&lt;"&amp;EDATE($A31,1))</f>
        <v>186433</v>
      </c>
      <c r="C31" s="4" t="n">
        <f aca="false">SUMIFS('carlos andrade'!$K$7:$K$229,'carlos andrade'!$A$7:$A$229,"&gt;="&amp;$A31,'carlos andrade'!$A$7:$A$229,"&lt;"&amp;EDATE($A31,1))</f>
        <v>186433</v>
      </c>
      <c r="D31" s="4" t="n">
        <f aca="false">B31-C31</f>
        <v>0</v>
      </c>
      <c r="E31" s="4" t="n">
        <f aca="false">E30+D31</f>
        <v>-186433</v>
      </c>
      <c r="F31" s="0" t="str">
        <f aca="false">IF(E31=0,"Cuadrado en 0","Diferencia")</f>
        <v>Diferencia</v>
      </c>
      <c r="G31" s="4" t="n">
        <f aca="false">E31-E30</f>
        <v>0</v>
      </c>
    </row>
    <row r="32" customFormat="false" ht="15" hidden="false" customHeight="false" outlineLevel="0" collapsed="false">
      <c r="A32" s="3" t="n">
        <v>45717</v>
      </c>
      <c r="B32" s="4" t="n">
        <f aca="false">SUMIFS('carlos andrade'!$J$7:$J$229,'carlos andrade'!$A$7:$A$229,"&gt;="&amp;$A32,'carlos andrade'!$A$7:$A$229,"&lt;"&amp;EDATE($A32,1))</f>
        <v>206421</v>
      </c>
      <c r="C32" s="4" t="n">
        <f aca="false">SUMIFS('carlos andrade'!$K$7:$K$229,'carlos andrade'!$A$7:$A$229,"&gt;="&amp;$A32,'carlos andrade'!$A$7:$A$229,"&lt;"&amp;EDATE($A32,1))</f>
        <v>186433</v>
      </c>
      <c r="D32" s="4" t="n">
        <f aca="false">B32-C32</f>
        <v>19988</v>
      </c>
      <c r="E32" s="4" t="n">
        <f aca="false">E31+D32</f>
        <v>-166445</v>
      </c>
      <c r="F32" s="0" t="str">
        <f aca="false">IF(E32=0,"Cuadrado en 0","Diferencia")</f>
        <v>Diferencia</v>
      </c>
      <c r="G32" s="4" t="n">
        <f aca="false">E32-E31</f>
        <v>19988</v>
      </c>
    </row>
    <row r="33" customFormat="false" ht="15" hidden="false" customHeight="false" outlineLevel="0" collapsed="false">
      <c r="A33" s="3" t="n">
        <v>45748</v>
      </c>
      <c r="B33" s="4" t="n">
        <f aca="false">SUMIFS('carlos andrade'!$J$7:$J$229,'carlos andrade'!$A$7:$A$229,"&gt;="&amp;$A33,'carlos andrade'!$A$7:$A$229,"&lt;"&amp;EDATE($A33,1))</f>
        <v>207409</v>
      </c>
      <c r="C33" s="4" t="n">
        <f aca="false">SUMIFS('carlos andrade'!$K$7:$K$229,'carlos andrade'!$A$7:$A$229,"&gt;="&amp;$A33,'carlos andrade'!$A$7:$A$229,"&lt;"&amp;EDATE($A33,1))</f>
        <v>208397</v>
      </c>
      <c r="D33" s="4" t="n">
        <f aca="false">B33-C33</f>
        <v>-988</v>
      </c>
      <c r="E33" s="4" t="n">
        <f aca="false">E32+D33</f>
        <v>-167433</v>
      </c>
      <c r="F33" s="0" t="str">
        <f aca="false">IF(E33=0,"Cuadrado en 0","Diferencia")</f>
        <v>Diferencia</v>
      </c>
      <c r="G33" s="4" t="n">
        <f aca="false">E33-E32</f>
        <v>-988</v>
      </c>
    </row>
    <row r="34" customFormat="false" ht="15" hidden="false" customHeight="false" outlineLevel="0" collapsed="false">
      <c r="A34" s="3" t="n">
        <v>45778</v>
      </c>
      <c r="B34" s="4" t="n">
        <f aca="false">SUMIFS('carlos andrade'!$J$7:$J$229,'carlos andrade'!$A$7:$A$229,"&gt;="&amp;$A34,'carlos andrade'!$A$7:$A$229,"&lt;"&amp;EDATE($A34,1))</f>
        <v>187421</v>
      </c>
      <c r="C34" s="4" t="n">
        <f aca="false">SUMIFS('carlos andrade'!$K$7:$K$229,'carlos andrade'!$A$7:$A$229,"&gt;="&amp;$A34,'carlos andrade'!$A$7:$A$229,"&lt;"&amp;EDATE($A34,1))</f>
        <v>187421</v>
      </c>
      <c r="D34" s="4" t="n">
        <f aca="false">B34-C34</f>
        <v>0</v>
      </c>
      <c r="E34" s="4" t="n">
        <f aca="false">E33+D34</f>
        <v>-167433</v>
      </c>
      <c r="F34" s="0" t="str">
        <f aca="false">IF(E34=0,"Cuadrado en 0","Diferencia")</f>
        <v>Diferencia</v>
      </c>
      <c r="G34" s="4" t="n">
        <f aca="false">E34-E33</f>
        <v>0</v>
      </c>
    </row>
    <row r="35" customFormat="false" ht="15" hidden="false" customHeight="false" outlineLevel="0" collapsed="false">
      <c r="A35" s="3" t="n">
        <v>45809</v>
      </c>
      <c r="B35" s="4" t="n">
        <f aca="false">SUMIFS('carlos andrade'!$J$7:$J$229,'carlos andrade'!$A$7:$A$229,"&gt;="&amp;$A35,'carlos andrade'!$A$7:$A$229,"&lt;"&amp;EDATE($A35,1))</f>
        <v>187421</v>
      </c>
      <c r="C35" s="4" t="n">
        <f aca="false">SUMIFS('carlos andrade'!$K$7:$K$229,'carlos andrade'!$A$7:$A$229,"&gt;="&amp;$A35,'carlos andrade'!$A$7:$A$229,"&lt;"&amp;EDATE($A35,1))</f>
        <v>187421</v>
      </c>
      <c r="D35" s="4" t="n">
        <f aca="false">B35-C35</f>
        <v>0</v>
      </c>
      <c r="E35" s="4" t="n">
        <f aca="false">E34+D35</f>
        <v>-167433</v>
      </c>
      <c r="F35" s="0" t="str">
        <f aca="false">IF(E35=0,"Cuadrado en 0","Diferencia")</f>
        <v>Diferencia</v>
      </c>
      <c r="G35" s="4" t="n">
        <f aca="false">E35-E34</f>
        <v>0</v>
      </c>
    </row>
    <row r="36" customFormat="false" ht="15" hidden="false" customHeight="false" outlineLevel="0" collapsed="false">
      <c r="A36" s="3" t="n">
        <v>45839</v>
      </c>
      <c r="B36" s="4" t="n">
        <f aca="false">SUMIFS('carlos andrade'!$J$7:$J$229,'carlos andrade'!$A$7:$A$229,"&gt;="&amp;$A36,'carlos andrade'!$A$7:$A$229,"&lt;"&amp;EDATE($A36,1))</f>
        <v>167433</v>
      </c>
      <c r="C36" s="4" t="n">
        <f aca="false">SUMIFS('carlos andrade'!$K$7:$K$229,'carlos andrade'!$A$7:$A$229,"&gt;="&amp;$A36,'carlos andrade'!$A$7:$A$229,"&lt;"&amp;EDATE($A36,1))</f>
        <v>187421</v>
      </c>
      <c r="D36" s="4" t="n">
        <f aca="false">B36-C36</f>
        <v>-19988</v>
      </c>
      <c r="E36" s="4" t="n">
        <f aca="false">E35+D36</f>
        <v>-187421</v>
      </c>
      <c r="F36" s="0" t="str">
        <f aca="false">IF(E36=0,"Cuadrado en 0","Diferencia")</f>
        <v>Diferencia</v>
      </c>
      <c r="G36" s="4" t="n">
        <f aca="false">E36-E35</f>
        <v>-19988</v>
      </c>
    </row>
    <row r="37" customFormat="false" ht="15" hidden="false" customHeight="false" outlineLevel="0" collapsed="false">
      <c r="A37" s="3" t="n">
        <v>45870</v>
      </c>
      <c r="B37" s="4" t="n">
        <f aca="false">SUMIFS('carlos andrade'!$J$7:$J$229,'carlos andrade'!$A$7:$A$229,"&gt;="&amp;$A37,'carlos andrade'!$A$7:$A$229,"&lt;"&amp;EDATE($A37,1))</f>
        <v>207409</v>
      </c>
      <c r="C37" s="4" t="n">
        <f aca="false">SUMIFS('carlos andrade'!$K$7:$K$229,'carlos andrade'!$A$7:$A$229,"&gt;="&amp;$A37,'carlos andrade'!$A$7:$A$229,"&lt;"&amp;EDATE($A37,1))</f>
        <v>187421</v>
      </c>
      <c r="D37" s="4" t="n">
        <f aca="false">B37-C37</f>
        <v>19988</v>
      </c>
      <c r="E37" s="4" t="n">
        <f aca="false">E36+D37</f>
        <v>-167433</v>
      </c>
      <c r="F37" s="0" t="str">
        <f aca="false">IF(E37=0,"Cuadrado en 0","Diferencia")</f>
        <v>Diferencia</v>
      </c>
      <c r="G37" s="4" t="n">
        <f aca="false">E37-E36</f>
        <v>19988</v>
      </c>
    </row>
    <row r="38" customFormat="false" ht="15" hidden="false" customHeight="false" outlineLevel="0" collapsed="false">
      <c r="A38" s="3" t="n">
        <v>45901</v>
      </c>
      <c r="B38" s="4" t="n">
        <f aca="false">SUMIFS('carlos andrade'!$J$7:$J$229,'carlos andrade'!$A$7:$A$229,"&gt;="&amp;$A38,'carlos andrade'!$A$7:$A$229,"&lt;"&amp;EDATE($A38,1))</f>
        <v>19988</v>
      </c>
      <c r="C38" s="4" t="n">
        <f aca="false">SUMIFS('carlos andrade'!$K$7:$K$229,'carlos andrade'!$A$7:$A$229,"&gt;="&amp;$A38,'carlos andrade'!$A$7:$A$229,"&lt;"&amp;EDATE($A38,1))</f>
        <v>187421</v>
      </c>
      <c r="D38" s="4" t="n">
        <f aca="false">B38-C38</f>
        <v>-167433</v>
      </c>
      <c r="E38" s="4" t="n">
        <f aca="false">E37+D38</f>
        <v>-334866</v>
      </c>
      <c r="F38" s="0" t="str">
        <f aca="false">IF(E38=0,"Cuadrado en 0","Diferencia")</f>
        <v>Diferencia</v>
      </c>
      <c r="G38" s="4" t="n">
        <f aca="false">E38-E37</f>
        <v>-167433</v>
      </c>
    </row>
    <row r="39" customFormat="false" ht="15" hidden="false" customHeight="false" outlineLevel="0" collapsed="false">
      <c r="A39" s="3" t="n">
        <v>45931</v>
      </c>
      <c r="B39" s="4" t="n">
        <f aca="false">SUMIFS('carlos andrade'!$J$7:$J$229,'carlos andrade'!$A$7:$A$229,"&gt;="&amp;$A39,'carlos andrade'!$A$7:$A$229,"&lt;"&amp;EDATE($A39,1))</f>
        <v>19988</v>
      </c>
      <c r="C39" s="4" t="n">
        <f aca="false">SUMIFS('carlos andrade'!$K$7:$K$229,'carlos andrade'!$A$7:$A$229,"&gt;="&amp;$A39,'carlos andrade'!$A$7:$A$229,"&lt;"&amp;EDATE($A39,1))</f>
        <v>19988</v>
      </c>
      <c r="D39" s="4" t="n">
        <f aca="false">B39-C39</f>
        <v>0</v>
      </c>
      <c r="E39" s="4" t="n">
        <f aca="false">E38+D39</f>
        <v>-334866</v>
      </c>
      <c r="F39" s="0" t="str">
        <f aca="false">IF(E39=0,"Cuadrado en 0","Diferencia")</f>
        <v>Diferencia</v>
      </c>
      <c r="G39" s="4" t="n">
        <f aca="false">E39-E38</f>
        <v>0</v>
      </c>
    </row>
    <row r="40" customFormat="false" ht="15" hidden="false" customHeight="false" outlineLevel="0" collapsed="false">
      <c r="A40" s="3" t="n">
        <v>45962</v>
      </c>
      <c r="B40" s="4" t="n">
        <f aca="false">SUMIFS('carlos andrade'!$J$7:$J$229,'carlos andrade'!$A$7:$A$229,"&gt;="&amp;$A40,'carlos andrade'!$A$7:$A$229,"&lt;"&amp;EDATE($A40,1))</f>
        <v>180300</v>
      </c>
      <c r="C40" s="4" t="n">
        <f aca="false">SUMIFS('carlos andrade'!$K$7:$K$229,'carlos andrade'!$A$7:$A$229,"&gt;="&amp;$A40,'carlos andrade'!$A$7:$A$229,"&lt;"&amp;EDATE($A40,1))</f>
        <v>180300</v>
      </c>
      <c r="D40" s="4" t="n">
        <f aca="false">B40-C40</f>
        <v>0</v>
      </c>
      <c r="E40" s="4" t="n">
        <f aca="false">E39+D40</f>
        <v>-334866</v>
      </c>
      <c r="F40" s="0" t="str">
        <f aca="false">IF(E40=0,"Cuadrado en 0","Diferencia")</f>
        <v>Diferencia</v>
      </c>
      <c r="G40" s="4" t="n">
        <f aca="false">E40-E39</f>
        <v>0</v>
      </c>
    </row>
    <row r="41" customFormat="false" ht="15" hidden="false" customHeight="false" outlineLevel="0" collapsed="false">
      <c r="A41" s="3" t="n">
        <v>45992</v>
      </c>
      <c r="B41" s="4" t="n">
        <f aca="false">SUMIFS('carlos andrade'!$J$7:$J$229,'carlos andrade'!$A$7:$A$229,"&gt;="&amp;$A41,'carlos andrade'!$A$7:$A$229,"&lt;"&amp;EDATE($A41,1))</f>
        <v>500924</v>
      </c>
      <c r="C41" s="4" t="n">
        <f aca="false">SUMIFS('carlos andrade'!$K$7:$K$229,'carlos andrade'!$A$7:$A$229,"&gt;="&amp;$A41,'carlos andrade'!$A$7:$A$229,"&lt;"&amp;EDATE($A41,1))</f>
        <v>671230</v>
      </c>
      <c r="D41" s="4" t="n">
        <f aca="false">B41-C41</f>
        <v>-170306</v>
      </c>
      <c r="E41" s="4" t="n">
        <f aca="false">E40+D41</f>
        <v>-505172</v>
      </c>
      <c r="F41" s="0" t="str">
        <f aca="false">IF(E41=0,"Cuadrado en 0","Diferencia")</f>
        <v>Diferencia</v>
      </c>
      <c r="G41" s="4" t="n">
        <f aca="false">E41-E40</f>
        <v>-170306</v>
      </c>
    </row>
    <row r="42" customFormat="false" ht="15" hidden="false" customHeight="false" outlineLevel="0" collapsed="false">
      <c r="A42" s="3" t="n">
        <v>46023</v>
      </c>
      <c r="B42" s="4" t="n">
        <f aca="false">SUMIFS('carlos andrade'!$J$7:$J$229,'carlos andrade'!$A$7:$A$229,"&gt;="&amp;$A42,'carlos andrade'!$A$7:$A$229,"&lt;"&amp;EDATE($A42,1))</f>
        <v>19988</v>
      </c>
      <c r="C42" s="4" t="n">
        <f aca="false">SUMIFS('carlos andrade'!$K$7:$K$229,'carlos andrade'!$A$7:$A$229,"&gt;="&amp;$A42,'carlos andrade'!$A$7:$A$229,"&lt;"&amp;EDATE($A42,1))</f>
        <v>170306</v>
      </c>
      <c r="D42" s="4" t="n">
        <f aca="false">B42-C42</f>
        <v>-150318</v>
      </c>
      <c r="E42" s="4" t="n">
        <f aca="false">E41+D42</f>
        <v>-655490</v>
      </c>
      <c r="F42" s="0" t="str">
        <f aca="false">IF(E42=0,"Cuadrado en 0","Diferencia")</f>
        <v>Diferencia</v>
      </c>
      <c r="G42" s="4" t="n">
        <f aca="false">E42-E41</f>
        <v>-150318</v>
      </c>
    </row>
    <row r="43" customFormat="false" ht="15" hidden="false" customHeight="false" outlineLevel="0" collapsed="false">
      <c r="A43" s="3" t="n">
        <v>46054</v>
      </c>
      <c r="B43" s="4" t="n">
        <f aca="false">SUMIFS('carlos andrade'!$J$7:$J$229,'carlos andrade'!$A$7:$A$229,"&gt;="&amp;$A43,'carlos andrade'!$A$7:$A$229,"&lt;"&amp;EDATE($A43,1))</f>
        <v>379677</v>
      </c>
      <c r="C43" s="4" t="n">
        <f aca="false">SUMIFS('carlos andrade'!$K$7:$K$229,'carlos andrade'!$A$7:$A$229,"&gt;="&amp;$A43,'carlos andrade'!$A$7:$A$229,"&lt;"&amp;EDATE($A43,1))</f>
        <v>180300</v>
      </c>
      <c r="D43" s="4" t="n">
        <f aca="false">B43-C43</f>
        <v>199377</v>
      </c>
      <c r="E43" s="4" t="n">
        <f aca="false">E42+D43</f>
        <v>-456113</v>
      </c>
      <c r="F43" s="0" t="str">
        <f aca="false">IF(E43=0,"Cuadrado en 0","Diferencia")</f>
        <v>Diferencia</v>
      </c>
      <c r="G43" s="4" t="n">
        <f aca="false">E43-E42</f>
        <v>199377</v>
      </c>
    </row>
    <row r="44" customFormat="false" ht="15" hidden="false" customHeight="false" outlineLevel="0" collapsed="false">
      <c r="A44" s="3" t="n">
        <v>46082</v>
      </c>
      <c r="B44" s="4" t="n">
        <f aca="false">SUMIFS('carlos andrade'!$J$7:$J$229,'carlos andrade'!$A$7:$A$229,"&gt;="&amp;$A44,'carlos andrade'!$A$7:$A$229,"&lt;"&amp;EDATE($A44,1))</f>
        <v>160312</v>
      </c>
      <c r="C44" s="4" t="n">
        <f aca="false">SUMIFS('carlos andrade'!$K$7:$K$229,'carlos andrade'!$A$7:$A$229,"&gt;="&amp;$A44,'carlos andrade'!$A$7:$A$229,"&lt;"&amp;EDATE($A44,1))</f>
        <v>180300</v>
      </c>
      <c r="D44" s="4" t="n">
        <f aca="false">B44-C44</f>
        <v>-19988</v>
      </c>
      <c r="E44" s="4" t="n">
        <f aca="false">E43+D44</f>
        <v>-476101</v>
      </c>
      <c r="F44" s="0" t="str">
        <f aca="false">IF(E44=0,"Cuadrado en 0","Diferencia")</f>
        <v>Diferencia</v>
      </c>
      <c r="G44" s="4" t="n">
        <f aca="false">E44-E43</f>
        <v>-19988</v>
      </c>
    </row>
    <row r="45" customFormat="false" ht="15" hidden="false" customHeight="false" outlineLevel="0" collapsed="false">
      <c r="A45" s="3" t="n">
        <v>46113</v>
      </c>
      <c r="B45" s="4" t="n">
        <f aca="false">SUMIFS('carlos andrade'!$J$7:$J$229,'carlos andrade'!$A$7:$A$229,"&gt;="&amp;$A45,'carlos andrade'!$A$7:$A$229,"&lt;"&amp;EDATE($A45,1))</f>
        <v>160312</v>
      </c>
      <c r="C45" s="4" t="n">
        <f aca="false">SUMIFS('carlos andrade'!$K$7:$K$229,'carlos andrade'!$A$7:$A$229,"&gt;="&amp;$A45,'carlos andrade'!$A$7:$A$229,"&lt;"&amp;EDATE($A45,1))</f>
        <v>272284</v>
      </c>
      <c r="D45" s="4" t="n">
        <f aca="false">B45-C45</f>
        <v>-111972</v>
      </c>
      <c r="E45" s="4" t="n">
        <f aca="false">E44+D45</f>
        <v>-588073</v>
      </c>
      <c r="F45" s="0" t="str">
        <f aca="false">IF(E45=0,"Cuadrado en 0","Diferencia")</f>
        <v>Diferencia</v>
      </c>
      <c r="G45" s="4" t="n">
        <f aca="false">E45-E44</f>
        <v>-111972</v>
      </c>
    </row>
    <row r="46" customFormat="false" ht="15" hidden="false" customHeight="false" outlineLevel="0" collapsed="false">
      <c r="A46" s="3" t="n">
        <v>46143</v>
      </c>
      <c r="B46" s="4" t="n">
        <f aca="false">SUMIFS('carlos andrade'!$J$7:$J$229,'carlos andrade'!$A$7:$A$229,"&gt;="&amp;$A46,'carlos andrade'!$A$7:$A$229,"&lt;"&amp;EDATE($A46,1))</f>
        <v>223333</v>
      </c>
      <c r="C46" s="4" t="n">
        <f aca="false">SUMIFS('carlos andrade'!$K$7:$K$229,'carlos andrade'!$A$7:$A$229,"&gt;="&amp;$A46,'carlos andrade'!$A$7:$A$229,"&lt;"&amp;EDATE($A46,1))</f>
        <v>180300</v>
      </c>
      <c r="D46" s="4" t="n">
        <f aca="false">B46-C46</f>
        <v>43033</v>
      </c>
      <c r="E46" s="4" t="n">
        <f aca="false">E45+D46</f>
        <v>-545040</v>
      </c>
      <c r="F46" s="0" t="str">
        <f aca="false">IF(E46=0,"Cuadrado en 0","Diferencia")</f>
        <v>Diferencia</v>
      </c>
      <c r="G46" s="4" t="n">
        <f aca="false">E46-E45</f>
        <v>43033</v>
      </c>
    </row>
    <row r="47" customFormat="false" ht="15" hidden="false" customHeight="false" outlineLevel="0" collapsed="false">
      <c r="A47" s="3" t="n">
        <v>46174</v>
      </c>
      <c r="B47" s="4" t="n">
        <f aca="false">SUMIFS('carlos andrade'!$J$7:$J$229,'carlos andrade'!$A$7:$A$229,"&gt;="&amp;$A47,'carlos andrade'!$A$7:$A$229,"&lt;"&amp;EDATE($A47,1))</f>
        <v>234238</v>
      </c>
      <c r="C47" s="4" t="n">
        <f aca="false">SUMIFS('carlos andrade'!$K$7:$K$229,'carlos andrade'!$A$7:$A$229,"&gt;="&amp;$A47,'carlos andrade'!$A$7:$A$229,"&lt;"&amp;EDATE($A47,1))</f>
        <v>184377</v>
      </c>
      <c r="D47" s="4" t="n">
        <f aca="false">B47-C47</f>
        <v>49861</v>
      </c>
      <c r="E47" s="4" t="n">
        <f aca="false">E46+D47</f>
        <v>-495179</v>
      </c>
      <c r="F47" s="0" t="str">
        <f aca="false">IF(E47=0,"Cuadrado en 0","Diferencia")</f>
        <v>Diferencia</v>
      </c>
      <c r="G47" s="4" t="n">
        <f aca="false">E47-E46</f>
        <v>49861</v>
      </c>
    </row>
    <row r="48" customFormat="false" ht="15" hidden="false" customHeight="false" outlineLevel="0" collapsed="false">
      <c r="A48" s="3" t="n">
        <v>46204</v>
      </c>
      <c r="B48" s="4" t="n">
        <f aca="false">SUMIFS('carlos andrade'!$J$7:$J$229,'carlos andrade'!$A$7:$A$229,"&gt;="&amp;$A48,'carlos andrade'!$A$7:$A$229,"&lt;"&amp;EDATE($A48,1))</f>
        <v>128400</v>
      </c>
      <c r="C48" s="4" t="n">
        <f aca="false">SUMIFS('carlos andrade'!$K$7:$K$229,'carlos andrade'!$A$7:$A$229,"&gt;="&amp;$A48,'carlos andrade'!$A$7:$A$229,"&lt;"&amp;EDATE($A48,1))</f>
        <v>128401</v>
      </c>
      <c r="D48" s="4" t="n">
        <f aca="false">B48-C48</f>
        <v>-1</v>
      </c>
      <c r="E48" s="4" t="n">
        <f aca="false">E47+D48</f>
        <v>-495180</v>
      </c>
      <c r="F48" s="0" t="str">
        <f aca="false">IF(E48=0,"Cuadrado en 0","Diferencia")</f>
        <v>Diferencia</v>
      </c>
      <c r="G48" s="4" t="n">
        <f aca="false">E48-E47</f>
        <v>-1</v>
      </c>
    </row>
    <row r="49" customFormat="false" ht="15" hidden="false" customHeight="false" outlineLevel="0" collapsed="false">
      <c r="A49" s="3" t="n">
        <v>46235</v>
      </c>
      <c r="B49" s="4" t="n">
        <f aca="false">SUMIFS('carlos andrade'!$J$7:$J$229,'carlos andrade'!$A$7:$A$229,"&gt;="&amp;$A49,'carlos andrade'!$A$7:$A$229,"&lt;"&amp;EDATE($A49,1))</f>
        <v>1025178</v>
      </c>
      <c r="C49" s="4" t="n">
        <f aca="false">SUMIFS('carlos andrade'!$K$7:$K$229,'carlos andrade'!$A$7:$A$229,"&gt;="&amp;$A49,'carlos andrade'!$A$7:$A$229,"&lt;"&amp;EDATE($A49,1))</f>
        <v>343187</v>
      </c>
      <c r="D49" s="4" t="n">
        <f aca="false">B49-C49</f>
        <v>681991</v>
      </c>
      <c r="E49" s="4" t="n">
        <f aca="false">E48+D49</f>
        <v>186811</v>
      </c>
      <c r="F49" s="0" t="str">
        <f aca="false">IF(E49=0,"Cuadrado en 0","Diferencia")</f>
        <v>Diferencia</v>
      </c>
      <c r="G49" s="4" t="n">
        <f aca="false">E49-E48</f>
        <v>681991</v>
      </c>
    </row>
    <row r="50" customFormat="false" ht="15" hidden="false" customHeight="false" outlineLevel="0" collapsed="false">
      <c r="A50" s="3" t="n">
        <v>46266</v>
      </c>
      <c r="B50" s="4" t="n">
        <f aca="false">SUMIFS('carlos andrade'!$J$7:$J$229,'carlos andrade'!$A$7:$A$229,"&gt;="&amp;$A50,'carlos andrade'!$A$7:$A$229,"&lt;"&amp;EDATE($A50,1))</f>
        <v>190990</v>
      </c>
      <c r="C50" s="4" t="n">
        <f aca="false">SUMIFS('carlos andrade'!$K$7:$K$229,'carlos andrade'!$A$7:$A$229,"&gt;="&amp;$A50,'carlos andrade'!$A$7:$A$229,"&lt;"&amp;EDATE($A50,1))</f>
        <v>282974</v>
      </c>
      <c r="D50" s="4" t="n">
        <f aca="false">B50-C50</f>
        <v>-91984</v>
      </c>
      <c r="E50" s="4" t="n">
        <f aca="false">E49+D50</f>
        <v>94827</v>
      </c>
      <c r="F50" s="0" t="str">
        <f aca="false">IF(E50=0,"Cuadrado en 0","Diferencia")</f>
        <v>Diferencia</v>
      </c>
      <c r="G50" s="4" t="n">
        <f aca="false">E50-E49</f>
        <v>-91984</v>
      </c>
    </row>
    <row r="51" customFormat="false" ht="15" hidden="false" customHeight="false" outlineLevel="0" collapsed="false">
      <c r="A51" s="5" t="s">
        <v>8</v>
      </c>
      <c r="B51" s="6" t="n">
        <f aca="false">SUM(B4:B50)</f>
        <v>9723034</v>
      </c>
      <c r="C51" s="6" t="n">
        <f aca="false">SUM(C4:C50)</f>
        <v>9628207</v>
      </c>
      <c r="D51" s="6" t="n">
        <f aca="false">SUM(D4:D50)</f>
        <v>94827</v>
      </c>
      <c r="E51" s="7" t="n">
        <f aca="false">E50</f>
        <v>94827</v>
      </c>
      <c r="F51" s="0" t="str">
        <f aca="false">IF(ROUND(E51-'carlos andrade'!L229,0)=0,"✔ cuadra con el auxiliar","revisar")</f>
        <v>✔ cuadra con el auxiliar</v>
      </c>
    </row>
  </sheetData>
  <conditionalFormatting sqref="F4:F50">
    <cfRule type="expression" priority="2" aboveAverage="0" equalAverage="0" bottom="0" percent="0" rank="0" text="" dxfId="0">
      <formula>$E4=0</formula>
    </cfRule>
    <cfRule type="expression" priority="3" aboveAverage="0" equalAverage="0" bottom="0" percent="0" rank="0" text="" dxfId="1">
      <formula>$E4&lt;&gt;0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9</v>
      </c>
    </row>
    <row r="3" customFormat="false" ht="15" hidden="false" customHeight="false" outlineLevel="0" collapsed="false">
      <c r="A3" s="8" t="s">
        <v>10</v>
      </c>
      <c r="B3" s="8" t="s">
        <v>11</v>
      </c>
      <c r="C3" s="8" t="s">
        <v>12</v>
      </c>
    </row>
    <row r="4" customFormat="false" ht="15" hidden="false" customHeight="false" outlineLevel="0" collapsed="false">
      <c r="A4" s="9" t="s">
        <v>13</v>
      </c>
      <c r="B4" s="4" t="n">
        <f aca="false">'Resumen mensual'!E48</f>
        <v>-495180</v>
      </c>
      <c r="C4" s="9" t="s">
        <v>14</v>
      </c>
    </row>
    <row r="5" customFormat="false" ht="15" hidden="false" customHeight="false" outlineLevel="0" collapsed="false">
      <c r="A5" s="9" t="s">
        <v>15</v>
      </c>
      <c r="B5" s="4" t="n">
        <f aca="false">SUM('carlos andrade'!J216:J221)</f>
        <v>619402</v>
      </c>
      <c r="C5" s="9" t="s">
        <v>16</v>
      </c>
    </row>
    <row r="6" customFormat="false" ht="25.35" hidden="false" customHeight="false" outlineLevel="0" collapsed="false">
      <c r="A6" s="9" t="s">
        <v>17</v>
      </c>
      <c r="B6" s="4" t="n">
        <f aca="false">'carlos andrade'!J215</f>
        <v>62590</v>
      </c>
      <c r="C6" s="9" t="s">
        <v>18</v>
      </c>
    </row>
    <row r="7" customFormat="false" ht="25.35" hidden="false" customHeight="false" outlineLevel="0" collapsed="false">
      <c r="A7" s="9" t="s">
        <v>19</v>
      </c>
      <c r="B7" s="4" t="n">
        <f aca="false">B9-B4-B5-B6-B8</f>
        <v>-2</v>
      </c>
      <c r="C7" s="9" t="s">
        <v>20</v>
      </c>
    </row>
    <row r="8" customFormat="false" ht="25.35" hidden="false" customHeight="false" outlineLevel="0" collapsed="false">
      <c r="A8" s="9" t="s">
        <v>21</v>
      </c>
      <c r="B8" s="4" t="n">
        <f aca="false">-SUM('carlos andrade'!K227:K229)</f>
        <v>-91983</v>
      </c>
      <c r="C8" s="9" t="s">
        <v>22</v>
      </c>
    </row>
    <row r="9" customFormat="false" ht="15" hidden="false" customHeight="false" outlineLevel="0" collapsed="false">
      <c r="A9" s="10" t="s">
        <v>23</v>
      </c>
      <c r="B9" s="7" t="n">
        <f aca="false">'carlos andrade'!L229</f>
        <v>94827</v>
      </c>
      <c r="C9" s="9"/>
    </row>
    <row r="11" customFormat="false" ht="15" hidden="false" customHeight="false" outlineLevel="0" collapsed="false">
      <c r="A1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0"/>
  <sheetViews>
    <sheetView showFormulas="false" showGridLines="true" showRowColHeaders="true" showZeros="true" rightToLeft="false" tabSelected="true" showOutlineSymbols="true" defaultGridColor="true" view="normal" topLeftCell="D91" colorId="64" zoomScale="175" zoomScaleNormal="175" zoomScalePageLayoutView="100" workbookViewId="0">
      <selection pane="topLeft" activeCell="L102" activeCellId="0" sqref="L102"/>
    </sheetView>
  </sheetViews>
  <sheetFormatPr defaultColWidth="11.55859375" defaultRowHeight="9.75" zeroHeight="false" outlineLevelRow="0" outlineLevelCol="0"/>
  <cols>
    <col collapsed="false" customWidth="false" hidden="false" outlineLevel="0" max="16384" min="1" style="11" width="11.56"/>
  </cols>
  <sheetData>
    <row r="1" customFormat="false" ht="9.75" hidden="false" customHeight="false" outlineLevel="0" collapsed="false">
      <c r="I1" s="12" t="s">
        <v>25</v>
      </c>
      <c r="L1" s="12" t="s">
        <v>26</v>
      </c>
    </row>
    <row r="2" customFormat="false" ht="9.75" hidden="false" customHeight="false" outlineLevel="0" collapsed="false">
      <c r="A2" s="13" t="s">
        <v>27</v>
      </c>
      <c r="B2" s="13" t="s">
        <v>28</v>
      </c>
      <c r="C2" s="13" t="s">
        <v>29</v>
      </c>
      <c r="D2" s="13" t="s">
        <v>30</v>
      </c>
      <c r="I2" s="12" t="s">
        <v>31</v>
      </c>
      <c r="J2" s="12" t="s">
        <v>32</v>
      </c>
      <c r="K2" s="12" t="s">
        <v>33</v>
      </c>
      <c r="L2" s="12" t="s">
        <v>34</v>
      </c>
    </row>
    <row r="5" customFormat="false" ht="9.75" hidden="false" customHeight="false" outlineLevel="0" collapsed="false">
      <c r="A5" s="14" t="s">
        <v>35</v>
      </c>
      <c r="B5" s="13" t="s">
        <v>36</v>
      </c>
      <c r="I5" s="15" t="n">
        <v>0</v>
      </c>
      <c r="J5" s="15" t="n">
        <v>9723034</v>
      </c>
      <c r="K5" s="15" t="n">
        <v>9628207</v>
      </c>
      <c r="L5" s="15" t="n">
        <v>94827</v>
      </c>
    </row>
    <row r="6" customFormat="false" ht="9.75" hidden="false" customHeight="false" outlineLevel="0" collapsed="false">
      <c r="A6" s="13" t="s">
        <v>37</v>
      </c>
      <c r="I6" s="15" t="n">
        <v>0</v>
      </c>
      <c r="J6" s="15" t="n">
        <v>9723034</v>
      </c>
      <c r="K6" s="15" t="n">
        <v>9628207</v>
      </c>
      <c r="L6" s="15" t="n">
        <v>94827</v>
      </c>
    </row>
    <row r="7" customFormat="false" ht="9.75" hidden="true" customHeight="false" outlineLevel="0" collapsed="false">
      <c r="A7" s="16" t="n">
        <v>44875</v>
      </c>
      <c r="B7" s="17" t="s">
        <v>38</v>
      </c>
      <c r="C7" s="17" t="s">
        <v>39</v>
      </c>
      <c r="D7" s="17" t="s">
        <v>40</v>
      </c>
      <c r="E7" s="17" t="s">
        <v>41</v>
      </c>
      <c r="J7" s="18" t="n">
        <v>0</v>
      </c>
      <c r="K7" s="18" t="n">
        <v>138968</v>
      </c>
      <c r="L7" s="18" t="n">
        <v>-138968</v>
      </c>
    </row>
    <row r="8" customFormat="false" ht="9.75" hidden="true" customHeight="false" outlineLevel="0" collapsed="false">
      <c r="A8" s="16" t="n">
        <v>44887</v>
      </c>
      <c r="B8" s="17" t="s">
        <v>42</v>
      </c>
      <c r="C8" s="17" t="s">
        <v>39</v>
      </c>
      <c r="D8" s="17" t="s">
        <v>40</v>
      </c>
      <c r="E8" s="17" t="s">
        <v>43</v>
      </c>
      <c r="J8" s="18" t="n">
        <v>138968</v>
      </c>
      <c r="K8" s="18" t="n">
        <v>0</v>
      </c>
      <c r="L8" s="18" t="n">
        <v>0</v>
      </c>
    </row>
    <row r="9" customFormat="false" ht="9.75" hidden="true" customHeight="false" outlineLevel="0" collapsed="false">
      <c r="A9" s="16" t="n">
        <v>44890</v>
      </c>
      <c r="B9" s="17" t="s">
        <v>44</v>
      </c>
      <c r="C9" s="17" t="s">
        <v>39</v>
      </c>
      <c r="D9" s="17" t="s">
        <v>40</v>
      </c>
      <c r="E9" s="17" t="s">
        <v>45</v>
      </c>
      <c r="J9" s="18" t="n">
        <v>49809</v>
      </c>
      <c r="K9" s="18" t="n">
        <v>0</v>
      </c>
      <c r="L9" s="18" t="n">
        <v>49809</v>
      </c>
    </row>
    <row r="10" customFormat="false" ht="9.75" hidden="true" customHeight="false" outlineLevel="0" collapsed="false">
      <c r="A10" s="16" t="n">
        <v>44890</v>
      </c>
      <c r="B10" s="17" t="s">
        <v>44</v>
      </c>
      <c r="C10" s="17" t="s">
        <v>39</v>
      </c>
      <c r="D10" s="17" t="s">
        <v>40</v>
      </c>
      <c r="E10" s="17" t="s">
        <v>45</v>
      </c>
      <c r="J10" s="18" t="n">
        <v>89159</v>
      </c>
      <c r="K10" s="18" t="n">
        <v>0</v>
      </c>
      <c r="L10" s="18" t="n">
        <v>138968</v>
      </c>
    </row>
    <row r="11" customFormat="false" ht="9.75" hidden="true" customHeight="false" outlineLevel="0" collapsed="false">
      <c r="A11" s="16" t="n">
        <v>44908</v>
      </c>
      <c r="B11" s="17" t="s">
        <v>46</v>
      </c>
      <c r="C11" s="17" t="s">
        <v>39</v>
      </c>
      <c r="D11" s="17" t="s">
        <v>40</v>
      </c>
      <c r="E11" s="17" t="s">
        <v>47</v>
      </c>
      <c r="J11" s="18" t="n">
        <v>0</v>
      </c>
      <c r="K11" s="18" t="n">
        <v>138968</v>
      </c>
      <c r="L11" s="18" t="n">
        <v>0</v>
      </c>
    </row>
    <row r="12" customFormat="false" ht="9.75" hidden="true" customHeight="false" outlineLevel="0" collapsed="false">
      <c r="A12" s="16" t="n">
        <v>44914</v>
      </c>
      <c r="B12" s="17" t="s">
        <v>48</v>
      </c>
      <c r="C12" s="17" t="s">
        <v>39</v>
      </c>
      <c r="D12" s="17" t="s">
        <v>40</v>
      </c>
      <c r="E12" s="17" t="s">
        <v>49</v>
      </c>
      <c r="J12" s="18" t="n">
        <v>0</v>
      </c>
      <c r="K12" s="18" t="n">
        <v>138968</v>
      </c>
      <c r="L12" s="18" t="n">
        <v>-138968</v>
      </c>
    </row>
    <row r="13" customFormat="false" ht="9.75" hidden="true" customHeight="false" outlineLevel="0" collapsed="false">
      <c r="A13" s="16" t="n">
        <v>44915</v>
      </c>
      <c r="B13" s="17" t="s">
        <v>50</v>
      </c>
      <c r="C13" s="17" t="s">
        <v>39</v>
      </c>
      <c r="D13" s="17" t="s">
        <v>40</v>
      </c>
      <c r="E13" s="17" t="s">
        <v>51</v>
      </c>
      <c r="J13" s="18" t="n">
        <v>49809</v>
      </c>
      <c r="K13" s="18" t="n">
        <v>0</v>
      </c>
      <c r="L13" s="18" t="n">
        <v>-89159</v>
      </c>
    </row>
    <row r="14" customFormat="false" ht="9.75" hidden="true" customHeight="false" outlineLevel="0" collapsed="false">
      <c r="A14" s="16" t="n">
        <v>44915</v>
      </c>
      <c r="B14" s="17" t="s">
        <v>50</v>
      </c>
      <c r="C14" s="17" t="s">
        <v>39</v>
      </c>
      <c r="D14" s="17" t="s">
        <v>40</v>
      </c>
      <c r="E14" s="17" t="s">
        <v>51</v>
      </c>
      <c r="J14" s="18" t="n">
        <v>89159</v>
      </c>
      <c r="K14" s="18" t="n">
        <v>0</v>
      </c>
      <c r="L14" s="19" t="n">
        <v>0</v>
      </c>
    </row>
    <row r="15" customFormat="false" ht="9.75" hidden="false" customHeight="false" outlineLevel="0" collapsed="false">
      <c r="A15" s="16" t="n">
        <v>44939</v>
      </c>
      <c r="B15" s="17" t="s">
        <v>52</v>
      </c>
      <c r="C15" s="17" t="s">
        <v>39</v>
      </c>
      <c r="D15" s="17" t="s">
        <v>40</v>
      </c>
      <c r="E15" s="17" t="s">
        <v>53</v>
      </c>
      <c r="J15" s="18" t="n">
        <v>0</v>
      </c>
      <c r="K15" s="18" t="n">
        <v>138968</v>
      </c>
      <c r="L15" s="18" t="n">
        <v>-138968</v>
      </c>
    </row>
    <row r="16" customFormat="false" ht="9.75" hidden="false" customHeight="false" outlineLevel="0" collapsed="false">
      <c r="A16" s="16" t="n">
        <v>44957</v>
      </c>
      <c r="B16" s="17" t="s">
        <v>54</v>
      </c>
      <c r="C16" s="17" t="s">
        <v>39</v>
      </c>
      <c r="D16" s="17" t="s">
        <v>40</v>
      </c>
      <c r="E16" s="17" t="s">
        <v>55</v>
      </c>
      <c r="J16" s="18" t="n">
        <v>36345</v>
      </c>
      <c r="K16" s="18" t="n">
        <v>0</v>
      </c>
      <c r="L16" s="18" t="n">
        <v>-102623</v>
      </c>
    </row>
    <row r="17" customFormat="false" ht="9.75" hidden="false" customHeight="false" outlineLevel="0" collapsed="false">
      <c r="A17" s="16" t="n">
        <v>44957</v>
      </c>
      <c r="B17" s="17" t="s">
        <v>54</v>
      </c>
      <c r="C17" s="17" t="s">
        <v>39</v>
      </c>
      <c r="D17" s="17" t="s">
        <v>40</v>
      </c>
      <c r="E17" s="17" t="s">
        <v>55</v>
      </c>
      <c r="J17" s="18" t="n">
        <v>89159</v>
      </c>
      <c r="K17" s="18" t="n">
        <v>0</v>
      </c>
      <c r="L17" s="18" t="n">
        <v>-13464</v>
      </c>
    </row>
    <row r="18" customFormat="false" ht="9.75" hidden="false" customHeight="false" outlineLevel="0" collapsed="false">
      <c r="A18" s="16" t="n">
        <v>44964</v>
      </c>
      <c r="B18" s="17" t="s">
        <v>56</v>
      </c>
      <c r="C18" s="17" t="s">
        <v>39</v>
      </c>
      <c r="D18" s="17" t="s">
        <v>40</v>
      </c>
      <c r="E18" s="17" t="s">
        <v>57</v>
      </c>
      <c r="J18" s="18" t="n">
        <v>15147</v>
      </c>
      <c r="K18" s="18" t="n">
        <v>0</v>
      </c>
      <c r="L18" s="20" t="n">
        <v>1683</v>
      </c>
    </row>
    <row r="19" customFormat="false" ht="9.75" hidden="false" customHeight="false" outlineLevel="0" collapsed="false">
      <c r="A19" s="16" t="n">
        <v>44964</v>
      </c>
      <c r="B19" s="17" t="s">
        <v>56</v>
      </c>
      <c r="C19" s="17" t="s">
        <v>39</v>
      </c>
      <c r="D19" s="17" t="s">
        <v>40</v>
      </c>
      <c r="E19" s="17" t="s">
        <v>57</v>
      </c>
      <c r="J19" s="18" t="n">
        <v>0</v>
      </c>
      <c r="K19" s="18" t="n">
        <v>140651</v>
      </c>
      <c r="L19" s="18" t="n">
        <v>-138968</v>
      </c>
    </row>
    <row r="20" customFormat="false" ht="9.75" hidden="false" customHeight="false" outlineLevel="0" collapsed="false">
      <c r="A20" s="16" t="n">
        <v>44978</v>
      </c>
      <c r="B20" s="17" t="s">
        <v>58</v>
      </c>
      <c r="C20" s="17" t="s">
        <v>39</v>
      </c>
      <c r="D20" s="17" t="s">
        <v>40</v>
      </c>
      <c r="E20" s="17" t="s">
        <v>59</v>
      </c>
      <c r="J20" s="18" t="n">
        <v>51492</v>
      </c>
      <c r="K20" s="18" t="n">
        <v>0</v>
      </c>
      <c r="L20" s="18" t="n">
        <v>-87476</v>
      </c>
    </row>
    <row r="21" customFormat="false" ht="9.75" hidden="false" customHeight="false" outlineLevel="0" collapsed="false">
      <c r="A21" s="16" t="n">
        <v>44978</v>
      </c>
      <c r="B21" s="17" t="s">
        <v>58</v>
      </c>
      <c r="C21" s="17" t="s">
        <v>39</v>
      </c>
      <c r="D21" s="17" t="s">
        <v>40</v>
      </c>
      <c r="E21" s="17" t="s">
        <v>59</v>
      </c>
      <c r="J21" s="18" t="n">
        <v>89159</v>
      </c>
      <c r="K21" s="18" t="n">
        <v>0</v>
      </c>
      <c r="L21" s="18" t="n">
        <v>1683</v>
      </c>
    </row>
    <row r="22" customFormat="false" ht="9.75" hidden="false" customHeight="false" outlineLevel="0" collapsed="false">
      <c r="A22" s="16" t="n">
        <v>44998</v>
      </c>
      <c r="B22" s="17" t="s">
        <v>60</v>
      </c>
      <c r="C22" s="17" t="s">
        <v>39</v>
      </c>
      <c r="D22" s="17" t="s">
        <v>40</v>
      </c>
      <c r="E22" s="17" t="s">
        <v>61</v>
      </c>
      <c r="J22" s="18" t="n">
        <v>0</v>
      </c>
      <c r="K22" s="18" t="n">
        <v>140651</v>
      </c>
      <c r="L22" s="18" t="n">
        <v>-138968</v>
      </c>
    </row>
    <row r="23" customFormat="false" ht="9.75" hidden="false" customHeight="false" outlineLevel="0" collapsed="false">
      <c r="A23" s="16" t="n">
        <v>45012</v>
      </c>
      <c r="B23" s="17" t="s">
        <v>62</v>
      </c>
      <c r="C23" s="17" t="s">
        <v>39</v>
      </c>
      <c r="D23" s="17" t="s">
        <v>40</v>
      </c>
      <c r="E23" s="17" t="s">
        <v>63</v>
      </c>
      <c r="J23" s="18" t="n">
        <v>51492</v>
      </c>
      <c r="K23" s="18" t="n">
        <v>0</v>
      </c>
      <c r="L23" s="18" t="n">
        <v>-87476</v>
      </c>
    </row>
    <row r="24" customFormat="false" ht="9.75" hidden="false" customHeight="false" outlineLevel="0" collapsed="false">
      <c r="A24" s="16" t="n">
        <v>45012</v>
      </c>
      <c r="B24" s="17" t="s">
        <v>62</v>
      </c>
      <c r="C24" s="17" t="s">
        <v>39</v>
      </c>
      <c r="D24" s="17" t="s">
        <v>40</v>
      </c>
      <c r="E24" s="17" t="s">
        <v>63</v>
      </c>
      <c r="J24" s="18" t="n">
        <v>89159</v>
      </c>
      <c r="K24" s="18" t="n">
        <v>0</v>
      </c>
      <c r="L24" s="18" t="n">
        <v>1683</v>
      </c>
    </row>
    <row r="25" customFormat="false" ht="9.75" hidden="false" customHeight="false" outlineLevel="0" collapsed="false">
      <c r="A25" s="16" t="n">
        <v>45028</v>
      </c>
      <c r="B25" s="17" t="s">
        <v>64</v>
      </c>
      <c r="C25" s="17" t="s">
        <v>39</v>
      </c>
      <c r="D25" s="17" t="s">
        <v>40</v>
      </c>
      <c r="E25" s="17" t="s">
        <v>65</v>
      </c>
      <c r="J25" s="18" t="n">
        <v>0</v>
      </c>
      <c r="K25" s="18" t="n">
        <v>140651</v>
      </c>
      <c r="L25" s="18" t="n">
        <v>-138968</v>
      </c>
    </row>
    <row r="26" customFormat="false" ht="9.75" hidden="false" customHeight="false" outlineLevel="0" collapsed="false">
      <c r="A26" s="16" t="n">
        <v>45034</v>
      </c>
      <c r="B26" s="17" t="s">
        <v>66</v>
      </c>
      <c r="C26" s="17" t="s">
        <v>39</v>
      </c>
      <c r="D26" s="17" t="s">
        <v>40</v>
      </c>
      <c r="E26" s="17" t="s">
        <v>67</v>
      </c>
      <c r="J26" s="18" t="n">
        <v>51492</v>
      </c>
      <c r="K26" s="18" t="n">
        <v>0</v>
      </c>
      <c r="L26" s="18" t="n">
        <v>-87476</v>
      </c>
    </row>
    <row r="27" customFormat="false" ht="9.75" hidden="false" customHeight="false" outlineLevel="0" collapsed="false">
      <c r="A27" s="16" t="n">
        <v>45034</v>
      </c>
      <c r="B27" s="17" t="s">
        <v>66</v>
      </c>
      <c r="C27" s="17" t="s">
        <v>39</v>
      </c>
      <c r="D27" s="17" t="s">
        <v>40</v>
      </c>
      <c r="E27" s="17" t="s">
        <v>67</v>
      </c>
      <c r="J27" s="18" t="n">
        <v>89159</v>
      </c>
      <c r="K27" s="18" t="n">
        <v>0</v>
      </c>
      <c r="L27" s="18" t="n">
        <v>1683</v>
      </c>
    </row>
    <row r="28" customFormat="false" ht="9.75" hidden="false" customHeight="false" outlineLevel="0" collapsed="false">
      <c r="A28" s="16" t="n">
        <v>45055</v>
      </c>
      <c r="B28" s="17" t="s">
        <v>68</v>
      </c>
      <c r="C28" s="17" t="s">
        <v>39</v>
      </c>
      <c r="D28" s="17" t="s">
        <v>40</v>
      </c>
      <c r="E28" s="17" t="s">
        <v>69</v>
      </c>
      <c r="J28" s="18" t="n">
        <v>51492</v>
      </c>
      <c r="K28" s="18" t="n">
        <v>0</v>
      </c>
      <c r="L28" s="18" t="n">
        <v>53175</v>
      </c>
    </row>
    <row r="29" customFormat="false" ht="9.75" hidden="false" customHeight="false" outlineLevel="0" collapsed="false">
      <c r="A29" s="16" t="n">
        <v>45055</v>
      </c>
      <c r="B29" s="17" t="s">
        <v>68</v>
      </c>
      <c r="C29" s="17" t="s">
        <v>39</v>
      </c>
      <c r="D29" s="17" t="s">
        <v>40</v>
      </c>
      <c r="E29" s="17" t="s">
        <v>69</v>
      </c>
      <c r="J29" s="18" t="n">
        <v>89159</v>
      </c>
      <c r="K29" s="18" t="n">
        <v>0</v>
      </c>
      <c r="L29" s="18" t="n">
        <v>142334</v>
      </c>
    </row>
    <row r="30" customFormat="false" ht="9.75" hidden="false" customHeight="false" outlineLevel="0" collapsed="false">
      <c r="A30" s="16" t="n">
        <v>45057</v>
      </c>
      <c r="B30" s="17" t="s">
        <v>70</v>
      </c>
      <c r="C30" s="17" t="s">
        <v>39</v>
      </c>
      <c r="D30" s="17" t="s">
        <v>40</v>
      </c>
      <c r="E30" s="17" t="s">
        <v>71</v>
      </c>
      <c r="J30" s="18" t="n">
        <v>0</v>
      </c>
      <c r="K30" s="18" t="n">
        <v>140651</v>
      </c>
      <c r="L30" s="18" t="n">
        <v>1683</v>
      </c>
    </row>
    <row r="31" customFormat="false" ht="9.75" hidden="false" customHeight="false" outlineLevel="0" collapsed="false">
      <c r="A31" s="16" t="n">
        <v>45090</v>
      </c>
      <c r="B31" s="17" t="s">
        <v>72</v>
      </c>
      <c r="C31" s="17" t="s">
        <v>39</v>
      </c>
      <c r="D31" s="17" t="s">
        <v>40</v>
      </c>
      <c r="E31" s="17" t="s">
        <v>73</v>
      </c>
      <c r="J31" s="18" t="n">
        <v>51492</v>
      </c>
      <c r="K31" s="18" t="n">
        <v>0</v>
      </c>
      <c r="L31" s="18" t="n">
        <v>53175</v>
      </c>
    </row>
    <row r="32" customFormat="false" ht="9.75" hidden="false" customHeight="false" outlineLevel="0" collapsed="false">
      <c r="A32" s="16" t="n">
        <v>45090</v>
      </c>
      <c r="B32" s="17" t="s">
        <v>72</v>
      </c>
      <c r="C32" s="17" t="s">
        <v>39</v>
      </c>
      <c r="D32" s="17" t="s">
        <v>40</v>
      </c>
      <c r="E32" s="17" t="s">
        <v>73</v>
      </c>
      <c r="J32" s="18" t="n">
        <v>89159</v>
      </c>
      <c r="K32" s="18" t="n">
        <v>0</v>
      </c>
      <c r="L32" s="18" t="n">
        <v>142334</v>
      </c>
    </row>
    <row r="33" customFormat="false" ht="9.75" hidden="false" customHeight="false" outlineLevel="0" collapsed="false">
      <c r="A33" s="16" t="n">
        <v>45090</v>
      </c>
      <c r="B33" s="17" t="s">
        <v>74</v>
      </c>
      <c r="C33" s="17" t="s">
        <v>39</v>
      </c>
      <c r="D33" s="17" t="s">
        <v>40</v>
      </c>
      <c r="E33" s="17" t="s">
        <v>75</v>
      </c>
      <c r="J33" s="18" t="n">
        <v>0</v>
      </c>
      <c r="K33" s="18" t="n">
        <v>140651</v>
      </c>
      <c r="L33" s="18" t="n">
        <v>1683</v>
      </c>
    </row>
    <row r="34" customFormat="false" ht="9.75" hidden="false" customHeight="false" outlineLevel="0" collapsed="false">
      <c r="A34" s="16" t="n">
        <v>45121</v>
      </c>
      <c r="B34" s="17" t="s">
        <v>76</v>
      </c>
      <c r="C34" s="17" t="s">
        <v>39</v>
      </c>
      <c r="D34" s="17" t="s">
        <v>40</v>
      </c>
      <c r="E34" s="17" t="s">
        <v>77</v>
      </c>
      <c r="J34" s="18" t="n">
        <v>51492</v>
      </c>
      <c r="K34" s="18" t="n">
        <v>0</v>
      </c>
      <c r="L34" s="18" t="n">
        <v>53175</v>
      </c>
    </row>
    <row r="35" customFormat="false" ht="9.75" hidden="false" customHeight="false" outlineLevel="0" collapsed="false">
      <c r="A35" s="16" t="n">
        <v>45121</v>
      </c>
      <c r="B35" s="17" t="s">
        <v>76</v>
      </c>
      <c r="C35" s="17" t="s">
        <v>39</v>
      </c>
      <c r="D35" s="17" t="s">
        <v>40</v>
      </c>
      <c r="E35" s="17" t="s">
        <v>77</v>
      </c>
      <c r="J35" s="18" t="n">
        <v>89159</v>
      </c>
      <c r="K35" s="18" t="n">
        <v>0</v>
      </c>
      <c r="L35" s="18" t="n">
        <v>142334</v>
      </c>
    </row>
    <row r="36" customFormat="false" ht="9.75" hidden="false" customHeight="false" outlineLevel="0" collapsed="false">
      <c r="A36" s="16" t="n">
        <v>45121</v>
      </c>
      <c r="B36" s="17" t="s">
        <v>78</v>
      </c>
      <c r="C36" s="17" t="s">
        <v>39</v>
      </c>
      <c r="D36" s="17" t="s">
        <v>40</v>
      </c>
      <c r="E36" s="17" t="s">
        <v>79</v>
      </c>
      <c r="J36" s="18" t="n">
        <v>0</v>
      </c>
      <c r="K36" s="18" t="n">
        <v>140651</v>
      </c>
      <c r="L36" s="18" t="n">
        <v>1683</v>
      </c>
    </row>
    <row r="37" customFormat="false" ht="9.75" hidden="false" customHeight="false" outlineLevel="0" collapsed="false">
      <c r="A37" s="16" t="n">
        <v>45140</v>
      </c>
      <c r="B37" s="17" t="s">
        <v>80</v>
      </c>
      <c r="C37" s="17" t="s">
        <v>39</v>
      </c>
      <c r="D37" s="17" t="s">
        <v>40</v>
      </c>
      <c r="E37" s="17" t="s">
        <v>81</v>
      </c>
      <c r="J37" s="18" t="n">
        <v>0</v>
      </c>
      <c r="K37" s="18" t="n">
        <v>142334</v>
      </c>
      <c r="L37" s="18" t="n">
        <v>-140651</v>
      </c>
    </row>
    <row r="38" customFormat="false" ht="9.75" hidden="false" customHeight="false" outlineLevel="0" collapsed="false">
      <c r="A38" s="16" t="n">
        <v>45149</v>
      </c>
      <c r="B38" s="17" t="s">
        <v>82</v>
      </c>
      <c r="C38" s="17" t="s">
        <v>39</v>
      </c>
      <c r="D38" s="17" t="s">
        <v>40</v>
      </c>
      <c r="E38" s="17" t="s">
        <v>83</v>
      </c>
      <c r="J38" s="18" t="n">
        <v>51492</v>
      </c>
      <c r="K38" s="18" t="n">
        <v>0</v>
      </c>
      <c r="L38" s="18" t="n">
        <v>-89159</v>
      </c>
    </row>
    <row r="39" customFormat="false" ht="9.75" hidden="false" customHeight="false" outlineLevel="0" collapsed="false">
      <c r="A39" s="16" t="n">
        <v>45149</v>
      </c>
      <c r="B39" s="17" t="s">
        <v>82</v>
      </c>
      <c r="C39" s="17" t="s">
        <v>39</v>
      </c>
      <c r="D39" s="17" t="s">
        <v>40</v>
      </c>
      <c r="E39" s="17" t="s">
        <v>83</v>
      </c>
      <c r="J39" s="18" t="n">
        <v>89159</v>
      </c>
      <c r="K39" s="18" t="n">
        <v>0</v>
      </c>
      <c r="L39" s="18" t="n">
        <v>0</v>
      </c>
    </row>
    <row r="40" customFormat="false" ht="9.75" hidden="false" customHeight="false" outlineLevel="0" collapsed="false">
      <c r="A40" s="16" t="n">
        <v>45182</v>
      </c>
      <c r="B40" s="17" t="s">
        <v>84</v>
      </c>
      <c r="C40" s="17" t="s">
        <v>39</v>
      </c>
      <c r="D40" s="17" t="s">
        <v>40</v>
      </c>
      <c r="E40" s="17" t="s">
        <v>85</v>
      </c>
      <c r="J40" s="18" t="n">
        <v>0</v>
      </c>
      <c r="K40" s="18" t="n">
        <v>127187</v>
      </c>
      <c r="L40" s="18" t="n">
        <v>-127187</v>
      </c>
    </row>
    <row r="41" customFormat="false" ht="9.75" hidden="false" customHeight="false" outlineLevel="0" collapsed="false">
      <c r="A41" s="16" t="n">
        <v>45189</v>
      </c>
      <c r="B41" s="17" t="s">
        <v>86</v>
      </c>
      <c r="C41" s="17" t="s">
        <v>39</v>
      </c>
      <c r="D41" s="17" t="s">
        <v>40</v>
      </c>
      <c r="E41" s="17" t="s">
        <v>87</v>
      </c>
      <c r="J41" s="18" t="n">
        <v>51492</v>
      </c>
      <c r="K41" s="18" t="n">
        <v>0</v>
      </c>
      <c r="L41" s="18" t="n">
        <v>-75695</v>
      </c>
    </row>
    <row r="42" customFormat="false" ht="9.75" hidden="false" customHeight="false" outlineLevel="0" collapsed="false">
      <c r="A42" s="16" t="n">
        <v>45189</v>
      </c>
      <c r="B42" s="17" t="s">
        <v>86</v>
      </c>
      <c r="C42" s="17" t="s">
        <v>39</v>
      </c>
      <c r="D42" s="17" t="s">
        <v>40</v>
      </c>
      <c r="E42" s="17" t="s">
        <v>87</v>
      </c>
      <c r="J42" s="18" t="n">
        <v>89159</v>
      </c>
      <c r="K42" s="18" t="n">
        <v>0</v>
      </c>
      <c r="L42" s="18" t="n">
        <v>13464</v>
      </c>
    </row>
    <row r="43" customFormat="false" ht="9.75" hidden="false" customHeight="false" outlineLevel="0" collapsed="false">
      <c r="A43" s="16" t="n">
        <v>45197</v>
      </c>
      <c r="B43" s="17" t="s">
        <v>88</v>
      </c>
      <c r="C43" s="17" t="s">
        <v>39</v>
      </c>
      <c r="D43" s="17" t="s">
        <v>40</v>
      </c>
      <c r="E43" s="17" t="s">
        <v>89</v>
      </c>
      <c r="J43" s="18" t="n">
        <v>0</v>
      </c>
      <c r="K43" s="18" t="n">
        <v>13464</v>
      </c>
      <c r="L43" s="18" t="n">
        <v>0</v>
      </c>
    </row>
    <row r="44" customFormat="false" ht="9.75" hidden="false" customHeight="false" outlineLevel="0" collapsed="false">
      <c r="A44" s="16" t="n">
        <v>45211</v>
      </c>
      <c r="B44" s="17" t="s">
        <v>90</v>
      </c>
      <c r="C44" s="17" t="s">
        <v>39</v>
      </c>
      <c r="D44" s="17" t="s">
        <v>40</v>
      </c>
      <c r="E44" s="17" t="s">
        <v>91</v>
      </c>
      <c r="J44" s="18" t="n">
        <v>0</v>
      </c>
      <c r="K44" s="18" t="n">
        <v>165505</v>
      </c>
      <c r="L44" s="18" t="n">
        <v>-165505</v>
      </c>
    </row>
    <row r="45" customFormat="false" ht="9.75" hidden="false" customHeight="false" outlineLevel="0" collapsed="false">
      <c r="A45" s="16" t="n">
        <v>45212</v>
      </c>
      <c r="B45" s="17" t="s">
        <v>92</v>
      </c>
      <c r="C45" s="17" t="s">
        <v>39</v>
      </c>
      <c r="D45" s="17" t="s">
        <v>40</v>
      </c>
      <c r="E45" s="17" t="s">
        <v>93</v>
      </c>
      <c r="J45" s="18" t="n">
        <v>66338</v>
      </c>
      <c r="K45" s="18" t="n">
        <v>0</v>
      </c>
      <c r="L45" s="18" t="n">
        <v>-99167</v>
      </c>
    </row>
    <row r="46" customFormat="false" ht="9.75" hidden="false" customHeight="false" outlineLevel="0" collapsed="false">
      <c r="A46" s="16" t="n">
        <v>45212</v>
      </c>
      <c r="B46" s="17" t="s">
        <v>92</v>
      </c>
      <c r="C46" s="17" t="s">
        <v>39</v>
      </c>
      <c r="D46" s="17" t="s">
        <v>40</v>
      </c>
      <c r="E46" s="17" t="s">
        <v>93</v>
      </c>
      <c r="J46" s="18" t="n">
        <v>99167</v>
      </c>
      <c r="K46" s="18" t="n">
        <v>0</v>
      </c>
      <c r="L46" s="18" t="n">
        <v>0</v>
      </c>
    </row>
    <row r="47" customFormat="false" ht="9.75" hidden="false" customHeight="false" outlineLevel="0" collapsed="false">
      <c r="A47" s="16" t="n">
        <v>45244</v>
      </c>
      <c r="B47" s="17" t="s">
        <v>94</v>
      </c>
      <c r="C47" s="17" t="s">
        <v>39</v>
      </c>
      <c r="D47" s="17" t="s">
        <v>40</v>
      </c>
      <c r="E47" s="17" t="s">
        <v>95</v>
      </c>
      <c r="J47" s="18" t="n">
        <v>0</v>
      </c>
      <c r="K47" s="18" t="n">
        <v>165505</v>
      </c>
      <c r="L47" s="18" t="n">
        <v>-165505</v>
      </c>
    </row>
    <row r="48" customFormat="false" ht="9.75" hidden="false" customHeight="false" outlineLevel="0" collapsed="false">
      <c r="A48" s="16" t="n">
        <v>45246</v>
      </c>
      <c r="B48" s="17" t="s">
        <v>96</v>
      </c>
      <c r="C48" s="17" t="s">
        <v>39</v>
      </c>
      <c r="D48" s="17" t="s">
        <v>40</v>
      </c>
      <c r="E48" s="17" t="s">
        <v>97</v>
      </c>
      <c r="J48" s="18" t="n">
        <v>171536</v>
      </c>
      <c r="K48" s="18" t="n">
        <v>0</v>
      </c>
      <c r="L48" s="20" t="n">
        <v>6031</v>
      </c>
    </row>
    <row r="49" customFormat="false" ht="9.75" hidden="false" customHeight="false" outlineLevel="0" collapsed="false">
      <c r="A49" s="16" t="n">
        <v>45272</v>
      </c>
      <c r="B49" s="17" t="s">
        <v>98</v>
      </c>
      <c r="C49" s="17" t="s">
        <v>39</v>
      </c>
      <c r="D49" s="17" t="s">
        <v>40</v>
      </c>
      <c r="E49" s="17" t="s">
        <v>99</v>
      </c>
      <c r="J49" s="18" t="n">
        <v>171536</v>
      </c>
      <c r="K49" s="18" t="n">
        <v>0</v>
      </c>
      <c r="L49" s="18" t="n">
        <v>177567</v>
      </c>
    </row>
    <row r="50" customFormat="false" ht="9.75" hidden="false" customHeight="false" outlineLevel="0" collapsed="false">
      <c r="A50" s="16" t="n">
        <v>45273</v>
      </c>
      <c r="B50" s="17" t="s">
        <v>100</v>
      </c>
      <c r="C50" s="17" t="s">
        <v>39</v>
      </c>
      <c r="D50" s="17" t="s">
        <v>40</v>
      </c>
      <c r="E50" s="17" t="s">
        <v>101</v>
      </c>
      <c r="J50" s="18" t="n">
        <v>0</v>
      </c>
      <c r="K50" s="18" t="n">
        <v>177567</v>
      </c>
      <c r="L50" s="18" t="n">
        <v>0</v>
      </c>
    </row>
    <row r="51" customFormat="false" ht="9.75" hidden="false" customHeight="false" outlineLevel="0" collapsed="false">
      <c r="A51" s="16" t="n">
        <v>45279</v>
      </c>
      <c r="B51" s="17" t="s">
        <v>102</v>
      </c>
      <c r="C51" s="17" t="s">
        <v>39</v>
      </c>
      <c r="D51" s="17" t="s">
        <v>40</v>
      </c>
      <c r="E51" s="17" t="s">
        <v>103</v>
      </c>
      <c r="J51" s="18" t="n">
        <v>0</v>
      </c>
      <c r="K51" s="18" t="n">
        <v>171536</v>
      </c>
      <c r="L51" s="18" t="n">
        <v>-171536</v>
      </c>
    </row>
    <row r="52" customFormat="false" ht="9.75" hidden="false" customHeight="false" outlineLevel="0" collapsed="false">
      <c r="A52" s="16" t="n">
        <v>45291</v>
      </c>
      <c r="B52" s="17" t="s">
        <v>104</v>
      </c>
      <c r="C52" s="17" t="s">
        <v>39</v>
      </c>
      <c r="D52" s="17" t="s">
        <v>40</v>
      </c>
      <c r="E52" s="17" t="s">
        <v>105</v>
      </c>
      <c r="J52" s="21" t="n">
        <v>171536</v>
      </c>
      <c r="K52" s="18" t="n">
        <v>0</v>
      </c>
      <c r="L52" s="18" t="n">
        <v>0</v>
      </c>
    </row>
    <row r="53" customFormat="false" ht="9.75" hidden="false" customHeight="false" outlineLevel="0" collapsed="false">
      <c r="A53" s="16" t="n">
        <v>45315</v>
      </c>
      <c r="B53" s="17" t="s">
        <v>106</v>
      </c>
      <c r="C53" s="17" t="s">
        <v>39</v>
      </c>
      <c r="D53" s="17" t="s">
        <v>40</v>
      </c>
      <c r="E53" s="17" t="s">
        <v>107</v>
      </c>
      <c r="J53" s="18" t="n">
        <v>171536</v>
      </c>
      <c r="K53" s="18" t="n">
        <v>0</v>
      </c>
      <c r="L53" s="18" t="n">
        <v>171536</v>
      </c>
    </row>
    <row r="54" customFormat="false" ht="9.75" hidden="false" customHeight="false" outlineLevel="0" collapsed="false">
      <c r="A54" s="16" t="n">
        <v>45315</v>
      </c>
      <c r="B54" s="17" t="s">
        <v>108</v>
      </c>
      <c r="C54" s="17" t="s">
        <v>39</v>
      </c>
      <c r="D54" s="17" t="s">
        <v>40</v>
      </c>
      <c r="E54" s="17" t="s">
        <v>109</v>
      </c>
      <c r="J54" s="18" t="n">
        <v>0</v>
      </c>
      <c r="K54" s="21" t="n">
        <v>171536</v>
      </c>
      <c r="L54" s="18" t="n">
        <v>0</v>
      </c>
      <c r="M54" s="11" t="s">
        <v>110</v>
      </c>
    </row>
    <row r="55" customFormat="false" ht="9.75" hidden="false" customHeight="false" outlineLevel="0" collapsed="false">
      <c r="A55" s="16" t="n">
        <v>45335</v>
      </c>
      <c r="B55" s="17" t="s">
        <v>111</v>
      </c>
      <c r="C55" s="17" t="s">
        <v>39</v>
      </c>
      <c r="D55" s="17" t="s">
        <v>40</v>
      </c>
      <c r="E55" s="17" t="s">
        <v>112</v>
      </c>
      <c r="J55" s="18" t="n">
        <v>0</v>
      </c>
      <c r="K55" s="18" t="n">
        <v>171536</v>
      </c>
      <c r="L55" s="18" t="n">
        <v>-171536</v>
      </c>
    </row>
    <row r="56" customFormat="false" ht="9.75" hidden="false" customHeight="false" outlineLevel="0" collapsed="false">
      <c r="A56" s="16" t="n">
        <v>45342</v>
      </c>
      <c r="B56" s="17" t="s">
        <v>113</v>
      </c>
      <c r="C56" s="17" t="s">
        <v>39</v>
      </c>
      <c r="D56" s="17" t="s">
        <v>40</v>
      </c>
      <c r="E56" s="17" t="s">
        <v>114</v>
      </c>
      <c r="J56" s="18" t="n">
        <v>171536</v>
      </c>
      <c r="K56" s="18" t="n">
        <v>0</v>
      </c>
      <c r="L56" s="18" t="n">
        <v>0</v>
      </c>
    </row>
    <row r="57" customFormat="false" ht="9.75" hidden="false" customHeight="false" outlineLevel="0" collapsed="false">
      <c r="A57" s="16" t="n">
        <v>45364</v>
      </c>
      <c r="B57" s="17" t="s">
        <v>115</v>
      </c>
      <c r="C57" s="17" t="s">
        <v>39</v>
      </c>
      <c r="D57" s="17" t="s">
        <v>40</v>
      </c>
      <c r="E57" s="17" t="s">
        <v>116</v>
      </c>
      <c r="J57" s="18" t="n">
        <v>0</v>
      </c>
      <c r="K57" s="18" t="n">
        <v>181036</v>
      </c>
      <c r="L57" s="18" t="n">
        <v>-181036</v>
      </c>
    </row>
    <row r="58" customFormat="false" ht="9.75" hidden="false" customHeight="false" outlineLevel="0" collapsed="false">
      <c r="A58" s="16" t="n">
        <v>45372</v>
      </c>
      <c r="B58" s="17" t="s">
        <v>117</v>
      </c>
      <c r="C58" s="17" t="s">
        <v>39</v>
      </c>
      <c r="D58" s="17" t="s">
        <v>40</v>
      </c>
      <c r="E58" s="17" t="s">
        <v>118</v>
      </c>
      <c r="J58" s="18" t="n">
        <v>0</v>
      </c>
      <c r="K58" s="18" t="n">
        <v>9500</v>
      </c>
      <c r="L58" s="19" t="n">
        <v>-190536</v>
      </c>
    </row>
    <row r="59" customFormat="false" ht="9.75" hidden="false" customHeight="false" outlineLevel="0" collapsed="false">
      <c r="A59" s="16" t="n">
        <v>45382</v>
      </c>
      <c r="B59" s="17" t="s">
        <v>119</v>
      </c>
      <c r="C59" s="17" t="s">
        <v>39</v>
      </c>
      <c r="D59" s="17" t="s">
        <v>40</v>
      </c>
      <c r="E59" s="17" t="s">
        <v>120</v>
      </c>
      <c r="J59" s="18" t="n">
        <v>167094</v>
      </c>
      <c r="K59" s="18" t="n">
        <v>0</v>
      </c>
      <c r="L59" s="18" t="n">
        <v>-23442</v>
      </c>
    </row>
    <row r="60" customFormat="false" ht="9.75" hidden="false" customHeight="false" outlineLevel="0" collapsed="false">
      <c r="A60" s="16" t="n">
        <v>45382</v>
      </c>
      <c r="B60" s="17" t="s">
        <v>119</v>
      </c>
      <c r="C60" s="17" t="s">
        <v>39</v>
      </c>
      <c r="D60" s="17" t="s">
        <v>40</v>
      </c>
      <c r="E60" s="17" t="s">
        <v>120</v>
      </c>
      <c r="J60" s="18" t="n">
        <v>171536</v>
      </c>
      <c r="K60" s="18" t="n">
        <v>0</v>
      </c>
      <c r="L60" s="18" t="n">
        <v>148094</v>
      </c>
    </row>
    <row r="61" customFormat="false" ht="9.75" hidden="false" customHeight="false" outlineLevel="0" collapsed="false">
      <c r="A61" s="16" t="n">
        <v>45382</v>
      </c>
      <c r="B61" s="17" t="s">
        <v>121</v>
      </c>
      <c r="C61" s="17" t="s">
        <v>39</v>
      </c>
      <c r="D61" s="17" t="s">
        <v>40</v>
      </c>
      <c r="E61" s="17" t="s">
        <v>122</v>
      </c>
      <c r="J61" s="18" t="n">
        <v>0</v>
      </c>
      <c r="K61" s="18" t="n">
        <v>167094</v>
      </c>
      <c r="L61" s="22" t="n">
        <v>-19000</v>
      </c>
    </row>
    <row r="62" customFormat="false" ht="9.75" hidden="false" customHeight="false" outlineLevel="0" collapsed="false">
      <c r="A62" s="16" t="n">
        <v>45394</v>
      </c>
      <c r="B62" s="17" t="s">
        <v>123</v>
      </c>
      <c r="C62" s="17" t="s">
        <v>39</v>
      </c>
      <c r="D62" s="17" t="s">
        <v>40</v>
      </c>
      <c r="E62" s="17" t="s">
        <v>124</v>
      </c>
      <c r="J62" s="18" t="n">
        <v>0</v>
      </c>
      <c r="K62" s="22" t="n">
        <v>181036</v>
      </c>
      <c r="L62" s="18" t="n">
        <v>-200036</v>
      </c>
    </row>
    <row r="63" customFormat="false" ht="9.75" hidden="false" customHeight="false" outlineLevel="0" collapsed="false">
      <c r="A63" s="16" t="n">
        <v>45405</v>
      </c>
      <c r="B63" s="17" t="s">
        <v>125</v>
      </c>
      <c r="C63" s="17" t="s">
        <v>39</v>
      </c>
      <c r="D63" s="17" t="s">
        <v>40</v>
      </c>
      <c r="E63" s="17" t="s">
        <v>126</v>
      </c>
      <c r="J63" s="22" t="n">
        <v>19000</v>
      </c>
      <c r="K63" s="18" t="n">
        <v>0</v>
      </c>
      <c r="L63" s="22" t="n">
        <v>-181036</v>
      </c>
    </row>
    <row r="64" customFormat="false" ht="9.75" hidden="false" customHeight="false" outlineLevel="0" collapsed="false">
      <c r="A64" s="16" t="n">
        <v>45407</v>
      </c>
      <c r="B64" s="17" t="s">
        <v>127</v>
      </c>
      <c r="C64" s="17" t="s">
        <v>39</v>
      </c>
      <c r="D64" s="17" t="s">
        <v>40</v>
      </c>
      <c r="E64" s="17" t="s">
        <v>128</v>
      </c>
      <c r="J64" s="18" t="n">
        <v>0</v>
      </c>
      <c r="K64" s="18" t="n">
        <v>9500</v>
      </c>
      <c r="L64" s="18" t="n">
        <v>-190536</v>
      </c>
    </row>
    <row r="65" customFormat="false" ht="9.75" hidden="false" customHeight="false" outlineLevel="0" collapsed="false">
      <c r="A65" s="16" t="n">
        <v>45412</v>
      </c>
      <c r="B65" s="17" t="s">
        <v>129</v>
      </c>
      <c r="C65" s="17" t="s">
        <v>39</v>
      </c>
      <c r="D65" s="17" t="s">
        <v>40</v>
      </c>
      <c r="E65" s="17" t="s">
        <v>130</v>
      </c>
      <c r="J65" s="18" t="n">
        <v>171536</v>
      </c>
      <c r="K65" s="18" t="n">
        <v>0</v>
      </c>
      <c r="L65" s="18" t="n">
        <v>-19000</v>
      </c>
    </row>
    <row r="66" customFormat="false" ht="9.75" hidden="false" customHeight="false" outlineLevel="0" collapsed="false">
      <c r="A66" s="16" t="n">
        <v>45422</v>
      </c>
      <c r="B66" s="17" t="s">
        <v>131</v>
      </c>
      <c r="C66" s="17" t="s">
        <v>39</v>
      </c>
      <c r="D66" s="17" t="s">
        <v>40</v>
      </c>
      <c r="E66" s="17" t="s">
        <v>132</v>
      </c>
      <c r="J66" s="18" t="n">
        <v>171536</v>
      </c>
      <c r="K66" s="18" t="n">
        <v>0</v>
      </c>
      <c r="L66" s="18" t="n">
        <v>152536</v>
      </c>
    </row>
    <row r="67" customFormat="false" ht="9.75" hidden="false" customHeight="false" outlineLevel="0" collapsed="false">
      <c r="A67" s="16" t="n">
        <v>45426</v>
      </c>
      <c r="B67" s="17" t="s">
        <v>133</v>
      </c>
      <c r="C67" s="17" t="s">
        <v>39</v>
      </c>
      <c r="D67" s="17" t="s">
        <v>40</v>
      </c>
      <c r="E67" s="17" t="s">
        <v>134</v>
      </c>
      <c r="J67" s="18" t="n">
        <v>0</v>
      </c>
      <c r="K67" s="18" t="n">
        <v>181036</v>
      </c>
      <c r="L67" s="18" t="n">
        <v>-28500</v>
      </c>
    </row>
    <row r="68" customFormat="false" ht="9.75" hidden="false" customHeight="false" outlineLevel="0" collapsed="false">
      <c r="A68" s="16" t="n">
        <v>45441</v>
      </c>
      <c r="B68" s="17" t="s">
        <v>135</v>
      </c>
      <c r="C68" s="17" t="s">
        <v>39</v>
      </c>
      <c r="D68" s="17" t="s">
        <v>40</v>
      </c>
      <c r="E68" s="17" t="s">
        <v>136</v>
      </c>
      <c r="J68" s="18" t="n">
        <v>0</v>
      </c>
      <c r="K68" s="18" t="n">
        <v>9500</v>
      </c>
      <c r="L68" s="18" t="n">
        <v>-38000</v>
      </c>
    </row>
    <row r="69" customFormat="false" ht="9.75" hidden="false" customHeight="false" outlineLevel="0" collapsed="false">
      <c r="A69" s="16" t="n">
        <v>45443</v>
      </c>
      <c r="B69" s="17" t="s">
        <v>137</v>
      </c>
      <c r="C69" s="17" t="s">
        <v>39</v>
      </c>
      <c r="D69" s="17" t="s">
        <v>40</v>
      </c>
      <c r="E69" s="17" t="s">
        <v>138</v>
      </c>
      <c r="J69" s="18" t="n">
        <v>19000</v>
      </c>
      <c r="K69" s="18" t="n">
        <v>0</v>
      </c>
      <c r="L69" s="18" t="n">
        <v>-19000</v>
      </c>
    </row>
    <row r="70" customFormat="false" ht="9.75" hidden="false" customHeight="false" outlineLevel="0" collapsed="false">
      <c r="A70" s="16" t="n">
        <v>45457</v>
      </c>
      <c r="B70" s="17" t="s">
        <v>139</v>
      </c>
      <c r="C70" s="17" t="s">
        <v>39</v>
      </c>
      <c r="D70" s="17" t="s">
        <v>40</v>
      </c>
      <c r="E70" s="17" t="s">
        <v>140</v>
      </c>
      <c r="J70" s="18" t="n">
        <v>0</v>
      </c>
      <c r="K70" s="18" t="n">
        <v>181036</v>
      </c>
      <c r="L70" s="18" t="n">
        <v>-200036</v>
      </c>
    </row>
    <row r="71" customFormat="false" ht="9.75" hidden="false" customHeight="false" outlineLevel="0" collapsed="false">
      <c r="A71" s="16" t="n">
        <v>45469</v>
      </c>
      <c r="B71" s="17" t="s">
        <v>141</v>
      </c>
      <c r="C71" s="17" t="s">
        <v>39</v>
      </c>
      <c r="D71" s="17" t="s">
        <v>40</v>
      </c>
      <c r="E71" s="17" t="s">
        <v>142</v>
      </c>
      <c r="J71" s="18" t="n">
        <v>171536</v>
      </c>
      <c r="K71" s="18" t="n">
        <v>0</v>
      </c>
      <c r="L71" s="18" t="n">
        <v>-28500</v>
      </c>
    </row>
    <row r="72" customFormat="false" ht="9.75" hidden="false" customHeight="false" outlineLevel="0" collapsed="false">
      <c r="A72" s="16" t="n">
        <v>45469</v>
      </c>
      <c r="B72" s="17" t="s">
        <v>143</v>
      </c>
      <c r="C72" s="17" t="s">
        <v>39</v>
      </c>
      <c r="D72" s="17" t="s">
        <v>40</v>
      </c>
      <c r="E72" s="17" t="s">
        <v>144</v>
      </c>
      <c r="J72" s="18" t="n">
        <v>19000</v>
      </c>
      <c r="K72" s="18" t="n">
        <v>0</v>
      </c>
      <c r="L72" s="18" t="n">
        <v>-9500</v>
      </c>
    </row>
    <row r="73" customFormat="false" ht="9.75" hidden="false" customHeight="false" outlineLevel="0" collapsed="false">
      <c r="A73" s="16" t="n">
        <v>45470</v>
      </c>
      <c r="B73" s="17" t="s">
        <v>145</v>
      </c>
      <c r="C73" s="17" t="s">
        <v>39</v>
      </c>
      <c r="D73" s="17" t="s">
        <v>40</v>
      </c>
      <c r="E73" s="17" t="s">
        <v>146</v>
      </c>
      <c r="J73" s="18" t="n">
        <v>0</v>
      </c>
      <c r="K73" s="18" t="n">
        <v>9500</v>
      </c>
      <c r="L73" s="18" t="n">
        <v>-19000</v>
      </c>
    </row>
    <row r="74" customFormat="false" ht="9.75" hidden="false" customHeight="false" outlineLevel="0" collapsed="false">
      <c r="A74" s="16" t="n">
        <v>45484</v>
      </c>
      <c r="B74" s="17" t="s">
        <v>147</v>
      </c>
      <c r="C74" s="17" t="s">
        <v>39</v>
      </c>
      <c r="D74" s="17" t="s">
        <v>40</v>
      </c>
      <c r="E74" s="17" t="s">
        <v>148</v>
      </c>
      <c r="J74" s="18" t="n">
        <v>0</v>
      </c>
      <c r="K74" s="18" t="n">
        <v>181036</v>
      </c>
      <c r="L74" s="18" t="n">
        <v>-200036</v>
      </c>
    </row>
    <row r="75" customFormat="false" ht="9.75" hidden="false" customHeight="false" outlineLevel="0" collapsed="false">
      <c r="A75" s="16" t="n">
        <v>45498</v>
      </c>
      <c r="B75" s="17" t="s">
        <v>149</v>
      </c>
      <c r="C75" s="17" t="s">
        <v>39</v>
      </c>
      <c r="D75" s="17" t="s">
        <v>40</v>
      </c>
      <c r="E75" s="17" t="s">
        <v>150</v>
      </c>
      <c r="J75" s="18" t="n">
        <v>171536</v>
      </c>
      <c r="K75" s="18" t="n">
        <v>0</v>
      </c>
      <c r="L75" s="18" t="n">
        <v>-28500</v>
      </c>
    </row>
    <row r="76" customFormat="false" ht="9.75" hidden="false" customHeight="false" outlineLevel="0" collapsed="false">
      <c r="A76" s="16" t="n">
        <v>45502</v>
      </c>
      <c r="B76" s="17" t="s">
        <v>151</v>
      </c>
      <c r="C76" s="17" t="s">
        <v>39</v>
      </c>
      <c r="D76" s="17" t="s">
        <v>40</v>
      </c>
      <c r="E76" s="17" t="s">
        <v>152</v>
      </c>
      <c r="J76" s="18" t="n">
        <v>0</v>
      </c>
      <c r="K76" s="18" t="n">
        <v>9500</v>
      </c>
      <c r="L76" s="18" t="n">
        <v>-38000</v>
      </c>
    </row>
    <row r="77" customFormat="false" ht="9.75" hidden="false" customHeight="false" outlineLevel="0" collapsed="false">
      <c r="A77" s="16" t="n">
        <v>45504</v>
      </c>
      <c r="B77" s="17" t="s">
        <v>153</v>
      </c>
      <c r="C77" s="17" t="s">
        <v>39</v>
      </c>
      <c r="D77" s="17" t="s">
        <v>40</v>
      </c>
      <c r="E77" s="17" t="s">
        <v>154</v>
      </c>
      <c r="J77" s="18" t="n">
        <v>19000</v>
      </c>
      <c r="K77" s="18" t="n">
        <v>0</v>
      </c>
      <c r="L77" s="18" t="n">
        <v>-19000</v>
      </c>
    </row>
    <row r="78" customFormat="false" ht="9.75" hidden="false" customHeight="false" outlineLevel="0" collapsed="false">
      <c r="A78" s="16" t="n">
        <v>45514</v>
      </c>
      <c r="B78" s="17" t="s">
        <v>155</v>
      </c>
      <c r="C78" s="17" t="s">
        <v>39</v>
      </c>
      <c r="D78" s="17" t="s">
        <v>40</v>
      </c>
      <c r="E78" s="17" t="s">
        <v>156</v>
      </c>
      <c r="J78" s="18" t="n">
        <v>171536</v>
      </c>
      <c r="K78" s="18" t="n">
        <v>0</v>
      </c>
      <c r="L78" s="18" t="n">
        <v>152536</v>
      </c>
    </row>
    <row r="79" customFormat="false" ht="9.75" hidden="false" customHeight="false" outlineLevel="0" collapsed="false">
      <c r="A79" s="16" t="n">
        <v>45516</v>
      </c>
      <c r="B79" s="17" t="s">
        <v>157</v>
      </c>
      <c r="C79" s="17" t="s">
        <v>39</v>
      </c>
      <c r="D79" s="17" t="s">
        <v>40</v>
      </c>
      <c r="E79" s="17" t="s">
        <v>158</v>
      </c>
      <c r="J79" s="18" t="n">
        <v>19000</v>
      </c>
      <c r="K79" s="18" t="n">
        <v>0</v>
      </c>
      <c r="L79" s="18" t="n">
        <v>171536</v>
      </c>
    </row>
    <row r="80" customFormat="false" ht="9.75" hidden="false" customHeight="false" outlineLevel="0" collapsed="false">
      <c r="A80" s="16" t="n">
        <v>45518</v>
      </c>
      <c r="B80" s="17" t="s">
        <v>159</v>
      </c>
      <c r="C80" s="17" t="s">
        <v>39</v>
      </c>
      <c r="D80" s="17" t="s">
        <v>40</v>
      </c>
      <c r="E80" s="17" t="s">
        <v>160</v>
      </c>
      <c r="J80" s="18" t="n">
        <v>0</v>
      </c>
      <c r="K80" s="18" t="n">
        <v>181036</v>
      </c>
      <c r="L80" s="18" t="n">
        <v>-9500</v>
      </c>
    </row>
    <row r="81" customFormat="false" ht="9.75" hidden="false" customHeight="false" outlineLevel="0" collapsed="false">
      <c r="A81" s="16" t="n">
        <v>45532</v>
      </c>
      <c r="B81" s="17" t="s">
        <v>161</v>
      </c>
      <c r="C81" s="17" t="s">
        <v>39</v>
      </c>
      <c r="D81" s="17" t="s">
        <v>40</v>
      </c>
      <c r="E81" s="17" t="s">
        <v>162</v>
      </c>
      <c r="J81" s="18" t="n">
        <v>0</v>
      </c>
      <c r="K81" s="18" t="n">
        <v>9500</v>
      </c>
      <c r="L81" s="18" t="n">
        <v>-19000</v>
      </c>
    </row>
    <row r="82" customFormat="false" ht="9.75" hidden="false" customHeight="false" outlineLevel="0" collapsed="false">
      <c r="A82" s="16" t="n">
        <v>45546</v>
      </c>
      <c r="B82" s="17" t="s">
        <v>163</v>
      </c>
      <c r="C82" s="17" t="s">
        <v>39</v>
      </c>
      <c r="D82" s="17" t="s">
        <v>40</v>
      </c>
      <c r="E82" s="17" t="s">
        <v>164</v>
      </c>
      <c r="J82" s="19" t="n">
        <v>171536</v>
      </c>
      <c r="K82" s="18" t="n">
        <v>0</v>
      </c>
      <c r="L82" s="18" t="n">
        <v>152536</v>
      </c>
    </row>
    <row r="83" customFormat="false" ht="9.75" hidden="false" customHeight="false" outlineLevel="0" collapsed="false">
      <c r="A83" s="16" t="n">
        <v>45548</v>
      </c>
      <c r="B83" s="17" t="s">
        <v>165</v>
      </c>
      <c r="C83" s="17" t="s">
        <v>39</v>
      </c>
      <c r="D83" s="17" t="s">
        <v>40</v>
      </c>
      <c r="E83" s="17" t="s">
        <v>166</v>
      </c>
      <c r="J83" s="18" t="n">
        <v>0</v>
      </c>
      <c r="K83" s="18" t="n">
        <v>120726</v>
      </c>
      <c r="L83" s="18" t="n">
        <v>31810</v>
      </c>
    </row>
    <row r="84" customFormat="false" ht="9.75" hidden="false" customHeight="false" outlineLevel="0" collapsed="false">
      <c r="A84" s="16" t="n">
        <v>45560</v>
      </c>
      <c r="B84" s="17" t="s">
        <v>167</v>
      </c>
      <c r="C84" s="17" t="s">
        <v>39</v>
      </c>
      <c r="D84" s="17" t="s">
        <v>40</v>
      </c>
      <c r="E84" s="17" t="s">
        <v>168</v>
      </c>
      <c r="J84" s="18" t="n">
        <v>19000</v>
      </c>
      <c r="K84" s="18" t="n">
        <v>0</v>
      </c>
      <c r="L84" s="18" t="n">
        <v>50810</v>
      </c>
    </row>
    <row r="85" customFormat="false" ht="9.75" hidden="false" customHeight="false" outlineLevel="0" collapsed="false">
      <c r="A85" s="16" t="n">
        <v>45561</v>
      </c>
      <c r="B85" s="17" t="s">
        <v>169</v>
      </c>
      <c r="C85" s="17" t="s">
        <v>39</v>
      </c>
      <c r="D85" s="17" t="s">
        <v>40</v>
      </c>
      <c r="E85" s="17" t="s">
        <v>170</v>
      </c>
      <c r="J85" s="18" t="n">
        <v>0</v>
      </c>
      <c r="K85" s="18" t="n">
        <v>9500</v>
      </c>
      <c r="L85" s="18" t="n">
        <v>41310</v>
      </c>
    </row>
    <row r="86" customFormat="false" ht="9.75" hidden="false" customHeight="false" outlineLevel="0" collapsed="false">
      <c r="A86" s="16" t="n">
        <v>45574</v>
      </c>
      <c r="B86" s="17" t="s">
        <v>171</v>
      </c>
      <c r="C86" s="17" t="s">
        <v>39</v>
      </c>
      <c r="D86" s="17" t="s">
        <v>40</v>
      </c>
      <c r="E86" s="17" t="s">
        <v>172</v>
      </c>
      <c r="J86" s="18" t="n">
        <v>0</v>
      </c>
      <c r="K86" s="18" t="n">
        <v>176933</v>
      </c>
      <c r="L86" s="18" t="n">
        <v>-135623</v>
      </c>
    </row>
    <row r="87" customFormat="false" ht="9.75" hidden="false" customHeight="false" outlineLevel="0" collapsed="false">
      <c r="A87" s="16" t="n">
        <v>45581</v>
      </c>
      <c r="B87" s="17" t="s">
        <v>173</v>
      </c>
      <c r="C87" s="17" t="s">
        <v>39</v>
      </c>
      <c r="D87" s="17" t="s">
        <v>40</v>
      </c>
      <c r="E87" s="17" t="s">
        <v>174</v>
      </c>
      <c r="J87" s="18" t="n">
        <v>19000</v>
      </c>
      <c r="K87" s="18" t="n">
        <v>0</v>
      </c>
      <c r="L87" s="18" t="n">
        <v>-116623</v>
      </c>
    </row>
    <row r="88" customFormat="false" ht="9.75" hidden="false" customHeight="false" outlineLevel="0" collapsed="false">
      <c r="A88" s="16" t="n">
        <v>45590</v>
      </c>
      <c r="B88" s="17" t="s">
        <v>175</v>
      </c>
      <c r="C88" s="17" t="s">
        <v>39</v>
      </c>
      <c r="D88" s="17" t="s">
        <v>40</v>
      </c>
      <c r="E88" s="17" t="s">
        <v>176</v>
      </c>
      <c r="J88" s="18" t="n">
        <v>0</v>
      </c>
      <c r="K88" s="18" t="n">
        <v>9500</v>
      </c>
      <c r="L88" s="18" t="n">
        <v>-126123</v>
      </c>
    </row>
    <row r="89" customFormat="false" ht="9.75" hidden="false" customHeight="false" outlineLevel="0" collapsed="false">
      <c r="A89" s="16" t="n">
        <v>45609</v>
      </c>
      <c r="B89" s="17" t="s">
        <v>177</v>
      </c>
      <c r="C89" s="17" t="s">
        <v>39</v>
      </c>
      <c r="D89" s="17" t="s">
        <v>40</v>
      </c>
      <c r="E89" s="17" t="s">
        <v>178</v>
      </c>
      <c r="J89" s="18" t="n">
        <v>0</v>
      </c>
      <c r="K89" s="18" t="n">
        <v>176933</v>
      </c>
      <c r="L89" s="18" t="n">
        <v>-303056</v>
      </c>
    </row>
    <row r="90" customFormat="false" ht="9.75" hidden="false" customHeight="false" outlineLevel="0" collapsed="false">
      <c r="A90" s="16" t="n">
        <v>45614</v>
      </c>
      <c r="B90" s="17" t="s">
        <v>179</v>
      </c>
      <c r="C90" s="17" t="s">
        <v>39</v>
      </c>
      <c r="D90" s="17" t="s">
        <v>40</v>
      </c>
      <c r="E90" s="17" t="s">
        <v>180</v>
      </c>
      <c r="J90" s="18" t="n">
        <v>19000</v>
      </c>
      <c r="K90" s="18" t="n">
        <v>0</v>
      </c>
      <c r="L90" s="18" t="n">
        <v>-284056</v>
      </c>
    </row>
    <row r="91" customFormat="false" ht="9.75" hidden="false" customHeight="false" outlineLevel="0" collapsed="false">
      <c r="A91" s="16" t="n">
        <v>45624</v>
      </c>
      <c r="B91" s="17" t="s">
        <v>181</v>
      </c>
      <c r="C91" s="17" t="s">
        <v>39</v>
      </c>
      <c r="D91" s="17" t="s">
        <v>40</v>
      </c>
      <c r="E91" s="17" t="s">
        <v>182</v>
      </c>
      <c r="J91" s="18" t="n">
        <v>0</v>
      </c>
      <c r="K91" s="18" t="n">
        <v>9500</v>
      </c>
      <c r="L91" s="18" t="n">
        <v>-293556</v>
      </c>
    </row>
    <row r="92" customFormat="false" ht="9.75" hidden="false" customHeight="false" outlineLevel="0" collapsed="false">
      <c r="A92" s="16" t="n">
        <v>45626</v>
      </c>
      <c r="B92" s="17" t="s">
        <v>183</v>
      </c>
      <c r="C92" s="17" t="s">
        <v>39</v>
      </c>
      <c r="D92" s="17" t="s">
        <v>40</v>
      </c>
      <c r="E92" s="17" t="s">
        <v>184</v>
      </c>
      <c r="J92" s="18" t="n">
        <v>35700</v>
      </c>
      <c r="K92" s="18" t="n">
        <v>0</v>
      </c>
      <c r="L92" s="18" t="n">
        <v>-257856</v>
      </c>
    </row>
    <row r="93" customFormat="false" ht="9.75" hidden="false" customHeight="false" outlineLevel="0" collapsed="false">
      <c r="A93" s="16" t="n">
        <v>45626</v>
      </c>
      <c r="B93" s="17" t="s">
        <v>183</v>
      </c>
      <c r="C93" s="17" t="s">
        <v>39</v>
      </c>
      <c r="D93" s="17" t="s">
        <v>40</v>
      </c>
      <c r="E93" s="17" t="s">
        <v>184</v>
      </c>
      <c r="J93" s="18" t="n">
        <v>131733</v>
      </c>
      <c r="K93" s="18" t="n">
        <v>0</v>
      </c>
      <c r="L93" s="18" t="n">
        <v>-126123</v>
      </c>
    </row>
    <row r="94" customFormat="false" ht="9.75" hidden="false" customHeight="false" outlineLevel="0" collapsed="false">
      <c r="A94" s="16" t="n">
        <v>45637</v>
      </c>
      <c r="B94" s="17" t="s">
        <v>185</v>
      </c>
      <c r="C94" s="17" t="s">
        <v>39</v>
      </c>
      <c r="D94" s="17" t="s">
        <v>40</v>
      </c>
      <c r="E94" s="17" t="s">
        <v>186</v>
      </c>
      <c r="J94" s="18" t="n">
        <v>0</v>
      </c>
      <c r="K94" s="18" t="n">
        <v>237243</v>
      </c>
      <c r="L94" s="18" t="n">
        <v>-363366</v>
      </c>
    </row>
    <row r="95" customFormat="false" ht="9.75" hidden="false" customHeight="false" outlineLevel="0" collapsed="false">
      <c r="A95" s="16" t="n">
        <v>45643</v>
      </c>
      <c r="B95" s="17" t="s">
        <v>187</v>
      </c>
      <c r="C95" s="17" t="s">
        <v>39</v>
      </c>
      <c r="D95" s="17" t="s">
        <v>40</v>
      </c>
      <c r="E95" s="17" t="s">
        <v>188</v>
      </c>
      <c r="J95" s="18" t="n">
        <v>19000</v>
      </c>
      <c r="K95" s="18" t="n">
        <v>0</v>
      </c>
      <c r="L95" s="18" t="n">
        <v>-344366</v>
      </c>
    </row>
    <row r="96" customFormat="false" ht="9.75" hidden="false" customHeight="false" outlineLevel="0" collapsed="false">
      <c r="A96" s="16" t="n">
        <v>45644</v>
      </c>
      <c r="B96" s="17" t="s">
        <v>189</v>
      </c>
      <c r="C96" s="17" t="s">
        <v>39</v>
      </c>
      <c r="D96" s="17" t="s">
        <v>40</v>
      </c>
      <c r="E96" s="17" t="s">
        <v>190</v>
      </c>
      <c r="J96" s="18" t="n">
        <v>0</v>
      </c>
      <c r="K96" s="18" t="n">
        <v>186433</v>
      </c>
      <c r="L96" s="18" t="n">
        <v>-530799</v>
      </c>
    </row>
    <row r="97" customFormat="false" ht="9.75" hidden="false" customHeight="false" outlineLevel="0" collapsed="false">
      <c r="A97" s="16" t="n">
        <v>45657</v>
      </c>
      <c r="B97" s="17" t="s">
        <v>191</v>
      </c>
      <c r="C97" s="17" t="s">
        <v>39</v>
      </c>
      <c r="D97" s="17" t="s">
        <v>40</v>
      </c>
      <c r="E97" s="17" t="s">
        <v>192</v>
      </c>
      <c r="J97" s="18" t="n">
        <v>35700</v>
      </c>
      <c r="K97" s="18" t="n">
        <v>0</v>
      </c>
      <c r="L97" s="18" t="n">
        <v>-495099</v>
      </c>
    </row>
    <row r="98" customFormat="false" ht="9.75" hidden="false" customHeight="false" outlineLevel="0" collapsed="false">
      <c r="A98" s="16" t="n">
        <v>45657</v>
      </c>
      <c r="B98" s="17" t="s">
        <v>191</v>
      </c>
      <c r="C98" s="17" t="s">
        <v>39</v>
      </c>
      <c r="D98" s="17" t="s">
        <v>40</v>
      </c>
      <c r="E98" s="17" t="s">
        <v>192</v>
      </c>
      <c r="J98" s="18" t="n">
        <v>131733</v>
      </c>
      <c r="K98" s="18" t="n">
        <v>0</v>
      </c>
      <c r="L98" s="18" t="n">
        <v>-363366</v>
      </c>
    </row>
    <row r="99" customFormat="false" ht="9.75" hidden="false" customHeight="false" outlineLevel="0" collapsed="false">
      <c r="A99" s="16" t="n">
        <v>45657</v>
      </c>
      <c r="B99" s="17" t="s">
        <v>193</v>
      </c>
      <c r="C99" s="17" t="s">
        <v>39</v>
      </c>
      <c r="D99" s="17" t="s">
        <v>40</v>
      </c>
      <c r="E99" s="17" t="s">
        <v>194</v>
      </c>
      <c r="J99" s="18" t="n">
        <v>363366</v>
      </c>
      <c r="K99" s="18" t="n">
        <v>0</v>
      </c>
      <c r="L99" s="19" t="n">
        <v>0</v>
      </c>
      <c r="M99" s="11" t="s">
        <v>195</v>
      </c>
    </row>
    <row r="100" customFormat="false" ht="9.75" hidden="false" customHeight="false" outlineLevel="0" collapsed="false">
      <c r="A100" s="16" t="n">
        <v>45671</v>
      </c>
      <c r="B100" s="17" t="s">
        <v>196</v>
      </c>
      <c r="C100" s="17" t="s">
        <v>39</v>
      </c>
      <c r="D100" s="17" t="s">
        <v>40</v>
      </c>
      <c r="E100" s="17" t="s">
        <v>197</v>
      </c>
      <c r="J100" s="18" t="n">
        <v>19000</v>
      </c>
      <c r="K100" s="18" t="n">
        <v>0</v>
      </c>
      <c r="L100" s="18" t="n">
        <v>19000</v>
      </c>
    </row>
    <row r="101" customFormat="false" ht="9.75" hidden="false" customHeight="false" outlineLevel="0" collapsed="false">
      <c r="A101" s="16" t="n">
        <v>45684</v>
      </c>
      <c r="B101" s="17" t="s">
        <v>198</v>
      </c>
      <c r="C101" s="17" t="s">
        <v>39</v>
      </c>
      <c r="D101" s="17" t="s">
        <v>40</v>
      </c>
      <c r="E101" s="17" t="s">
        <v>199</v>
      </c>
      <c r="J101" s="18" t="n">
        <v>0</v>
      </c>
      <c r="K101" s="18" t="n">
        <v>9500</v>
      </c>
      <c r="L101" s="18" t="n">
        <v>9500</v>
      </c>
    </row>
    <row r="102" customFormat="false" ht="9.75" hidden="false" customHeight="false" outlineLevel="0" collapsed="false">
      <c r="A102" s="16" t="n">
        <v>45688</v>
      </c>
      <c r="B102" s="17" t="s">
        <v>200</v>
      </c>
      <c r="C102" s="17" t="s">
        <v>39</v>
      </c>
      <c r="D102" s="17" t="s">
        <v>40</v>
      </c>
      <c r="E102" s="17" t="s">
        <v>201</v>
      </c>
      <c r="J102" s="18" t="n">
        <v>0</v>
      </c>
      <c r="K102" s="18" t="n">
        <v>363366</v>
      </c>
      <c r="L102" s="18" t="n">
        <v>-353866</v>
      </c>
      <c r="M102" s="23"/>
    </row>
    <row r="103" customFormat="false" ht="9.75" hidden="false" customHeight="false" outlineLevel="0" collapsed="false">
      <c r="A103" s="16" t="n">
        <v>45688</v>
      </c>
      <c r="B103" s="17" t="s">
        <v>202</v>
      </c>
      <c r="C103" s="17" t="s">
        <v>39</v>
      </c>
      <c r="D103" s="17" t="s">
        <v>40</v>
      </c>
      <c r="E103" s="17" t="s">
        <v>203</v>
      </c>
      <c r="J103" s="18" t="n">
        <v>35700</v>
      </c>
      <c r="K103" s="18" t="n">
        <v>0</v>
      </c>
      <c r="L103" s="18" t="n">
        <v>-318166</v>
      </c>
      <c r="M103" s="23"/>
    </row>
    <row r="104" customFormat="false" ht="9.75" hidden="false" customHeight="false" outlineLevel="0" collapsed="false">
      <c r="A104" s="16" t="n">
        <v>45688</v>
      </c>
      <c r="B104" s="17" t="s">
        <v>202</v>
      </c>
      <c r="C104" s="17" t="s">
        <v>39</v>
      </c>
      <c r="D104" s="17" t="s">
        <v>40</v>
      </c>
      <c r="E104" s="17" t="s">
        <v>203</v>
      </c>
      <c r="J104" s="18" t="n">
        <v>131733</v>
      </c>
      <c r="K104" s="18" t="n">
        <v>0</v>
      </c>
      <c r="L104" s="18" t="n">
        <v>-186433</v>
      </c>
      <c r="M104" s="23"/>
    </row>
    <row r="105" customFormat="false" ht="9.75" hidden="false" customHeight="false" outlineLevel="0" collapsed="false">
      <c r="A105" s="16" t="n">
        <v>45699</v>
      </c>
      <c r="B105" s="17" t="s">
        <v>204</v>
      </c>
      <c r="C105" s="17" t="s">
        <v>39</v>
      </c>
      <c r="D105" s="17" t="s">
        <v>40</v>
      </c>
      <c r="E105" s="17" t="s">
        <v>205</v>
      </c>
      <c r="J105" s="18" t="n">
        <v>19000</v>
      </c>
      <c r="K105" s="18" t="n">
        <v>0</v>
      </c>
      <c r="L105" s="18" t="n">
        <v>-167433</v>
      </c>
      <c r="M105" s="23"/>
    </row>
    <row r="106" customFormat="false" ht="9.75" hidden="false" customHeight="false" outlineLevel="0" collapsed="false">
      <c r="A106" s="16" t="n">
        <v>45701</v>
      </c>
      <c r="B106" s="17" t="s">
        <v>206</v>
      </c>
      <c r="C106" s="17" t="s">
        <v>39</v>
      </c>
      <c r="D106" s="17" t="s">
        <v>40</v>
      </c>
      <c r="E106" s="17" t="s">
        <v>207</v>
      </c>
      <c r="J106" s="18" t="n">
        <v>0</v>
      </c>
      <c r="K106" s="18" t="n">
        <v>176933</v>
      </c>
      <c r="L106" s="18" t="n">
        <v>-344366</v>
      </c>
      <c r="M106" s="23"/>
    </row>
    <row r="107" customFormat="false" ht="9.75" hidden="false" customHeight="false" outlineLevel="0" collapsed="false">
      <c r="A107" s="16" t="n">
        <v>45715</v>
      </c>
      <c r="B107" s="17" t="s">
        <v>208</v>
      </c>
      <c r="C107" s="17" t="s">
        <v>39</v>
      </c>
      <c r="D107" s="17" t="s">
        <v>40</v>
      </c>
      <c r="E107" s="17" t="s">
        <v>209</v>
      </c>
      <c r="J107" s="18" t="n">
        <v>0</v>
      </c>
      <c r="K107" s="18" t="n">
        <v>9500</v>
      </c>
      <c r="L107" s="18" t="n">
        <v>-353866</v>
      </c>
      <c r="M107" s="23"/>
    </row>
    <row r="108" customFormat="false" ht="9.75" hidden="false" customHeight="false" outlineLevel="0" collapsed="false">
      <c r="A108" s="16" t="n">
        <v>45716</v>
      </c>
      <c r="B108" s="17" t="s">
        <v>210</v>
      </c>
      <c r="C108" s="17" t="s">
        <v>39</v>
      </c>
      <c r="D108" s="17" t="s">
        <v>40</v>
      </c>
      <c r="E108" s="17" t="s">
        <v>211</v>
      </c>
      <c r="J108" s="18" t="n">
        <v>35700</v>
      </c>
      <c r="K108" s="18" t="n">
        <v>0</v>
      </c>
      <c r="L108" s="18" t="n">
        <v>-318166</v>
      </c>
      <c r="M108" s="23"/>
    </row>
    <row r="109" customFormat="false" ht="9.75" hidden="false" customHeight="false" outlineLevel="0" collapsed="false">
      <c r="A109" s="16" t="n">
        <v>45716</v>
      </c>
      <c r="B109" s="17" t="s">
        <v>210</v>
      </c>
      <c r="C109" s="17" t="s">
        <v>39</v>
      </c>
      <c r="D109" s="17" t="s">
        <v>40</v>
      </c>
      <c r="E109" s="17" t="s">
        <v>211</v>
      </c>
      <c r="J109" s="18" t="n">
        <v>131733</v>
      </c>
      <c r="K109" s="18" t="n">
        <v>0</v>
      </c>
      <c r="L109" s="18" t="n">
        <v>-186433</v>
      </c>
      <c r="M109" s="23"/>
    </row>
    <row r="110" customFormat="false" ht="9.75" hidden="false" customHeight="false" outlineLevel="0" collapsed="false">
      <c r="A110" s="16" t="n">
        <v>45728</v>
      </c>
      <c r="B110" s="17" t="s">
        <v>212</v>
      </c>
      <c r="C110" s="17" t="s">
        <v>39</v>
      </c>
      <c r="D110" s="17" t="s">
        <v>40</v>
      </c>
      <c r="E110" s="17" t="s">
        <v>213</v>
      </c>
      <c r="J110" s="18" t="n">
        <v>19000</v>
      </c>
      <c r="K110" s="18" t="n">
        <v>0</v>
      </c>
      <c r="L110" s="18" t="n">
        <v>-167433</v>
      </c>
      <c r="M110" s="23"/>
    </row>
    <row r="111" customFormat="false" ht="9.75" hidden="false" customHeight="false" outlineLevel="0" collapsed="false">
      <c r="A111" s="16" t="n">
        <v>45730</v>
      </c>
      <c r="B111" s="17" t="s">
        <v>214</v>
      </c>
      <c r="C111" s="17" t="s">
        <v>39</v>
      </c>
      <c r="D111" s="17" t="s">
        <v>40</v>
      </c>
      <c r="E111" s="17" t="s">
        <v>215</v>
      </c>
      <c r="J111" s="18" t="n">
        <v>0</v>
      </c>
      <c r="K111" s="18" t="n">
        <v>176933</v>
      </c>
      <c r="L111" s="18" t="n">
        <v>-344366</v>
      </c>
      <c r="M111" s="23"/>
    </row>
    <row r="112" customFormat="false" ht="9.75" hidden="false" customHeight="false" outlineLevel="0" collapsed="false">
      <c r="A112" s="16" t="n">
        <v>45744</v>
      </c>
      <c r="B112" s="17" t="s">
        <v>216</v>
      </c>
      <c r="C112" s="17" t="s">
        <v>39</v>
      </c>
      <c r="D112" s="17" t="s">
        <v>40</v>
      </c>
      <c r="E112" s="17" t="s">
        <v>217</v>
      </c>
      <c r="J112" s="18" t="n">
        <v>0</v>
      </c>
      <c r="K112" s="18" t="n">
        <v>9500</v>
      </c>
      <c r="L112" s="18" t="n">
        <v>-353866</v>
      </c>
      <c r="M112" s="23"/>
    </row>
    <row r="113" customFormat="false" ht="9.75" hidden="false" customHeight="false" outlineLevel="0" collapsed="false">
      <c r="A113" s="16" t="n">
        <v>45747</v>
      </c>
      <c r="B113" s="17" t="s">
        <v>218</v>
      </c>
      <c r="C113" s="17" t="s">
        <v>39</v>
      </c>
      <c r="D113" s="17" t="s">
        <v>40</v>
      </c>
      <c r="E113" s="17" t="s">
        <v>219</v>
      </c>
      <c r="J113" s="18" t="n">
        <v>19988</v>
      </c>
      <c r="K113" s="18" t="n">
        <v>0</v>
      </c>
      <c r="L113" s="18" t="n">
        <v>-333878</v>
      </c>
      <c r="M113" s="23"/>
    </row>
    <row r="114" customFormat="false" ht="9.75" hidden="false" customHeight="false" outlineLevel="0" collapsed="false">
      <c r="A114" s="16" t="n">
        <v>45747</v>
      </c>
      <c r="B114" s="17" t="s">
        <v>220</v>
      </c>
      <c r="C114" s="17" t="s">
        <v>39</v>
      </c>
      <c r="D114" s="17" t="s">
        <v>40</v>
      </c>
      <c r="E114" s="17" t="s">
        <v>221</v>
      </c>
      <c r="J114" s="18" t="n">
        <v>35700</v>
      </c>
      <c r="K114" s="18" t="n">
        <v>0</v>
      </c>
      <c r="L114" s="18" t="n">
        <v>-298178</v>
      </c>
      <c r="M114" s="23"/>
    </row>
    <row r="115" customFormat="false" ht="9.75" hidden="false" customHeight="false" outlineLevel="0" collapsed="false">
      <c r="A115" s="16" t="n">
        <v>45747</v>
      </c>
      <c r="B115" s="17" t="s">
        <v>220</v>
      </c>
      <c r="C115" s="17" t="s">
        <v>39</v>
      </c>
      <c r="D115" s="17" t="s">
        <v>40</v>
      </c>
      <c r="E115" s="17" t="s">
        <v>221</v>
      </c>
      <c r="J115" s="18" t="n">
        <v>131733</v>
      </c>
      <c r="K115" s="18" t="n">
        <v>0</v>
      </c>
      <c r="L115" s="18" t="n">
        <v>-166445</v>
      </c>
      <c r="M115" s="23"/>
    </row>
    <row r="116" customFormat="false" ht="9.75" hidden="false" customHeight="false" outlineLevel="0" collapsed="false">
      <c r="A116" s="16" t="n">
        <v>45757</v>
      </c>
      <c r="B116" s="17" t="s">
        <v>222</v>
      </c>
      <c r="C116" s="17" t="s">
        <v>39</v>
      </c>
      <c r="D116" s="17" t="s">
        <v>40</v>
      </c>
      <c r="E116" s="17" t="s">
        <v>223</v>
      </c>
      <c r="J116" s="18" t="n">
        <v>19988</v>
      </c>
      <c r="K116" s="18" t="n">
        <v>0</v>
      </c>
      <c r="L116" s="18" t="n">
        <v>-146457</v>
      </c>
      <c r="M116" s="23"/>
    </row>
    <row r="117" customFormat="false" ht="9.75" hidden="false" customHeight="false" outlineLevel="0" collapsed="false">
      <c r="A117" s="16" t="n">
        <v>45757</v>
      </c>
      <c r="B117" s="17" t="s">
        <v>224</v>
      </c>
      <c r="C117" s="17" t="s">
        <v>39</v>
      </c>
      <c r="D117" s="17" t="s">
        <v>40</v>
      </c>
      <c r="E117" s="17" t="s">
        <v>225</v>
      </c>
      <c r="J117" s="18" t="n">
        <v>0</v>
      </c>
      <c r="K117" s="18" t="n">
        <v>19988</v>
      </c>
      <c r="L117" s="18" t="n">
        <v>-166445</v>
      </c>
      <c r="M117" s="23"/>
    </row>
    <row r="118" customFormat="false" ht="9.75" hidden="false" customHeight="false" outlineLevel="0" collapsed="false">
      <c r="A118" s="16" t="n">
        <v>45758</v>
      </c>
      <c r="B118" s="17" t="s">
        <v>226</v>
      </c>
      <c r="C118" s="17" t="s">
        <v>39</v>
      </c>
      <c r="D118" s="17" t="s">
        <v>40</v>
      </c>
      <c r="E118" s="17" t="s">
        <v>227</v>
      </c>
      <c r="J118" s="18" t="n">
        <v>19988</v>
      </c>
      <c r="K118" s="18" t="n">
        <v>0</v>
      </c>
      <c r="L118" s="18" t="n">
        <v>-146457</v>
      </c>
      <c r="M118" s="23"/>
    </row>
    <row r="119" customFormat="false" ht="9.75" hidden="false" customHeight="false" outlineLevel="0" collapsed="false">
      <c r="A119" s="16" t="n">
        <v>45758</v>
      </c>
      <c r="B119" s="17" t="s">
        <v>228</v>
      </c>
      <c r="C119" s="17" t="s">
        <v>39</v>
      </c>
      <c r="D119" s="17" t="s">
        <v>40</v>
      </c>
      <c r="E119" s="17" t="s">
        <v>229</v>
      </c>
      <c r="J119" s="18" t="n">
        <v>0</v>
      </c>
      <c r="K119" s="18" t="n">
        <v>178415</v>
      </c>
      <c r="L119" s="18" t="n">
        <v>-324872</v>
      </c>
      <c r="M119" s="23"/>
    </row>
    <row r="120" customFormat="false" ht="9.75" hidden="false" customHeight="false" outlineLevel="0" collapsed="false">
      <c r="A120" s="16" t="n">
        <v>45776</v>
      </c>
      <c r="B120" s="17" t="s">
        <v>230</v>
      </c>
      <c r="C120" s="17" t="s">
        <v>39</v>
      </c>
      <c r="D120" s="17" t="s">
        <v>40</v>
      </c>
      <c r="E120" s="17" t="s">
        <v>231</v>
      </c>
      <c r="J120" s="18" t="n">
        <v>0</v>
      </c>
      <c r="K120" s="18" t="n">
        <v>9994</v>
      </c>
      <c r="L120" s="18" t="n">
        <v>-334866</v>
      </c>
      <c r="M120" s="23"/>
    </row>
    <row r="121" customFormat="false" ht="9.75" hidden="false" customHeight="false" outlineLevel="0" collapsed="false">
      <c r="A121" s="16" t="n">
        <v>45777</v>
      </c>
      <c r="B121" s="17" t="s">
        <v>232</v>
      </c>
      <c r="C121" s="17" t="s">
        <v>39</v>
      </c>
      <c r="D121" s="17" t="s">
        <v>40</v>
      </c>
      <c r="E121" s="17" t="s">
        <v>233</v>
      </c>
      <c r="J121" s="18" t="n">
        <v>35700</v>
      </c>
      <c r="K121" s="18" t="n">
        <v>0</v>
      </c>
      <c r="L121" s="18" t="n">
        <v>-299166</v>
      </c>
      <c r="M121" s="23"/>
    </row>
    <row r="122" customFormat="false" ht="9.75" hidden="false" customHeight="false" outlineLevel="0" collapsed="false">
      <c r="A122" s="16" t="n">
        <v>45777</v>
      </c>
      <c r="B122" s="17" t="s">
        <v>232</v>
      </c>
      <c r="C122" s="17" t="s">
        <v>39</v>
      </c>
      <c r="D122" s="17" t="s">
        <v>40</v>
      </c>
      <c r="E122" s="17" t="s">
        <v>233</v>
      </c>
      <c r="J122" s="18" t="n">
        <v>131733</v>
      </c>
      <c r="K122" s="18" t="n">
        <v>0</v>
      </c>
      <c r="L122" s="18" t="n">
        <v>-167433</v>
      </c>
      <c r="M122" s="23"/>
    </row>
    <row r="123" customFormat="false" ht="9.75" hidden="false" customHeight="false" outlineLevel="0" collapsed="false">
      <c r="A123" s="16" t="n">
        <v>45791</v>
      </c>
      <c r="B123" s="17" t="s">
        <v>234</v>
      </c>
      <c r="C123" s="17" t="s">
        <v>39</v>
      </c>
      <c r="D123" s="17" t="s">
        <v>40</v>
      </c>
      <c r="E123" s="17" t="s">
        <v>235</v>
      </c>
      <c r="J123" s="18" t="n">
        <v>0</v>
      </c>
      <c r="K123" s="18" t="n">
        <v>177427</v>
      </c>
      <c r="L123" s="18" t="n">
        <v>-344860</v>
      </c>
      <c r="M123" s="23"/>
    </row>
    <row r="124" customFormat="false" ht="9.75" hidden="false" customHeight="false" outlineLevel="0" collapsed="false">
      <c r="A124" s="16" t="n">
        <v>45793</v>
      </c>
      <c r="B124" s="17" t="s">
        <v>236</v>
      </c>
      <c r="C124" s="17" t="s">
        <v>39</v>
      </c>
      <c r="D124" s="17" t="s">
        <v>40</v>
      </c>
      <c r="E124" s="17" t="s">
        <v>237</v>
      </c>
      <c r="J124" s="18" t="n">
        <v>19988</v>
      </c>
      <c r="K124" s="18" t="n">
        <v>0</v>
      </c>
      <c r="L124" s="18" t="n">
        <v>-324872</v>
      </c>
      <c r="M124" s="23"/>
    </row>
    <row r="125" customFormat="false" ht="9.75" hidden="false" customHeight="false" outlineLevel="0" collapsed="false">
      <c r="A125" s="16" t="n">
        <v>45804</v>
      </c>
      <c r="B125" s="17" t="s">
        <v>238</v>
      </c>
      <c r="C125" s="17" t="s">
        <v>39</v>
      </c>
      <c r="D125" s="17" t="s">
        <v>40</v>
      </c>
      <c r="E125" s="17" t="s">
        <v>239</v>
      </c>
      <c r="J125" s="18" t="n">
        <v>0</v>
      </c>
      <c r="K125" s="18" t="n">
        <v>9994</v>
      </c>
      <c r="L125" s="18" t="n">
        <v>-334866</v>
      </c>
      <c r="M125" s="23"/>
    </row>
    <row r="126" customFormat="false" ht="9.75" hidden="false" customHeight="false" outlineLevel="0" collapsed="false">
      <c r="A126" s="16" t="n">
        <v>45808</v>
      </c>
      <c r="B126" s="17" t="s">
        <v>240</v>
      </c>
      <c r="C126" s="17" t="s">
        <v>39</v>
      </c>
      <c r="D126" s="17" t="s">
        <v>40</v>
      </c>
      <c r="E126" s="17" t="s">
        <v>241</v>
      </c>
      <c r="J126" s="18" t="n">
        <v>35700</v>
      </c>
      <c r="K126" s="18" t="n">
        <v>0</v>
      </c>
      <c r="L126" s="18" t="n">
        <v>-299166</v>
      </c>
      <c r="M126" s="23"/>
    </row>
    <row r="127" customFormat="false" ht="9.75" hidden="false" customHeight="false" outlineLevel="0" collapsed="false">
      <c r="A127" s="16" t="n">
        <v>45808</v>
      </c>
      <c r="B127" s="17" t="s">
        <v>240</v>
      </c>
      <c r="C127" s="17" t="s">
        <v>39</v>
      </c>
      <c r="D127" s="17" t="s">
        <v>40</v>
      </c>
      <c r="E127" s="17" t="s">
        <v>241</v>
      </c>
      <c r="J127" s="18" t="n">
        <v>131733</v>
      </c>
      <c r="K127" s="18" t="n">
        <v>0</v>
      </c>
      <c r="L127" s="18" t="n">
        <v>-167433</v>
      </c>
      <c r="M127" s="23"/>
    </row>
    <row r="128" customFormat="false" ht="9.75" hidden="false" customHeight="false" outlineLevel="0" collapsed="false">
      <c r="A128" s="16" t="n">
        <v>45820</v>
      </c>
      <c r="B128" s="17" t="s">
        <v>242</v>
      </c>
      <c r="C128" s="17" t="s">
        <v>39</v>
      </c>
      <c r="D128" s="17" t="s">
        <v>40</v>
      </c>
      <c r="E128" s="17" t="s">
        <v>243</v>
      </c>
      <c r="J128" s="18" t="n">
        <v>0</v>
      </c>
      <c r="K128" s="18" t="n">
        <v>177427</v>
      </c>
      <c r="L128" s="18" t="n">
        <v>-344860</v>
      </c>
      <c r="M128" s="23"/>
    </row>
    <row r="129" customFormat="false" ht="9.75" hidden="false" customHeight="false" outlineLevel="0" collapsed="false">
      <c r="A129" s="16" t="n">
        <v>45827</v>
      </c>
      <c r="B129" s="17" t="s">
        <v>244</v>
      </c>
      <c r="C129" s="17" t="s">
        <v>39</v>
      </c>
      <c r="D129" s="17" t="s">
        <v>40</v>
      </c>
      <c r="E129" s="17" t="s">
        <v>245</v>
      </c>
      <c r="J129" s="18" t="n">
        <v>19988</v>
      </c>
      <c r="K129" s="18" t="n">
        <v>0</v>
      </c>
      <c r="L129" s="18" t="n">
        <v>-324872</v>
      </c>
      <c r="M129" s="23"/>
    </row>
    <row r="130" customFormat="false" ht="9.75" hidden="false" customHeight="false" outlineLevel="0" collapsed="false">
      <c r="A130" s="16" t="n">
        <v>45834</v>
      </c>
      <c r="B130" s="17" t="s">
        <v>246</v>
      </c>
      <c r="C130" s="17" t="s">
        <v>39</v>
      </c>
      <c r="D130" s="17" t="s">
        <v>40</v>
      </c>
      <c r="E130" s="17" t="s">
        <v>247</v>
      </c>
      <c r="J130" s="18" t="n">
        <v>0</v>
      </c>
      <c r="K130" s="18" t="n">
        <v>9994</v>
      </c>
      <c r="L130" s="18" t="n">
        <v>-334866</v>
      </c>
      <c r="M130" s="23"/>
    </row>
    <row r="131" customFormat="false" ht="9.75" hidden="false" customHeight="false" outlineLevel="0" collapsed="false">
      <c r="A131" s="16" t="n">
        <v>45838</v>
      </c>
      <c r="B131" s="17" t="s">
        <v>248</v>
      </c>
      <c r="C131" s="17" t="s">
        <v>39</v>
      </c>
      <c r="D131" s="17" t="s">
        <v>40</v>
      </c>
      <c r="E131" s="17" t="s">
        <v>249</v>
      </c>
      <c r="J131" s="18" t="n">
        <v>35700</v>
      </c>
      <c r="K131" s="18" t="n">
        <v>0</v>
      </c>
      <c r="L131" s="18" t="n">
        <v>-299166</v>
      </c>
      <c r="M131" s="23"/>
    </row>
    <row r="132" customFormat="false" ht="9.75" hidden="false" customHeight="false" outlineLevel="0" collapsed="false">
      <c r="A132" s="16" t="n">
        <v>45838</v>
      </c>
      <c r="B132" s="17" t="s">
        <v>248</v>
      </c>
      <c r="C132" s="17" t="s">
        <v>39</v>
      </c>
      <c r="D132" s="17" t="s">
        <v>40</v>
      </c>
      <c r="E132" s="17" t="s">
        <v>249</v>
      </c>
      <c r="J132" s="18" t="n">
        <v>131733</v>
      </c>
      <c r="K132" s="18" t="n">
        <v>0</v>
      </c>
      <c r="L132" s="18" t="n">
        <v>-167433</v>
      </c>
      <c r="M132" s="23"/>
    </row>
    <row r="133" customFormat="false" ht="9.75" hidden="false" customHeight="false" outlineLevel="0" collapsed="false">
      <c r="A133" s="16" t="n">
        <v>45852</v>
      </c>
      <c r="B133" s="17" t="s">
        <v>250</v>
      </c>
      <c r="C133" s="17" t="s">
        <v>39</v>
      </c>
      <c r="D133" s="17" t="s">
        <v>40</v>
      </c>
      <c r="E133" s="17" t="s">
        <v>251</v>
      </c>
      <c r="J133" s="18" t="n">
        <v>0</v>
      </c>
      <c r="K133" s="18" t="n">
        <v>177427</v>
      </c>
      <c r="L133" s="18" t="n">
        <v>-344860</v>
      </c>
      <c r="M133" s="23"/>
    </row>
    <row r="134" customFormat="false" ht="9.75" hidden="false" customHeight="false" outlineLevel="0" collapsed="false">
      <c r="A134" s="16" t="n">
        <v>45867</v>
      </c>
      <c r="B134" s="17" t="s">
        <v>252</v>
      </c>
      <c r="C134" s="17" t="s">
        <v>39</v>
      </c>
      <c r="D134" s="17" t="s">
        <v>40</v>
      </c>
      <c r="E134" s="17" t="s">
        <v>253</v>
      </c>
      <c r="J134" s="18" t="n">
        <v>0</v>
      </c>
      <c r="K134" s="18" t="n">
        <v>9994</v>
      </c>
      <c r="L134" s="18" t="n">
        <v>-354854</v>
      </c>
      <c r="M134" s="23"/>
    </row>
    <row r="135" customFormat="false" ht="9.75" hidden="false" customHeight="false" outlineLevel="0" collapsed="false">
      <c r="A135" s="16" t="n">
        <v>45869</v>
      </c>
      <c r="B135" s="17" t="s">
        <v>254</v>
      </c>
      <c r="C135" s="17" t="s">
        <v>39</v>
      </c>
      <c r="D135" s="17" t="s">
        <v>40</v>
      </c>
      <c r="E135" s="17" t="s">
        <v>255</v>
      </c>
      <c r="J135" s="18" t="n">
        <v>35700</v>
      </c>
      <c r="K135" s="18" t="n">
        <v>0</v>
      </c>
      <c r="L135" s="18" t="n">
        <v>-319154</v>
      </c>
      <c r="M135" s="23"/>
    </row>
    <row r="136" customFormat="false" ht="9.75" hidden="false" customHeight="false" outlineLevel="0" collapsed="false">
      <c r="A136" s="16" t="n">
        <v>45869</v>
      </c>
      <c r="B136" s="17" t="s">
        <v>254</v>
      </c>
      <c r="C136" s="17" t="s">
        <v>39</v>
      </c>
      <c r="D136" s="17" t="s">
        <v>40</v>
      </c>
      <c r="E136" s="17" t="s">
        <v>255</v>
      </c>
      <c r="J136" s="18" t="n">
        <v>131733</v>
      </c>
      <c r="K136" s="18" t="n">
        <v>0</v>
      </c>
      <c r="L136" s="18" t="n">
        <v>-187421</v>
      </c>
      <c r="M136" s="23"/>
    </row>
    <row r="137" customFormat="false" ht="9.75" hidden="false" customHeight="false" outlineLevel="0" collapsed="false">
      <c r="A137" s="16" t="n">
        <v>45875</v>
      </c>
      <c r="B137" s="17" t="s">
        <v>256</v>
      </c>
      <c r="C137" s="17" t="s">
        <v>39</v>
      </c>
      <c r="D137" s="17" t="s">
        <v>40</v>
      </c>
      <c r="E137" s="17" t="s">
        <v>257</v>
      </c>
      <c r="J137" s="18" t="n">
        <v>19988</v>
      </c>
      <c r="K137" s="18" t="n">
        <v>0</v>
      </c>
      <c r="L137" s="18" t="n">
        <v>-167433</v>
      </c>
      <c r="M137" s="23"/>
    </row>
    <row r="138" customFormat="false" ht="9.75" hidden="false" customHeight="false" outlineLevel="0" collapsed="false">
      <c r="A138" s="16" t="n">
        <v>45881</v>
      </c>
      <c r="B138" s="17" t="s">
        <v>258</v>
      </c>
      <c r="C138" s="17" t="s">
        <v>39</v>
      </c>
      <c r="D138" s="17" t="s">
        <v>40</v>
      </c>
      <c r="E138" s="17" t="s">
        <v>259</v>
      </c>
      <c r="J138" s="18" t="n">
        <v>19988</v>
      </c>
      <c r="K138" s="18" t="n">
        <v>0</v>
      </c>
      <c r="L138" s="18" t="n">
        <v>-147445</v>
      </c>
      <c r="M138" s="23"/>
    </row>
    <row r="139" customFormat="false" ht="9.75" hidden="false" customHeight="false" outlineLevel="0" collapsed="false">
      <c r="A139" s="16" t="n">
        <v>45883</v>
      </c>
      <c r="B139" s="17" t="s">
        <v>260</v>
      </c>
      <c r="C139" s="17" t="s">
        <v>39</v>
      </c>
      <c r="D139" s="17" t="s">
        <v>40</v>
      </c>
      <c r="E139" s="17" t="s">
        <v>261</v>
      </c>
      <c r="J139" s="18" t="n">
        <v>0</v>
      </c>
      <c r="K139" s="18" t="n">
        <v>177427</v>
      </c>
      <c r="L139" s="18" t="n">
        <v>-324872</v>
      </c>
      <c r="M139" s="23"/>
    </row>
    <row r="140" customFormat="false" ht="9.75" hidden="false" customHeight="false" outlineLevel="0" collapsed="false">
      <c r="A140" s="16" t="n">
        <v>45897</v>
      </c>
      <c r="B140" s="17" t="s">
        <v>262</v>
      </c>
      <c r="C140" s="17" t="s">
        <v>39</v>
      </c>
      <c r="D140" s="17" t="s">
        <v>40</v>
      </c>
      <c r="E140" s="17" t="s">
        <v>263</v>
      </c>
      <c r="J140" s="18" t="n">
        <v>0</v>
      </c>
      <c r="K140" s="18" t="n">
        <v>9994</v>
      </c>
      <c r="L140" s="18" t="n">
        <v>-334866</v>
      </c>
      <c r="M140" s="23"/>
    </row>
    <row r="141" customFormat="false" ht="9.75" hidden="false" customHeight="false" outlineLevel="0" collapsed="false">
      <c r="A141" s="16" t="n">
        <v>45900</v>
      </c>
      <c r="B141" s="17" t="s">
        <v>264</v>
      </c>
      <c r="C141" s="17" t="s">
        <v>39</v>
      </c>
      <c r="D141" s="17" t="s">
        <v>40</v>
      </c>
      <c r="E141" s="17" t="s">
        <v>265</v>
      </c>
      <c r="J141" s="18" t="n">
        <v>35700</v>
      </c>
      <c r="K141" s="18" t="n">
        <v>0</v>
      </c>
      <c r="L141" s="18" t="n">
        <v>-299166</v>
      </c>
      <c r="M141" s="23"/>
    </row>
    <row r="142" customFormat="false" ht="9.75" hidden="false" customHeight="false" outlineLevel="0" collapsed="false">
      <c r="A142" s="16" t="n">
        <v>45900</v>
      </c>
      <c r="B142" s="17" t="s">
        <v>264</v>
      </c>
      <c r="C142" s="17" t="s">
        <v>39</v>
      </c>
      <c r="D142" s="17" t="s">
        <v>40</v>
      </c>
      <c r="E142" s="17" t="s">
        <v>265</v>
      </c>
      <c r="J142" s="18" t="n">
        <v>131733</v>
      </c>
      <c r="K142" s="18" t="n">
        <v>0</v>
      </c>
      <c r="L142" s="18" t="n">
        <v>-167433</v>
      </c>
      <c r="M142" s="23"/>
    </row>
    <row r="143" customFormat="false" ht="9.75" hidden="false" customHeight="false" outlineLevel="0" collapsed="false">
      <c r="A143" s="16" t="n">
        <v>45912</v>
      </c>
      <c r="B143" s="17" t="s">
        <v>266</v>
      </c>
      <c r="C143" s="17" t="s">
        <v>39</v>
      </c>
      <c r="D143" s="17" t="s">
        <v>40</v>
      </c>
      <c r="E143" s="17" t="s">
        <v>267</v>
      </c>
      <c r="J143" s="18" t="n">
        <v>0</v>
      </c>
      <c r="K143" s="18" t="n">
        <v>177427</v>
      </c>
      <c r="L143" s="18" t="n">
        <v>-344860</v>
      </c>
      <c r="M143" s="23"/>
    </row>
    <row r="144" customFormat="false" ht="9.75" hidden="false" customHeight="false" outlineLevel="0" collapsed="false">
      <c r="A144" s="16" t="n">
        <v>45926</v>
      </c>
      <c r="B144" s="17" t="s">
        <v>268</v>
      </c>
      <c r="C144" s="17" t="s">
        <v>39</v>
      </c>
      <c r="D144" s="17" t="s">
        <v>40</v>
      </c>
      <c r="E144" s="17" t="s">
        <v>269</v>
      </c>
      <c r="J144" s="18" t="n">
        <v>19988</v>
      </c>
      <c r="K144" s="18" t="n">
        <v>0</v>
      </c>
      <c r="L144" s="18" t="n">
        <v>-324872</v>
      </c>
      <c r="M144" s="23"/>
    </row>
    <row r="145" customFormat="false" ht="9.75" hidden="false" customHeight="false" outlineLevel="0" collapsed="false">
      <c r="A145" s="16" t="n">
        <v>45929</v>
      </c>
      <c r="B145" s="17" t="s">
        <v>270</v>
      </c>
      <c r="C145" s="17" t="s">
        <v>39</v>
      </c>
      <c r="D145" s="17" t="s">
        <v>40</v>
      </c>
      <c r="E145" s="17" t="s">
        <v>271</v>
      </c>
      <c r="J145" s="18" t="n">
        <v>0</v>
      </c>
      <c r="K145" s="18" t="n">
        <v>9994</v>
      </c>
      <c r="L145" s="18" t="n">
        <v>-334866</v>
      </c>
      <c r="M145" s="23"/>
    </row>
    <row r="146" customFormat="false" ht="9.75" hidden="false" customHeight="false" outlineLevel="0" collapsed="false">
      <c r="A146" s="16" t="n">
        <v>45944</v>
      </c>
      <c r="B146" s="17" t="s">
        <v>272</v>
      </c>
      <c r="C146" s="17" t="s">
        <v>39</v>
      </c>
      <c r="D146" s="17" t="s">
        <v>40</v>
      </c>
      <c r="E146" s="17" t="s">
        <v>273</v>
      </c>
      <c r="J146" s="18" t="n">
        <v>0</v>
      </c>
      <c r="K146" s="18" t="n">
        <v>9994</v>
      </c>
      <c r="L146" s="18" t="n">
        <v>-344860</v>
      </c>
      <c r="M146" s="23"/>
    </row>
    <row r="147" customFormat="false" ht="9.75" hidden="false" customHeight="false" outlineLevel="0" collapsed="false">
      <c r="A147" s="16" t="n">
        <v>45954</v>
      </c>
      <c r="B147" s="17" t="s">
        <v>274</v>
      </c>
      <c r="C147" s="17" t="s">
        <v>39</v>
      </c>
      <c r="D147" s="17" t="s">
        <v>40</v>
      </c>
      <c r="E147" s="17" t="s">
        <v>275</v>
      </c>
      <c r="J147" s="18" t="n">
        <v>19988</v>
      </c>
      <c r="K147" s="18" t="n">
        <v>0</v>
      </c>
      <c r="L147" s="18" t="n">
        <v>-324872</v>
      </c>
      <c r="M147" s="23"/>
    </row>
    <row r="148" customFormat="false" ht="9.75" hidden="false" customHeight="false" outlineLevel="0" collapsed="false">
      <c r="A148" s="16" t="n">
        <v>45959</v>
      </c>
      <c r="B148" s="17" t="s">
        <v>276</v>
      </c>
      <c r="C148" s="17" t="s">
        <v>39</v>
      </c>
      <c r="D148" s="17" t="s">
        <v>40</v>
      </c>
      <c r="E148" s="17" t="s">
        <v>277</v>
      </c>
      <c r="J148" s="18" t="n">
        <v>0</v>
      </c>
      <c r="K148" s="18" t="n">
        <v>9994</v>
      </c>
      <c r="L148" s="18" t="n">
        <v>-334866</v>
      </c>
      <c r="M148" s="23"/>
    </row>
    <row r="149" customFormat="false" ht="9.75" hidden="false" customHeight="false" outlineLevel="0" collapsed="false">
      <c r="A149" s="16" t="n">
        <v>45974</v>
      </c>
      <c r="B149" s="17" t="s">
        <v>278</v>
      </c>
      <c r="C149" s="17" t="s">
        <v>39</v>
      </c>
      <c r="D149" s="17" t="s">
        <v>40</v>
      </c>
      <c r="E149" s="17" t="s">
        <v>279</v>
      </c>
      <c r="J149" s="18" t="n">
        <v>0</v>
      </c>
      <c r="K149" s="18" t="n">
        <v>170306</v>
      </c>
      <c r="L149" s="18" t="n">
        <v>-505172</v>
      </c>
      <c r="M149" s="23"/>
    </row>
    <row r="150" customFormat="false" ht="9.75" hidden="false" customHeight="false" outlineLevel="0" collapsed="false">
      <c r="A150" s="16" t="n">
        <v>45987</v>
      </c>
      <c r="B150" s="17" t="s">
        <v>280</v>
      </c>
      <c r="C150" s="17" t="s">
        <v>39</v>
      </c>
      <c r="D150" s="17" t="s">
        <v>40</v>
      </c>
      <c r="E150" s="17" t="s">
        <v>281</v>
      </c>
      <c r="J150" s="18" t="n">
        <v>0</v>
      </c>
      <c r="K150" s="18" t="n">
        <v>9994</v>
      </c>
      <c r="L150" s="18" t="n">
        <v>-515166</v>
      </c>
      <c r="M150" s="23"/>
    </row>
    <row r="151" customFormat="false" ht="9.75" hidden="false" customHeight="false" outlineLevel="0" collapsed="false">
      <c r="A151" s="16" t="n">
        <v>45991</v>
      </c>
      <c r="B151" s="17" t="s">
        <v>282</v>
      </c>
      <c r="C151" s="17" t="s">
        <v>39</v>
      </c>
      <c r="D151" s="17" t="s">
        <v>40</v>
      </c>
      <c r="E151" s="17" t="s">
        <v>283</v>
      </c>
      <c r="J151" s="18" t="n">
        <v>19988</v>
      </c>
      <c r="K151" s="18" t="n">
        <v>0</v>
      </c>
      <c r="L151" s="18" t="n">
        <v>-495178</v>
      </c>
      <c r="M151" s="23"/>
    </row>
    <row r="152" customFormat="false" ht="9.75" hidden="false" customHeight="false" outlineLevel="0" collapsed="false">
      <c r="A152" s="16" t="n">
        <v>45991</v>
      </c>
      <c r="B152" s="17" t="s">
        <v>284</v>
      </c>
      <c r="C152" s="17" t="s">
        <v>39</v>
      </c>
      <c r="D152" s="17" t="s">
        <v>40</v>
      </c>
      <c r="E152" s="17" t="s">
        <v>285</v>
      </c>
      <c r="J152" s="18" t="n">
        <v>52919</v>
      </c>
      <c r="K152" s="18" t="n">
        <v>0</v>
      </c>
      <c r="L152" s="18" t="n">
        <v>-442259</v>
      </c>
      <c r="M152" s="23"/>
    </row>
    <row r="153" customFormat="false" ht="9.75" hidden="false" customHeight="false" outlineLevel="0" collapsed="false">
      <c r="A153" s="16" t="n">
        <v>45991</v>
      </c>
      <c r="B153" s="17" t="s">
        <v>284</v>
      </c>
      <c r="C153" s="17" t="s">
        <v>39</v>
      </c>
      <c r="D153" s="17" t="s">
        <v>40</v>
      </c>
      <c r="E153" s="17" t="s">
        <v>285</v>
      </c>
      <c r="J153" s="18" t="n">
        <v>107393</v>
      </c>
      <c r="K153" s="18" t="n">
        <v>0</v>
      </c>
      <c r="L153" s="18" t="n">
        <v>-334866</v>
      </c>
      <c r="M153" s="23"/>
    </row>
    <row r="154" customFormat="false" ht="9.75" hidden="false" customHeight="false" outlineLevel="0" collapsed="false">
      <c r="A154" s="16" t="n">
        <v>46001</v>
      </c>
      <c r="B154" s="17" t="s">
        <v>286</v>
      </c>
      <c r="C154" s="17" t="s">
        <v>39</v>
      </c>
      <c r="D154" s="17" t="s">
        <v>40</v>
      </c>
      <c r="E154" s="17" t="s">
        <v>287</v>
      </c>
      <c r="J154" s="18" t="n">
        <v>0</v>
      </c>
      <c r="K154" s="18" t="n">
        <v>170306</v>
      </c>
      <c r="L154" s="18" t="n">
        <v>-505172</v>
      </c>
      <c r="M154" s="23"/>
    </row>
    <row r="155" customFormat="false" ht="9.75" hidden="false" customHeight="false" outlineLevel="0" collapsed="false">
      <c r="A155" s="16" t="n">
        <v>46003</v>
      </c>
      <c r="B155" s="17" t="s">
        <v>288</v>
      </c>
      <c r="C155" s="17" t="s">
        <v>39</v>
      </c>
      <c r="D155" s="17" t="s">
        <v>40</v>
      </c>
      <c r="E155" s="17" t="s">
        <v>289</v>
      </c>
      <c r="J155" s="18" t="n">
        <v>52919</v>
      </c>
      <c r="K155" s="18" t="n">
        <v>0</v>
      </c>
      <c r="L155" s="18" t="n">
        <v>-452253</v>
      </c>
      <c r="M155" s="23"/>
    </row>
    <row r="156" customFormat="false" ht="9.75" hidden="false" customHeight="false" outlineLevel="0" collapsed="false">
      <c r="A156" s="16" t="n">
        <v>46003</v>
      </c>
      <c r="B156" s="17" t="s">
        <v>288</v>
      </c>
      <c r="C156" s="17" t="s">
        <v>39</v>
      </c>
      <c r="D156" s="17" t="s">
        <v>40</v>
      </c>
      <c r="E156" s="17" t="s">
        <v>289</v>
      </c>
      <c r="J156" s="18" t="n">
        <v>107393</v>
      </c>
      <c r="K156" s="18" t="n">
        <v>0</v>
      </c>
      <c r="L156" s="18" t="n">
        <v>-344860</v>
      </c>
      <c r="M156" s="23"/>
    </row>
    <row r="157" customFormat="false" ht="9.75" hidden="false" customHeight="false" outlineLevel="0" collapsed="false">
      <c r="A157" s="16" t="n">
        <v>46003</v>
      </c>
      <c r="B157" s="17" t="s">
        <v>290</v>
      </c>
      <c r="C157" s="17" t="s">
        <v>39</v>
      </c>
      <c r="D157" s="17" t="s">
        <v>40</v>
      </c>
      <c r="E157" s="17" t="s">
        <v>291</v>
      </c>
      <c r="J157" s="18" t="n">
        <v>52919</v>
      </c>
      <c r="K157" s="18" t="n">
        <v>0</v>
      </c>
      <c r="L157" s="18" t="n">
        <v>-291941</v>
      </c>
      <c r="M157" s="23"/>
    </row>
    <row r="158" customFormat="false" ht="9.75" hidden="false" customHeight="false" outlineLevel="0" collapsed="false">
      <c r="A158" s="16" t="n">
        <v>46003</v>
      </c>
      <c r="B158" s="17" t="s">
        <v>290</v>
      </c>
      <c r="C158" s="17" t="s">
        <v>39</v>
      </c>
      <c r="D158" s="17" t="s">
        <v>40</v>
      </c>
      <c r="E158" s="17" t="s">
        <v>291</v>
      </c>
      <c r="J158" s="18" t="n">
        <v>107393</v>
      </c>
      <c r="K158" s="18" t="n">
        <v>0</v>
      </c>
      <c r="L158" s="18" t="n">
        <v>-184548</v>
      </c>
      <c r="M158" s="23"/>
    </row>
    <row r="159" customFormat="false" ht="9.75" hidden="false" customHeight="false" outlineLevel="0" collapsed="false">
      <c r="A159" s="16" t="n">
        <v>46007</v>
      </c>
      <c r="B159" s="17" t="s">
        <v>292</v>
      </c>
      <c r="C159" s="17" t="s">
        <v>39</v>
      </c>
      <c r="D159" s="17" t="s">
        <v>40</v>
      </c>
      <c r="E159" s="17" t="s">
        <v>293</v>
      </c>
      <c r="J159" s="18" t="n">
        <v>19988</v>
      </c>
      <c r="K159" s="18" t="n">
        <v>0</v>
      </c>
      <c r="L159" s="18" t="n">
        <v>-164560</v>
      </c>
      <c r="M159" s="23"/>
    </row>
    <row r="160" customFormat="false" ht="9.75" hidden="false" customHeight="false" outlineLevel="0" collapsed="false">
      <c r="A160" s="16" t="n">
        <v>46008</v>
      </c>
      <c r="B160" s="17" t="s">
        <v>294</v>
      </c>
      <c r="C160" s="17" t="s">
        <v>39</v>
      </c>
      <c r="D160" s="17" t="s">
        <v>40</v>
      </c>
      <c r="E160" s="17" t="s">
        <v>295</v>
      </c>
      <c r="J160" s="18" t="n">
        <v>0</v>
      </c>
      <c r="K160" s="18" t="n">
        <v>19988</v>
      </c>
      <c r="L160" s="18" t="n">
        <v>-184548</v>
      </c>
      <c r="M160" s="23"/>
    </row>
    <row r="161" customFormat="false" ht="9.75" hidden="false" customHeight="false" outlineLevel="0" collapsed="false">
      <c r="A161" s="16" t="n">
        <v>46022</v>
      </c>
      <c r="B161" s="17" t="s">
        <v>296</v>
      </c>
      <c r="C161" s="17" t="s">
        <v>39</v>
      </c>
      <c r="D161" s="17" t="s">
        <v>40</v>
      </c>
      <c r="E161" s="17" t="s">
        <v>297</v>
      </c>
      <c r="J161" s="18" t="n">
        <v>107393</v>
      </c>
      <c r="K161" s="18" t="n">
        <v>0</v>
      </c>
      <c r="L161" s="18" t="n">
        <v>-77155</v>
      </c>
      <c r="M161" s="23"/>
    </row>
    <row r="162" customFormat="false" ht="9.75" hidden="false" customHeight="false" outlineLevel="0" collapsed="false">
      <c r="A162" s="16" t="n">
        <v>46022</v>
      </c>
      <c r="B162" s="17" t="s">
        <v>298</v>
      </c>
      <c r="C162" s="17" t="s">
        <v>39</v>
      </c>
      <c r="D162" s="17" t="s">
        <v>40</v>
      </c>
      <c r="E162" s="17" t="s">
        <v>299</v>
      </c>
      <c r="J162" s="18" t="n">
        <v>52919</v>
      </c>
      <c r="K162" s="18" t="n">
        <v>0</v>
      </c>
      <c r="L162" s="18" t="n">
        <v>-24236</v>
      </c>
      <c r="M162" s="23"/>
    </row>
    <row r="163" customFormat="false" ht="9.75" hidden="false" customHeight="false" outlineLevel="0" collapsed="false">
      <c r="A163" s="16" t="n">
        <v>46022</v>
      </c>
      <c r="B163" s="17" t="s">
        <v>300</v>
      </c>
      <c r="C163" s="17" t="s">
        <v>39</v>
      </c>
      <c r="D163" s="17" t="s">
        <v>40</v>
      </c>
      <c r="E163" s="17" t="s">
        <v>301</v>
      </c>
      <c r="J163" s="18" t="n">
        <v>0</v>
      </c>
      <c r="K163" s="18" t="n">
        <v>52919</v>
      </c>
      <c r="L163" s="18" t="n">
        <v>-77155</v>
      </c>
      <c r="M163" s="23"/>
    </row>
    <row r="164" customFormat="false" ht="9.75" hidden="false" customHeight="false" outlineLevel="0" collapsed="false">
      <c r="A164" s="16" t="n">
        <v>46022</v>
      </c>
      <c r="B164" s="17" t="s">
        <v>300</v>
      </c>
      <c r="C164" s="17" t="s">
        <v>39</v>
      </c>
      <c r="D164" s="17" t="s">
        <v>40</v>
      </c>
      <c r="E164" s="17" t="s">
        <v>301</v>
      </c>
      <c r="J164" s="18" t="n">
        <v>0</v>
      </c>
      <c r="K164" s="18" t="n">
        <v>107393</v>
      </c>
      <c r="L164" s="18" t="n">
        <v>-184548</v>
      </c>
      <c r="M164" s="23"/>
    </row>
    <row r="165" customFormat="false" ht="9.75" hidden="false" customHeight="false" outlineLevel="0" collapsed="false">
      <c r="A165" s="16" t="n">
        <v>46022</v>
      </c>
      <c r="B165" s="17" t="s">
        <v>302</v>
      </c>
      <c r="C165" s="17" t="s">
        <v>39</v>
      </c>
      <c r="D165" s="17" t="s">
        <v>40</v>
      </c>
      <c r="E165" s="17" t="s">
        <v>303</v>
      </c>
      <c r="J165" s="18" t="n">
        <v>0</v>
      </c>
      <c r="K165" s="18" t="n">
        <v>52919</v>
      </c>
      <c r="L165" s="18" t="n">
        <v>-237467</v>
      </c>
      <c r="M165" s="23"/>
    </row>
    <row r="166" customFormat="false" ht="9.75" hidden="false" customHeight="false" outlineLevel="0" collapsed="false">
      <c r="A166" s="16" t="n">
        <v>46022</v>
      </c>
      <c r="B166" s="17" t="s">
        <v>302</v>
      </c>
      <c r="C166" s="17" t="s">
        <v>39</v>
      </c>
      <c r="D166" s="17" t="s">
        <v>40</v>
      </c>
      <c r="E166" s="17" t="s">
        <v>303</v>
      </c>
      <c r="J166" s="18" t="n">
        <v>0</v>
      </c>
      <c r="K166" s="18" t="n">
        <v>107393</v>
      </c>
      <c r="L166" s="18" t="n">
        <v>-344860</v>
      </c>
      <c r="M166" s="23"/>
    </row>
    <row r="167" customFormat="false" ht="9.75" hidden="false" customHeight="false" outlineLevel="0" collapsed="false">
      <c r="A167" s="16" t="n">
        <v>46022</v>
      </c>
      <c r="B167" s="17" t="s">
        <v>304</v>
      </c>
      <c r="C167" s="17" t="s">
        <v>39</v>
      </c>
      <c r="D167" s="17" t="s">
        <v>40</v>
      </c>
      <c r="E167" s="17" t="s">
        <v>305</v>
      </c>
      <c r="J167" s="18" t="n">
        <v>0</v>
      </c>
      <c r="K167" s="18" t="n">
        <v>52919</v>
      </c>
      <c r="L167" s="18" t="n">
        <v>-397779</v>
      </c>
      <c r="M167" s="23"/>
    </row>
    <row r="168" customFormat="false" ht="9.75" hidden="false" customHeight="false" outlineLevel="0" collapsed="false">
      <c r="A168" s="16" t="n">
        <v>46022</v>
      </c>
      <c r="B168" s="17" t="s">
        <v>304</v>
      </c>
      <c r="C168" s="17" t="s">
        <v>39</v>
      </c>
      <c r="D168" s="17" t="s">
        <v>40</v>
      </c>
      <c r="E168" s="17" t="s">
        <v>305</v>
      </c>
      <c r="J168" s="18" t="n">
        <v>0</v>
      </c>
      <c r="K168" s="18" t="n">
        <v>107393</v>
      </c>
      <c r="L168" s="18" t="n">
        <v>-505172</v>
      </c>
      <c r="M168" s="23"/>
    </row>
    <row r="169" customFormat="false" ht="9.75" hidden="false" customHeight="false" outlineLevel="0" collapsed="false">
      <c r="A169" s="16" t="n">
        <v>46036</v>
      </c>
      <c r="B169" s="17" t="s">
        <v>306</v>
      </c>
      <c r="C169" s="17" t="s">
        <v>39</v>
      </c>
      <c r="D169" s="17" t="s">
        <v>40</v>
      </c>
      <c r="E169" s="17" t="s">
        <v>307</v>
      </c>
      <c r="J169" s="18" t="n">
        <v>0</v>
      </c>
      <c r="K169" s="18" t="n">
        <v>160312</v>
      </c>
      <c r="L169" s="18" t="n">
        <v>-665484</v>
      </c>
      <c r="M169" s="23"/>
    </row>
    <row r="170" customFormat="false" ht="9.75" hidden="false" customHeight="false" outlineLevel="0" collapsed="false">
      <c r="A170" s="16" t="n">
        <v>46051</v>
      </c>
      <c r="B170" s="17" t="s">
        <v>308</v>
      </c>
      <c r="C170" s="17" t="s">
        <v>39</v>
      </c>
      <c r="D170" s="17" t="s">
        <v>40</v>
      </c>
      <c r="E170" s="17" t="s">
        <v>309</v>
      </c>
      <c r="J170" s="18" t="n">
        <v>0</v>
      </c>
      <c r="K170" s="18" t="n">
        <v>9994</v>
      </c>
      <c r="L170" s="18" t="n">
        <v>-675478</v>
      </c>
      <c r="M170" s="23"/>
    </row>
    <row r="171" customFormat="false" ht="9.75" hidden="false" customHeight="false" outlineLevel="0" collapsed="false">
      <c r="A171" s="16" t="n">
        <v>46052</v>
      </c>
      <c r="B171" s="17" t="s">
        <v>310</v>
      </c>
      <c r="C171" s="17" t="s">
        <v>39</v>
      </c>
      <c r="D171" s="17" t="s">
        <v>40</v>
      </c>
      <c r="E171" s="17" t="s">
        <v>293</v>
      </c>
      <c r="J171" s="18" t="n">
        <v>19988</v>
      </c>
      <c r="K171" s="18" t="n">
        <v>0</v>
      </c>
      <c r="L171" s="18" t="n">
        <v>-655490</v>
      </c>
      <c r="M171" s="23"/>
    </row>
    <row r="172" customFormat="false" ht="9.75" hidden="false" customHeight="false" outlineLevel="0" collapsed="false">
      <c r="A172" s="16" t="n">
        <v>46058</v>
      </c>
      <c r="B172" s="17" t="s">
        <v>311</v>
      </c>
      <c r="C172" s="17" t="s">
        <v>39</v>
      </c>
      <c r="D172" s="17" t="s">
        <v>40</v>
      </c>
      <c r="E172" s="17" t="s">
        <v>297</v>
      </c>
      <c r="J172" s="18" t="n">
        <v>107393</v>
      </c>
      <c r="K172" s="18" t="n">
        <v>0</v>
      </c>
      <c r="L172" s="18" t="n">
        <v>-548097</v>
      </c>
      <c r="M172" s="23"/>
    </row>
    <row r="173" customFormat="false" ht="9.75" hidden="false" customHeight="false" outlineLevel="0" collapsed="false">
      <c r="A173" s="16" t="n">
        <v>46065</v>
      </c>
      <c r="B173" s="17" t="s">
        <v>312</v>
      </c>
      <c r="C173" s="17" t="s">
        <v>39</v>
      </c>
      <c r="D173" s="17" t="s">
        <v>40</v>
      </c>
      <c r="E173" s="17" t="s">
        <v>313</v>
      </c>
      <c r="J173" s="18" t="n">
        <v>52919</v>
      </c>
      <c r="K173" s="18" t="n">
        <v>0</v>
      </c>
      <c r="L173" s="18" t="n">
        <v>-495178</v>
      </c>
      <c r="M173" s="23"/>
    </row>
    <row r="174" customFormat="false" ht="9.75" hidden="false" customHeight="false" outlineLevel="0" collapsed="false">
      <c r="A174" s="16" t="n">
        <v>46065</v>
      </c>
      <c r="B174" s="17" t="s">
        <v>312</v>
      </c>
      <c r="C174" s="17" t="s">
        <v>39</v>
      </c>
      <c r="D174" s="17" t="s">
        <v>40</v>
      </c>
      <c r="E174" s="17" t="s">
        <v>313</v>
      </c>
      <c r="J174" s="18" t="n">
        <v>107393</v>
      </c>
      <c r="K174" s="18" t="n">
        <v>0</v>
      </c>
      <c r="L174" s="18" t="n">
        <v>-387785</v>
      </c>
      <c r="M174" s="23"/>
    </row>
    <row r="175" customFormat="false" ht="9.75" hidden="false" customHeight="false" outlineLevel="0" collapsed="false">
      <c r="A175" s="16" t="n">
        <v>46066</v>
      </c>
      <c r="B175" s="17" t="s">
        <v>314</v>
      </c>
      <c r="C175" s="17" t="s">
        <v>39</v>
      </c>
      <c r="D175" s="17" t="s">
        <v>40</v>
      </c>
      <c r="E175" s="17" t="s">
        <v>315</v>
      </c>
      <c r="J175" s="18" t="n">
        <v>0</v>
      </c>
      <c r="K175" s="18" t="n">
        <v>170306</v>
      </c>
      <c r="L175" s="18" t="n">
        <v>-558091</v>
      </c>
      <c r="M175" s="23"/>
    </row>
    <row r="176" customFormat="false" ht="9.75" hidden="false" customHeight="false" outlineLevel="0" collapsed="false">
      <c r="A176" s="16" t="n">
        <v>46076</v>
      </c>
      <c r="B176" s="17" t="s">
        <v>316</v>
      </c>
      <c r="C176" s="17" t="s">
        <v>39</v>
      </c>
      <c r="D176" s="17" t="s">
        <v>40</v>
      </c>
      <c r="E176" s="17" t="s">
        <v>317</v>
      </c>
      <c r="J176" s="18" t="n">
        <v>19988</v>
      </c>
      <c r="K176" s="18" t="n">
        <v>0</v>
      </c>
      <c r="L176" s="18" t="n">
        <v>-538103</v>
      </c>
      <c r="M176" s="23"/>
    </row>
    <row r="177" customFormat="false" ht="9.75" hidden="false" customHeight="false" outlineLevel="0" collapsed="false">
      <c r="A177" s="16" t="n">
        <v>46080</v>
      </c>
      <c r="B177" s="17" t="s">
        <v>318</v>
      </c>
      <c r="C177" s="17" t="s">
        <v>39</v>
      </c>
      <c r="D177" s="17" t="s">
        <v>40</v>
      </c>
      <c r="E177" s="17" t="s">
        <v>319</v>
      </c>
      <c r="J177" s="18" t="n">
        <v>45992</v>
      </c>
      <c r="K177" s="18" t="n">
        <v>0</v>
      </c>
      <c r="L177" s="18" t="n">
        <v>-492111</v>
      </c>
      <c r="M177" s="23"/>
    </row>
    <row r="178" customFormat="false" ht="9.75" hidden="false" customHeight="false" outlineLevel="0" collapsed="false">
      <c r="A178" s="16" t="n">
        <v>46080</v>
      </c>
      <c r="B178" s="17" t="s">
        <v>320</v>
      </c>
      <c r="C178" s="17" t="s">
        <v>39</v>
      </c>
      <c r="D178" s="17" t="s">
        <v>40</v>
      </c>
      <c r="E178" s="17" t="s">
        <v>321</v>
      </c>
      <c r="J178" s="18" t="n">
        <v>45992</v>
      </c>
      <c r="K178" s="18" t="n">
        <v>0</v>
      </c>
      <c r="L178" s="18" t="n">
        <v>-446119</v>
      </c>
      <c r="M178" s="23"/>
    </row>
    <row r="179" customFormat="false" ht="9.75" hidden="false" customHeight="false" outlineLevel="0" collapsed="false">
      <c r="A179" s="16" t="n">
        <v>46080</v>
      </c>
      <c r="B179" s="17" t="s">
        <v>322</v>
      </c>
      <c r="C179" s="17" t="s">
        <v>39</v>
      </c>
      <c r="D179" s="17" t="s">
        <v>40</v>
      </c>
      <c r="E179" s="17" t="s">
        <v>323</v>
      </c>
      <c r="J179" s="18" t="n">
        <v>0</v>
      </c>
      <c r="K179" s="18" t="n">
        <v>9994</v>
      </c>
      <c r="L179" s="18" t="n">
        <v>-456113</v>
      </c>
      <c r="M179" s="23"/>
    </row>
    <row r="180" customFormat="false" ht="9.75" hidden="false" customHeight="false" outlineLevel="0" collapsed="false">
      <c r="A180" s="16" t="n">
        <v>46091</v>
      </c>
      <c r="B180" s="17" t="s">
        <v>324</v>
      </c>
      <c r="C180" s="17" t="s">
        <v>39</v>
      </c>
      <c r="D180" s="17" t="s">
        <v>40</v>
      </c>
      <c r="E180" s="17" t="s">
        <v>313</v>
      </c>
      <c r="J180" s="18" t="n">
        <v>52919</v>
      </c>
      <c r="K180" s="18" t="n">
        <v>0</v>
      </c>
      <c r="L180" s="18" t="n">
        <v>-403194</v>
      </c>
      <c r="M180" s="23"/>
    </row>
    <row r="181" customFormat="false" ht="9.75" hidden="false" customHeight="false" outlineLevel="0" collapsed="false">
      <c r="A181" s="16" t="n">
        <v>46091</v>
      </c>
      <c r="B181" s="17" t="s">
        <v>324</v>
      </c>
      <c r="C181" s="17" t="s">
        <v>39</v>
      </c>
      <c r="D181" s="17" t="s">
        <v>40</v>
      </c>
      <c r="E181" s="17" t="s">
        <v>313</v>
      </c>
      <c r="J181" s="18" t="n">
        <v>107393</v>
      </c>
      <c r="K181" s="18" t="n">
        <v>0</v>
      </c>
      <c r="L181" s="18" t="n">
        <v>-295801</v>
      </c>
      <c r="M181" s="23"/>
    </row>
    <row r="182" customFormat="false" ht="9.75" hidden="false" customHeight="false" outlineLevel="0" collapsed="false">
      <c r="A182" s="16" t="n">
        <v>46094</v>
      </c>
      <c r="B182" s="17" t="s">
        <v>325</v>
      </c>
      <c r="C182" s="17" t="s">
        <v>39</v>
      </c>
      <c r="D182" s="17" t="s">
        <v>40</v>
      </c>
      <c r="E182" s="17" t="s">
        <v>326</v>
      </c>
      <c r="J182" s="18" t="n">
        <v>0</v>
      </c>
      <c r="K182" s="18" t="n">
        <v>170306</v>
      </c>
      <c r="L182" s="18" t="n">
        <v>-466107</v>
      </c>
      <c r="M182" s="23"/>
    </row>
    <row r="183" customFormat="false" ht="9.75" hidden="false" customHeight="false" outlineLevel="0" collapsed="false">
      <c r="A183" s="16" t="n">
        <v>46105</v>
      </c>
      <c r="B183" s="17" t="s">
        <v>327</v>
      </c>
      <c r="C183" s="17" t="s">
        <v>39</v>
      </c>
      <c r="D183" s="17" t="s">
        <v>40</v>
      </c>
      <c r="E183" s="17" t="s">
        <v>328</v>
      </c>
      <c r="J183" s="18" t="n">
        <v>0</v>
      </c>
      <c r="K183" s="18" t="n">
        <v>9994</v>
      </c>
      <c r="L183" s="18" t="n">
        <v>-476101</v>
      </c>
      <c r="M183" s="23"/>
    </row>
    <row r="184" customFormat="false" ht="9.75" hidden="false" customHeight="false" outlineLevel="0" collapsed="false">
      <c r="A184" s="16" t="n">
        <v>46126</v>
      </c>
      <c r="B184" s="17" t="s">
        <v>329</v>
      </c>
      <c r="C184" s="17" t="s">
        <v>39</v>
      </c>
      <c r="D184" s="17" t="s">
        <v>40</v>
      </c>
      <c r="E184" s="17" t="s">
        <v>330</v>
      </c>
      <c r="J184" s="18" t="n">
        <v>0</v>
      </c>
      <c r="K184" s="18" t="n">
        <v>170306</v>
      </c>
      <c r="L184" s="18" t="n">
        <v>-646407</v>
      </c>
      <c r="M184" s="23"/>
    </row>
    <row r="185" customFormat="false" ht="9.75" hidden="false" customHeight="false" outlineLevel="0" collapsed="false">
      <c r="A185" s="16" t="n">
        <v>46129</v>
      </c>
      <c r="B185" s="17" t="s">
        <v>331</v>
      </c>
      <c r="C185" s="17" t="s">
        <v>39</v>
      </c>
      <c r="D185" s="17" t="s">
        <v>40</v>
      </c>
      <c r="E185" s="17" t="s">
        <v>313</v>
      </c>
      <c r="J185" s="18" t="n">
        <v>52919</v>
      </c>
      <c r="K185" s="18" t="n">
        <v>0</v>
      </c>
      <c r="L185" s="18" t="n">
        <v>-593488</v>
      </c>
      <c r="M185" s="23"/>
    </row>
    <row r="186" customFormat="false" ht="9.75" hidden="false" customHeight="false" outlineLevel="0" collapsed="false">
      <c r="A186" s="16" t="n">
        <v>46129</v>
      </c>
      <c r="B186" s="17" t="s">
        <v>331</v>
      </c>
      <c r="C186" s="17" t="s">
        <v>39</v>
      </c>
      <c r="D186" s="17" t="s">
        <v>40</v>
      </c>
      <c r="E186" s="17" t="s">
        <v>313</v>
      </c>
      <c r="J186" s="18" t="n">
        <v>107393</v>
      </c>
      <c r="K186" s="18" t="n">
        <v>0</v>
      </c>
      <c r="L186" s="18" t="n">
        <v>-486095</v>
      </c>
      <c r="M186" s="23"/>
    </row>
    <row r="187" customFormat="false" ht="9.75" hidden="false" customHeight="false" outlineLevel="0" collapsed="false">
      <c r="A187" s="16" t="n">
        <v>46140</v>
      </c>
      <c r="B187" s="17" t="s">
        <v>332</v>
      </c>
      <c r="C187" s="17" t="s">
        <v>39</v>
      </c>
      <c r="D187" s="17" t="s">
        <v>40</v>
      </c>
      <c r="E187" s="17" t="s">
        <v>333</v>
      </c>
      <c r="J187" s="18" t="n">
        <v>0</v>
      </c>
      <c r="K187" s="18" t="n">
        <v>9994</v>
      </c>
      <c r="L187" s="18" t="n">
        <v>-496089</v>
      </c>
      <c r="M187" s="23"/>
    </row>
    <row r="188" customFormat="false" ht="9.75" hidden="false" customHeight="false" outlineLevel="0" collapsed="false">
      <c r="A188" s="16" t="n">
        <v>46142</v>
      </c>
      <c r="B188" s="17" t="s">
        <v>334</v>
      </c>
      <c r="C188" s="17" t="s">
        <v>39</v>
      </c>
      <c r="D188" s="17" t="s">
        <v>40</v>
      </c>
      <c r="E188" s="17" t="s">
        <v>335</v>
      </c>
      <c r="J188" s="18" t="n">
        <v>0</v>
      </c>
      <c r="K188" s="18" t="n">
        <v>45992</v>
      </c>
      <c r="L188" s="18" t="n">
        <v>-542081</v>
      </c>
      <c r="M188" s="23"/>
    </row>
    <row r="189" customFormat="false" ht="9.75" hidden="false" customHeight="false" outlineLevel="0" collapsed="false">
      <c r="A189" s="16" t="n">
        <v>46142</v>
      </c>
      <c r="B189" s="17" t="s">
        <v>336</v>
      </c>
      <c r="C189" s="17" t="s">
        <v>39</v>
      </c>
      <c r="D189" s="17" t="s">
        <v>40</v>
      </c>
      <c r="E189" s="17" t="s">
        <v>337</v>
      </c>
      <c r="J189" s="18" t="n">
        <v>0</v>
      </c>
      <c r="K189" s="18" t="n">
        <v>45992</v>
      </c>
      <c r="L189" s="18" t="n">
        <v>-588073</v>
      </c>
      <c r="M189" s="23"/>
    </row>
    <row r="190" customFormat="false" ht="9.75" hidden="false" customHeight="false" outlineLevel="0" collapsed="false">
      <c r="A190" s="16" t="n">
        <v>46155</v>
      </c>
      <c r="B190" s="17" t="s">
        <v>338</v>
      </c>
      <c r="C190" s="17" t="s">
        <v>39</v>
      </c>
      <c r="D190" s="17" t="s">
        <v>40</v>
      </c>
      <c r="E190" s="17" t="s">
        <v>339</v>
      </c>
      <c r="J190" s="18" t="n">
        <v>52919</v>
      </c>
      <c r="K190" s="18" t="n">
        <v>0</v>
      </c>
      <c r="L190" s="18" t="n">
        <v>-535154</v>
      </c>
      <c r="M190" s="23"/>
    </row>
    <row r="191" customFormat="false" ht="9.75" hidden="false" customHeight="false" outlineLevel="0" collapsed="false">
      <c r="A191" s="16" t="n">
        <v>46155</v>
      </c>
      <c r="B191" s="17" t="s">
        <v>338</v>
      </c>
      <c r="C191" s="17" t="s">
        <v>39</v>
      </c>
      <c r="D191" s="17" t="s">
        <v>40</v>
      </c>
      <c r="E191" s="17" t="s">
        <v>339</v>
      </c>
      <c r="J191" s="18" t="n">
        <v>107393</v>
      </c>
      <c r="K191" s="18" t="n">
        <v>0</v>
      </c>
      <c r="L191" s="18" t="n">
        <v>-427761</v>
      </c>
      <c r="M191" s="23"/>
    </row>
    <row r="192" customFormat="false" ht="9.75" hidden="false" customHeight="false" outlineLevel="0" collapsed="false">
      <c r="A192" s="16" t="n">
        <v>46155</v>
      </c>
      <c r="B192" s="17" t="s">
        <v>340</v>
      </c>
      <c r="C192" s="17" t="s">
        <v>39</v>
      </c>
      <c r="D192" s="17" t="s">
        <v>40</v>
      </c>
      <c r="E192" s="17" t="s">
        <v>341</v>
      </c>
      <c r="J192" s="18" t="n">
        <v>0</v>
      </c>
      <c r="K192" s="18" t="n">
        <v>170306</v>
      </c>
      <c r="L192" s="18" t="n">
        <v>-598067</v>
      </c>
      <c r="M192" s="23"/>
    </row>
    <row r="193" customFormat="false" ht="9.75" hidden="false" customHeight="false" outlineLevel="0" collapsed="false">
      <c r="A193" s="16" t="n">
        <v>46170</v>
      </c>
      <c r="B193" s="17" t="s">
        <v>342</v>
      </c>
      <c r="C193" s="17" t="s">
        <v>39</v>
      </c>
      <c r="D193" s="17" t="s">
        <v>40</v>
      </c>
      <c r="E193" s="17" t="s">
        <v>343</v>
      </c>
      <c r="J193" s="18" t="n">
        <v>0</v>
      </c>
      <c r="K193" s="18" t="n">
        <v>9994</v>
      </c>
      <c r="L193" s="18" t="n">
        <v>-608061</v>
      </c>
      <c r="M193" s="23"/>
    </row>
    <row r="194" customFormat="false" ht="9.75" hidden="false" customHeight="false" outlineLevel="0" collapsed="false">
      <c r="A194" s="16" t="n">
        <v>46173</v>
      </c>
      <c r="B194" s="17" t="s">
        <v>344</v>
      </c>
      <c r="C194" s="17" t="s">
        <v>39</v>
      </c>
      <c r="D194" s="17" t="s">
        <v>40</v>
      </c>
      <c r="E194" s="17" t="s">
        <v>293</v>
      </c>
      <c r="J194" s="18" t="n">
        <v>21007</v>
      </c>
      <c r="K194" s="18" t="n">
        <v>0</v>
      </c>
      <c r="L194" s="18" t="n">
        <v>-587054</v>
      </c>
      <c r="M194" s="23"/>
    </row>
    <row r="195" customFormat="false" ht="9.75" hidden="false" customHeight="false" outlineLevel="0" collapsed="false">
      <c r="A195" s="16" t="n">
        <v>46173</v>
      </c>
      <c r="B195" s="17" t="s">
        <v>345</v>
      </c>
      <c r="C195" s="17" t="s">
        <v>39</v>
      </c>
      <c r="D195" s="17" t="s">
        <v>40</v>
      </c>
      <c r="E195" s="17" t="s">
        <v>293</v>
      </c>
      <c r="J195" s="18" t="n">
        <v>21007</v>
      </c>
      <c r="K195" s="18" t="n">
        <v>0</v>
      </c>
      <c r="L195" s="18" t="n">
        <v>-566047</v>
      </c>
      <c r="M195" s="23"/>
    </row>
    <row r="196" customFormat="false" ht="9.75" hidden="false" customHeight="false" outlineLevel="0" collapsed="false">
      <c r="A196" s="16" t="n">
        <v>46173</v>
      </c>
      <c r="B196" s="17" t="s">
        <v>346</v>
      </c>
      <c r="C196" s="17" t="s">
        <v>39</v>
      </c>
      <c r="D196" s="17" t="s">
        <v>40</v>
      </c>
      <c r="E196" s="17" t="s">
        <v>293</v>
      </c>
      <c r="J196" s="18" t="n">
        <v>21007</v>
      </c>
      <c r="K196" s="18" t="n">
        <v>0</v>
      </c>
      <c r="L196" s="18" t="n">
        <v>-545040</v>
      </c>
      <c r="M196" s="23"/>
    </row>
    <row r="197" customFormat="false" ht="9.75" hidden="false" customHeight="false" outlineLevel="0" collapsed="false">
      <c r="A197" s="16" t="n">
        <v>46184</v>
      </c>
      <c r="B197" s="17" t="s">
        <v>347</v>
      </c>
      <c r="C197" s="17" t="s">
        <v>39</v>
      </c>
      <c r="D197" s="17" t="s">
        <v>40</v>
      </c>
      <c r="E197" s="17" t="s">
        <v>348</v>
      </c>
      <c r="J197" s="18" t="n">
        <v>52919</v>
      </c>
      <c r="K197" s="18" t="n">
        <v>0</v>
      </c>
      <c r="L197" s="18" t="n">
        <v>-492121</v>
      </c>
      <c r="M197" s="23"/>
    </row>
    <row r="198" customFormat="false" ht="9.75" hidden="false" customHeight="false" outlineLevel="0" collapsed="false">
      <c r="A198" s="16" t="n">
        <v>46184</v>
      </c>
      <c r="B198" s="17" t="s">
        <v>347</v>
      </c>
      <c r="C198" s="17" t="s">
        <v>39</v>
      </c>
      <c r="D198" s="17" t="s">
        <v>40</v>
      </c>
      <c r="E198" s="17" t="s">
        <v>348</v>
      </c>
      <c r="J198" s="18" t="n">
        <v>107393</v>
      </c>
      <c r="K198" s="18" t="n">
        <v>0</v>
      </c>
      <c r="L198" s="18" t="n">
        <v>-384728</v>
      </c>
      <c r="M198" s="23"/>
    </row>
    <row r="199" customFormat="false" ht="9.75" hidden="false" customHeight="false" outlineLevel="0" collapsed="false">
      <c r="A199" s="16" t="n">
        <v>46184</v>
      </c>
      <c r="B199" s="17" t="s">
        <v>349</v>
      </c>
      <c r="C199" s="17" t="s">
        <v>39</v>
      </c>
      <c r="D199" s="17" t="s">
        <v>40</v>
      </c>
      <c r="E199" s="17" t="s">
        <v>350</v>
      </c>
      <c r="J199" s="18" t="n">
        <v>0</v>
      </c>
      <c r="K199" s="18" t="n">
        <v>173873</v>
      </c>
      <c r="L199" s="18" t="n">
        <v>-558601</v>
      </c>
      <c r="M199" s="23"/>
    </row>
    <row r="200" customFormat="false" ht="9.75" hidden="false" customHeight="false" outlineLevel="0" collapsed="false">
      <c r="A200" s="16" t="n">
        <v>46190</v>
      </c>
      <c r="B200" s="17" t="s">
        <v>351</v>
      </c>
      <c r="C200" s="17" t="s">
        <v>39</v>
      </c>
      <c r="D200" s="17" t="s">
        <v>40</v>
      </c>
      <c r="E200" s="17" t="s">
        <v>293</v>
      </c>
      <c r="J200" s="18" t="n">
        <v>21007</v>
      </c>
      <c r="K200" s="18" t="n">
        <v>0</v>
      </c>
      <c r="L200" s="18" t="n">
        <v>-537594</v>
      </c>
      <c r="M200" s="23"/>
    </row>
    <row r="201" customFormat="false" ht="9.75" hidden="false" customHeight="false" outlineLevel="0" collapsed="false">
      <c r="A201" s="16" t="n">
        <v>46192</v>
      </c>
      <c r="B201" s="17" t="s">
        <v>352</v>
      </c>
      <c r="C201" s="17" t="s">
        <v>39</v>
      </c>
      <c r="D201" s="17" t="s">
        <v>40</v>
      </c>
      <c r="E201" s="17" t="s">
        <v>297</v>
      </c>
      <c r="J201" s="18" t="n">
        <v>52919</v>
      </c>
      <c r="K201" s="18" t="n">
        <v>0</v>
      </c>
      <c r="L201" s="18" t="n">
        <v>-484675</v>
      </c>
      <c r="M201" s="23"/>
    </row>
    <row r="202" customFormat="false" ht="9.75" hidden="false" customHeight="false" outlineLevel="0" collapsed="false">
      <c r="A202" s="16" t="n">
        <v>46198</v>
      </c>
      <c r="B202" s="17" t="s">
        <v>353</v>
      </c>
      <c r="C202" s="17" t="s">
        <v>39</v>
      </c>
      <c r="D202" s="17" t="s">
        <v>40</v>
      </c>
      <c r="E202" s="17" t="s">
        <v>354</v>
      </c>
      <c r="J202" s="18" t="n">
        <v>0</v>
      </c>
      <c r="K202" s="18" t="n">
        <v>10504</v>
      </c>
      <c r="L202" s="18" t="n">
        <v>-495179</v>
      </c>
      <c r="M202" s="23"/>
    </row>
    <row r="203" customFormat="false" ht="9.75" hidden="false" customHeight="false" outlineLevel="0" collapsed="false">
      <c r="A203" s="16" t="n">
        <v>46213</v>
      </c>
      <c r="B203" s="17" t="s">
        <v>355</v>
      </c>
      <c r="C203" s="17" t="s">
        <v>39</v>
      </c>
      <c r="D203" s="17" t="s">
        <v>40</v>
      </c>
      <c r="E203" s="17" t="s">
        <v>356</v>
      </c>
      <c r="J203" s="18" t="n">
        <v>0</v>
      </c>
      <c r="K203" s="18" t="n">
        <v>117897</v>
      </c>
      <c r="L203" s="18" t="n">
        <v>-613076</v>
      </c>
      <c r="M203" s="23"/>
    </row>
    <row r="204" customFormat="false" ht="9.75" hidden="false" customHeight="false" outlineLevel="0" collapsed="false">
      <c r="A204" s="16" t="n">
        <v>46224</v>
      </c>
      <c r="B204" s="17" t="s">
        <v>357</v>
      </c>
      <c r="C204" s="17" t="s">
        <v>39</v>
      </c>
      <c r="D204" s="17" t="s">
        <v>40</v>
      </c>
      <c r="E204" s="17" t="s">
        <v>348</v>
      </c>
      <c r="J204" s="18" t="n">
        <v>107393</v>
      </c>
      <c r="K204" s="18" t="n">
        <v>0</v>
      </c>
      <c r="L204" s="18" t="n">
        <v>-505683</v>
      </c>
      <c r="M204" s="23"/>
    </row>
    <row r="205" customFormat="false" ht="9.75" hidden="false" customHeight="false" outlineLevel="0" collapsed="false">
      <c r="A205" s="16" t="n">
        <v>46232</v>
      </c>
      <c r="B205" s="17" t="s">
        <v>358</v>
      </c>
      <c r="C205" s="17" t="s">
        <v>39</v>
      </c>
      <c r="D205" s="17" t="s">
        <v>40</v>
      </c>
      <c r="E205" s="17" t="s">
        <v>359</v>
      </c>
      <c r="J205" s="18" t="n">
        <v>0</v>
      </c>
      <c r="K205" s="18" t="n">
        <v>10504</v>
      </c>
      <c r="L205" s="18" t="n">
        <v>-516187</v>
      </c>
      <c r="M205" s="23"/>
    </row>
    <row r="206" customFormat="false" ht="9.75" hidden="false" customHeight="false" outlineLevel="0" collapsed="false">
      <c r="A206" s="16" t="n">
        <v>46234</v>
      </c>
      <c r="B206" s="17" t="s">
        <v>360</v>
      </c>
      <c r="C206" s="17" t="s">
        <v>39</v>
      </c>
      <c r="D206" s="17" t="s">
        <v>40</v>
      </c>
      <c r="E206" s="17" t="s">
        <v>361</v>
      </c>
      <c r="J206" s="18" t="n">
        <v>21007</v>
      </c>
      <c r="K206" s="18" t="n">
        <v>0</v>
      </c>
      <c r="L206" s="18" t="n">
        <v>-495180</v>
      </c>
      <c r="M206" s="23"/>
    </row>
    <row r="207" customFormat="false" ht="9.75" hidden="false" customHeight="false" outlineLevel="0" collapsed="false">
      <c r="A207" s="16" t="n">
        <v>46246</v>
      </c>
      <c r="B207" s="17" t="s">
        <v>362</v>
      </c>
      <c r="C207" s="17" t="s">
        <v>39</v>
      </c>
      <c r="D207" s="17" t="s">
        <v>40</v>
      </c>
      <c r="E207" s="17" t="s">
        <v>363</v>
      </c>
      <c r="J207" s="18" t="n">
        <v>0</v>
      </c>
      <c r="K207" s="18" t="n">
        <v>117897</v>
      </c>
      <c r="L207" s="18" t="n">
        <v>-613077</v>
      </c>
      <c r="M207" s="23"/>
    </row>
    <row r="208" customFormat="false" ht="9.75" hidden="false" customHeight="false" outlineLevel="0" collapsed="false">
      <c r="A208" s="16" t="n">
        <v>46247</v>
      </c>
      <c r="B208" s="17" t="s">
        <v>364</v>
      </c>
      <c r="C208" s="17" t="s">
        <v>39</v>
      </c>
      <c r="D208" s="17" t="s">
        <v>40</v>
      </c>
      <c r="E208" s="17" t="s">
        <v>365</v>
      </c>
      <c r="J208" s="18" t="n">
        <v>107393</v>
      </c>
      <c r="K208" s="18" t="n">
        <v>0</v>
      </c>
      <c r="L208" s="18" t="n">
        <v>-505684</v>
      </c>
      <c r="M208" s="23"/>
    </row>
    <row r="209" customFormat="false" ht="9.75" hidden="false" customHeight="false" outlineLevel="0" collapsed="false">
      <c r="A209" s="16" t="n">
        <v>46247</v>
      </c>
      <c r="B209" s="17" t="s">
        <v>366</v>
      </c>
      <c r="C209" s="17" t="s">
        <v>39</v>
      </c>
      <c r="D209" s="17" t="s">
        <v>40</v>
      </c>
      <c r="E209" s="17" t="s">
        <v>367</v>
      </c>
      <c r="J209" s="18" t="n">
        <v>107393</v>
      </c>
      <c r="K209" s="18" t="n">
        <v>0</v>
      </c>
      <c r="L209" s="18" t="n">
        <v>-398291</v>
      </c>
      <c r="M209" s="23"/>
    </row>
    <row r="210" customFormat="false" ht="9.75" hidden="false" customHeight="false" outlineLevel="0" collapsed="false">
      <c r="A210" s="16" t="n">
        <v>46247</v>
      </c>
      <c r="B210" s="17" t="s">
        <v>368</v>
      </c>
      <c r="C210" s="17" t="s">
        <v>39</v>
      </c>
      <c r="D210" s="17" t="s">
        <v>40</v>
      </c>
      <c r="E210" s="17" t="s">
        <v>369</v>
      </c>
      <c r="J210" s="18" t="n">
        <v>107393</v>
      </c>
      <c r="K210" s="18" t="n">
        <v>0</v>
      </c>
      <c r="L210" s="18" t="n">
        <v>-290898</v>
      </c>
      <c r="M210" s="23"/>
    </row>
    <row r="211" customFormat="false" ht="9.75" hidden="false" customHeight="false" outlineLevel="0" collapsed="false">
      <c r="A211" s="16" t="n">
        <v>46253</v>
      </c>
      <c r="B211" s="17" t="s">
        <v>370</v>
      </c>
      <c r="C211" s="17" t="s">
        <v>39</v>
      </c>
      <c r="D211" s="17" t="s">
        <v>40</v>
      </c>
      <c r="E211" s="17" t="s">
        <v>371</v>
      </c>
      <c r="J211" s="18" t="n">
        <v>21007</v>
      </c>
      <c r="K211" s="18" t="n">
        <v>0</v>
      </c>
      <c r="L211" s="18" t="n">
        <v>-269891</v>
      </c>
      <c r="M211" s="23"/>
    </row>
    <row r="212" customFormat="false" ht="9.75" hidden="false" customHeight="false" outlineLevel="0" collapsed="false">
      <c r="A212" s="16" t="n">
        <v>46259</v>
      </c>
      <c r="B212" s="17" t="s">
        <v>372</v>
      </c>
      <c r="C212" s="17" t="s">
        <v>39</v>
      </c>
      <c r="D212" s="17" t="s">
        <v>40</v>
      </c>
      <c r="E212" s="17" t="s">
        <v>373</v>
      </c>
      <c r="J212" s="18" t="n">
        <v>0</v>
      </c>
      <c r="K212" s="18" t="n">
        <v>107393</v>
      </c>
      <c r="L212" s="18" t="n">
        <v>-377284</v>
      </c>
      <c r="M212" s="23"/>
    </row>
    <row r="213" customFormat="false" ht="9.75" hidden="false" customHeight="false" outlineLevel="0" collapsed="false">
      <c r="A213" s="16" t="n">
        <v>46259</v>
      </c>
      <c r="B213" s="17" t="s">
        <v>374</v>
      </c>
      <c r="C213" s="17" t="s">
        <v>39</v>
      </c>
      <c r="D213" s="17" t="s">
        <v>40</v>
      </c>
      <c r="E213" s="17" t="s">
        <v>375</v>
      </c>
      <c r="J213" s="18" t="n">
        <v>0</v>
      </c>
      <c r="K213" s="18" t="n">
        <v>107393</v>
      </c>
      <c r="L213" s="18" t="n">
        <v>-484677</v>
      </c>
      <c r="M213" s="23"/>
    </row>
    <row r="214" customFormat="false" ht="9.75" hidden="false" customHeight="false" outlineLevel="0" collapsed="false">
      <c r="A214" s="16" t="n">
        <v>46260</v>
      </c>
      <c r="B214" s="17" t="s">
        <v>376</v>
      </c>
      <c r="C214" s="17" t="s">
        <v>39</v>
      </c>
      <c r="D214" s="17" t="s">
        <v>40</v>
      </c>
      <c r="E214" s="17" t="s">
        <v>377</v>
      </c>
      <c r="J214" s="18" t="n">
        <v>0</v>
      </c>
      <c r="K214" s="18" t="n">
        <v>10504</v>
      </c>
      <c r="L214" s="18" t="n">
        <v>-495181</v>
      </c>
      <c r="M214" s="23"/>
    </row>
    <row r="215" customFormat="false" ht="9.75" hidden="false" customHeight="false" outlineLevel="0" collapsed="false">
      <c r="A215" s="16" t="n">
        <v>46261</v>
      </c>
      <c r="B215" s="17" t="s">
        <v>378</v>
      </c>
      <c r="C215" s="17" t="s">
        <v>39</v>
      </c>
      <c r="D215" s="17" t="s">
        <v>40</v>
      </c>
      <c r="E215" s="17" t="s">
        <v>379</v>
      </c>
      <c r="J215" s="18" t="n">
        <v>62590</v>
      </c>
      <c r="K215" s="18" t="n">
        <v>0</v>
      </c>
      <c r="L215" s="18" t="n">
        <v>-432591</v>
      </c>
      <c r="M215" s="23"/>
    </row>
    <row r="216" customFormat="false" ht="9.75" hidden="false" customHeight="false" outlineLevel="0" collapsed="false">
      <c r="A216" s="16" t="n">
        <v>46265</v>
      </c>
      <c r="B216" s="17" t="s">
        <v>380</v>
      </c>
      <c r="C216" s="17" t="s">
        <v>39</v>
      </c>
      <c r="D216" s="17" t="s">
        <v>40</v>
      </c>
      <c r="E216" s="17" t="s">
        <v>381</v>
      </c>
      <c r="J216" s="18" t="n">
        <v>35700</v>
      </c>
      <c r="K216" s="18" t="n">
        <v>0</v>
      </c>
      <c r="L216" s="18" t="n">
        <v>-396891</v>
      </c>
      <c r="M216" s="23"/>
    </row>
    <row r="217" customFormat="false" ht="9.75" hidden="false" customHeight="false" outlineLevel="0" collapsed="false">
      <c r="A217" s="16" t="n">
        <v>46265</v>
      </c>
      <c r="B217" s="17" t="s">
        <v>380</v>
      </c>
      <c r="C217" s="17" t="s">
        <v>39</v>
      </c>
      <c r="D217" s="17" t="s">
        <v>40</v>
      </c>
      <c r="E217" s="17" t="s">
        <v>381</v>
      </c>
      <c r="J217" s="18" t="n">
        <v>35700</v>
      </c>
      <c r="K217" s="18" t="n">
        <v>0</v>
      </c>
      <c r="L217" s="18" t="n">
        <v>-361191</v>
      </c>
      <c r="M217" s="23"/>
    </row>
    <row r="218" customFormat="false" ht="9.75" hidden="false" customHeight="false" outlineLevel="0" collapsed="false">
      <c r="A218" s="16" t="n">
        <v>46265</v>
      </c>
      <c r="B218" s="17" t="s">
        <v>380</v>
      </c>
      <c r="C218" s="17" t="s">
        <v>39</v>
      </c>
      <c r="D218" s="17" t="s">
        <v>40</v>
      </c>
      <c r="E218" s="17" t="s">
        <v>381</v>
      </c>
      <c r="J218" s="18" t="n">
        <v>131733</v>
      </c>
      <c r="K218" s="18" t="n">
        <v>0</v>
      </c>
      <c r="L218" s="18" t="n">
        <v>-229458</v>
      </c>
      <c r="M218" s="23"/>
    </row>
    <row r="219" customFormat="false" ht="9.75" hidden="false" customHeight="false" outlineLevel="0" collapsed="false">
      <c r="A219" s="16" t="n">
        <v>46265</v>
      </c>
      <c r="B219" s="17" t="s">
        <v>380</v>
      </c>
      <c r="C219" s="17" t="s">
        <v>39</v>
      </c>
      <c r="D219" s="17" t="s">
        <v>40</v>
      </c>
      <c r="E219" s="17" t="s">
        <v>381</v>
      </c>
      <c r="J219" s="18" t="n">
        <v>131733</v>
      </c>
      <c r="K219" s="18" t="n">
        <v>0</v>
      </c>
      <c r="L219" s="18" t="n">
        <v>-97725</v>
      </c>
      <c r="M219" s="23"/>
    </row>
    <row r="220" customFormat="false" ht="9.75" hidden="false" customHeight="false" outlineLevel="0" collapsed="false">
      <c r="A220" s="16" t="n">
        <v>46265</v>
      </c>
      <c r="B220" s="17" t="s">
        <v>380</v>
      </c>
      <c r="C220" s="17" t="s">
        <v>39</v>
      </c>
      <c r="D220" s="17" t="s">
        <v>40</v>
      </c>
      <c r="E220" s="17" t="s">
        <v>381</v>
      </c>
      <c r="J220" s="18" t="n">
        <v>142268</v>
      </c>
      <c r="K220" s="18" t="n">
        <v>0</v>
      </c>
      <c r="L220" s="18" t="n">
        <v>44543</v>
      </c>
      <c r="M220" s="23"/>
    </row>
    <row r="221" customFormat="false" ht="9.75" hidden="false" customHeight="false" outlineLevel="0" collapsed="false">
      <c r="A221" s="16" t="n">
        <v>46265</v>
      </c>
      <c r="B221" s="17" t="s">
        <v>380</v>
      </c>
      <c r="C221" s="17" t="s">
        <v>39</v>
      </c>
      <c r="D221" s="17" t="s">
        <v>40</v>
      </c>
      <c r="E221" s="17" t="s">
        <v>381</v>
      </c>
      <c r="J221" s="18" t="n">
        <v>142268</v>
      </c>
      <c r="K221" s="18" t="n">
        <v>0</v>
      </c>
      <c r="L221" s="18" t="n">
        <v>186811</v>
      </c>
      <c r="M221" s="23"/>
    </row>
    <row r="222" customFormat="false" ht="9.75" hidden="false" customHeight="false" outlineLevel="0" collapsed="false">
      <c r="A222" s="16" t="n">
        <v>46275</v>
      </c>
      <c r="B222" s="17" t="s">
        <v>382</v>
      </c>
      <c r="C222" s="17" t="s">
        <v>39</v>
      </c>
      <c r="D222" s="17" t="s">
        <v>40</v>
      </c>
      <c r="E222" s="17" t="s">
        <v>383</v>
      </c>
      <c r="J222" s="18" t="n">
        <v>62590</v>
      </c>
      <c r="K222" s="18" t="n">
        <v>0</v>
      </c>
      <c r="L222" s="18" t="n">
        <v>249401</v>
      </c>
      <c r="M222" s="23"/>
    </row>
    <row r="223" customFormat="false" ht="9.75" hidden="false" customHeight="false" outlineLevel="0" collapsed="false">
      <c r="A223" s="16" t="n">
        <v>46275</v>
      </c>
      <c r="B223" s="17" t="s">
        <v>382</v>
      </c>
      <c r="C223" s="17" t="s">
        <v>39</v>
      </c>
      <c r="D223" s="17" t="s">
        <v>40</v>
      </c>
      <c r="E223" s="17" t="s">
        <v>369</v>
      </c>
      <c r="J223" s="18" t="n">
        <v>107393</v>
      </c>
      <c r="K223" s="18" t="n">
        <v>0</v>
      </c>
      <c r="L223" s="18" t="n">
        <v>356794</v>
      </c>
      <c r="M223" s="23"/>
    </row>
    <row r="224" customFormat="false" ht="9.75" hidden="false" customHeight="false" outlineLevel="0" collapsed="false">
      <c r="A224" s="16" t="n">
        <v>46275</v>
      </c>
      <c r="B224" s="17" t="s">
        <v>384</v>
      </c>
      <c r="C224" s="17" t="s">
        <v>39</v>
      </c>
      <c r="D224" s="17" t="s">
        <v>40</v>
      </c>
      <c r="E224" s="17" t="s">
        <v>385</v>
      </c>
      <c r="J224" s="18" t="n">
        <v>0</v>
      </c>
      <c r="K224" s="18" t="n">
        <v>180487</v>
      </c>
      <c r="L224" s="18" t="n">
        <v>176307</v>
      </c>
      <c r="M224" s="23"/>
    </row>
    <row r="225" customFormat="false" ht="9.75" hidden="false" customHeight="false" outlineLevel="0" collapsed="false">
      <c r="A225" s="16" t="n">
        <v>46294</v>
      </c>
      <c r="B225" s="17" t="s">
        <v>386</v>
      </c>
      <c r="C225" s="17" t="s">
        <v>39</v>
      </c>
      <c r="D225" s="17" t="s">
        <v>40</v>
      </c>
      <c r="E225" s="17" t="s">
        <v>387</v>
      </c>
      <c r="J225" s="18" t="n">
        <v>0</v>
      </c>
      <c r="K225" s="18" t="n">
        <v>10504</v>
      </c>
      <c r="L225" s="18" t="n">
        <v>165803</v>
      </c>
      <c r="M225" s="23"/>
    </row>
    <row r="226" customFormat="false" ht="9.75" hidden="false" customHeight="false" outlineLevel="0" collapsed="false">
      <c r="A226" s="16" t="n">
        <v>46295</v>
      </c>
      <c r="B226" s="17" t="s">
        <v>388</v>
      </c>
      <c r="C226" s="17" t="s">
        <v>39</v>
      </c>
      <c r="D226" s="17" t="s">
        <v>40</v>
      </c>
      <c r="E226" s="17" t="s">
        <v>371</v>
      </c>
      <c r="J226" s="18" t="n">
        <v>21007</v>
      </c>
      <c r="K226" s="18" t="n">
        <v>0</v>
      </c>
      <c r="L226" s="18" t="n">
        <v>186810</v>
      </c>
      <c r="M226" s="23"/>
    </row>
    <row r="227" customFormat="false" ht="9.75" hidden="false" customHeight="false" outlineLevel="0" collapsed="false">
      <c r="A227" s="16" t="n">
        <v>46295</v>
      </c>
      <c r="B227" s="17" t="s">
        <v>389</v>
      </c>
      <c r="C227" s="17" t="s">
        <v>39</v>
      </c>
      <c r="D227" s="17" t="s">
        <v>40</v>
      </c>
      <c r="E227" s="17" t="s">
        <v>390</v>
      </c>
      <c r="J227" s="18" t="n">
        <v>0</v>
      </c>
      <c r="K227" s="18" t="n">
        <v>22995</v>
      </c>
      <c r="L227" s="18" t="n">
        <v>163815</v>
      </c>
      <c r="M227" s="23"/>
    </row>
    <row r="228" customFormat="false" ht="9.75" hidden="false" customHeight="false" outlineLevel="0" collapsed="false">
      <c r="A228" s="16" t="n">
        <v>46295</v>
      </c>
      <c r="B228" s="17" t="s">
        <v>389</v>
      </c>
      <c r="C228" s="17" t="s">
        <v>39</v>
      </c>
      <c r="D228" s="17" t="s">
        <v>40</v>
      </c>
      <c r="E228" s="17" t="s">
        <v>390</v>
      </c>
      <c r="J228" s="18" t="n">
        <v>0</v>
      </c>
      <c r="K228" s="18" t="n">
        <v>34494</v>
      </c>
      <c r="L228" s="18" t="n">
        <v>129321</v>
      </c>
      <c r="M228" s="23"/>
    </row>
    <row r="229" customFormat="false" ht="9.75" hidden="false" customHeight="false" outlineLevel="0" collapsed="false">
      <c r="A229" s="16" t="n">
        <v>46295</v>
      </c>
      <c r="B229" s="17" t="s">
        <v>389</v>
      </c>
      <c r="C229" s="17" t="s">
        <v>39</v>
      </c>
      <c r="D229" s="17" t="s">
        <v>40</v>
      </c>
      <c r="E229" s="17" t="s">
        <v>390</v>
      </c>
      <c r="J229" s="18" t="n">
        <v>0</v>
      </c>
      <c r="K229" s="18" t="n">
        <v>34494</v>
      </c>
      <c r="L229" s="18" t="n">
        <v>94827</v>
      </c>
      <c r="M229" s="23"/>
    </row>
    <row r="230" customFormat="false" ht="9.75" hidden="false" customHeight="false" outlineLevel="0" collapsed="false">
      <c r="I230" s="15" t="n">
        <v>0</v>
      </c>
      <c r="J230" s="15" t="n">
        <v>9723034</v>
      </c>
      <c r="K230" s="15" t="n">
        <v>9628207</v>
      </c>
      <c r="L230" s="15" t="n">
        <v>94827</v>
      </c>
      <c r="M230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2026-10-27T20:07:26Z</dcterms:created>
  <dc:creator>Soporte IT</dc:creator>
  <dc:description/>
  <dc:language>en-US</dc:language>
  <cp:lastModifiedBy>Soporte IT</cp:lastModifiedBy>
  <dcterms:modified xsi:type="dcterms:W3CDTF">2026-10-27T20:13:30Z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