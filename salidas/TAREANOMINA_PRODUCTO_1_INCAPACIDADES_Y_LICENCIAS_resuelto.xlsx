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APACIDADES Y LICENCI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<sst xmlns="http://schemas.openxmlformats.org/spreadsheetml/2006/main" count="136" uniqueCount="36">
  <si>
    <t xml:space="preserve">IEG</t>
  </si>
  <si>
    <t xml:space="preserve">=</t>
  </si>
  <si>
    <t xml:space="preserve">IBC MES ANTERIOR</t>
  </si>
  <si>
    <t xml:space="preserve">X</t>
  </si>
  <si>
    <t xml:space="preserve">No. DÍAS</t>
  </si>
  <si>
    <t xml:space="preserve">IATEL</t>
  </si>
  <si>
    <t xml:space="preserve">L M</t>
  </si>
  <si>
    <t xml:space="preserve">SALARIO</t>
  </si>
  <si>
    <t xml:space="preserve">DETERMINE LOS VALORES A PAGAR POR CONCEPTO DE INCAPACIDADES POR </t>
  </si>
  <si>
    <t xml:space="preserve">CUÁNTO DEBEN PAGAR LAS EMPRESAS POR CONCEPTO DE SALARIOS Y</t>
  </si>
  <si>
    <t xml:space="preserve">ENFERMEDAD GENERAL, SEGÚN LOS SIGUIENTES DATOS:</t>
  </si>
  <si>
    <t xml:space="preserve">ENFERMEDAD O ACCIDENTE LABORAL , SEGÚN LOS SIGUIENTES DATOS:</t>
  </si>
  <si>
    <t xml:space="preserve">LICENCIA DE MATERNIDA EN EL MES QUE INICIAN SU DISFRUTE, SÍ:</t>
  </si>
  <si>
    <t xml:space="preserve">1. VALOR DEVENGADO $4.500.000, 9 DIAS DE INCAPACIDAD </t>
  </si>
  <si>
    <t xml:space="preserve">1. VALOR DEVENGADO $1.800.000, 17 DIAS DE INCAPACIDAD </t>
  </si>
  <si>
    <t xml:space="preserve">1. DEVENGA UN SALARIO DE $2.700.00 Y SALE A DISFRUTARLAS EL 6 DEL MES</t>
  </si>
  <si>
    <t xml:space="preserve">EMPRESA</t>
  </si>
  <si>
    <t xml:space="preserve">VALOR SALARIO</t>
  </si>
  <si>
    <t xml:space="preserve">Días 1-2</t>
  </si>
  <si>
    <t xml:space="preserve">Día 1</t>
  </si>
  <si>
    <t xml:space="preserve">Trabajo</t>
  </si>
  <si>
    <t xml:space="preserve">EPS</t>
  </si>
  <si>
    <t xml:space="preserve">ARL</t>
  </si>
  <si>
    <t xml:space="preserve">VALOR LICENCIA</t>
  </si>
  <si>
    <t xml:space="preserve">Días 3+</t>
  </si>
  <si>
    <t xml:space="preserve">Días 2+</t>
  </si>
  <si>
    <t xml:space="preserve">Licencia</t>
  </si>
  <si>
    <t xml:space="preserve">2. VALOR DEVENGADO $5.900.000, 15 DIAS DE INCAPACIDAD </t>
  </si>
  <si>
    <t xml:space="preserve">2. VALOR DEVENGADO $2.000.000, 8 DIAS DE INCAPACIDAD </t>
  </si>
  <si>
    <t xml:space="preserve">2. DEVENGA UN SALARIO DE $3.800.00 Y SALE A DISFRUTARLAS EL 14 DEL MES</t>
  </si>
  <si>
    <t xml:space="preserve">3. VALOR DEVENGADO $2.200.000, 6 DIAS DE INCAPACIDAD </t>
  </si>
  <si>
    <t xml:space="preserve">3. VALOR DEVENGADO $3.600.000, 26 DIAS DE INCAPACIDAD </t>
  </si>
  <si>
    <t xml:space="preserve">3. DEVENGA UN SALARIO DE $1.800.00 Y SALE A DISFRUTARLAS EL 23 DEL MES</t>
  </si>
  <si>
    <t xml:space="preserve">4. VALOR DEVENGADO $3.300.000, 21 DIAS DE INCAPACIDAD </t>
  </si>
  <si>
    <t xml:space="preserve">5. VALOR DEVENGADO $ 1.980.000, 9 DÍAS DE INCAPACIDAD</t>
  </si>
  <si>
    <t xml:space="preserve">SMMLV 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</si>
</sst>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 ?/?"/>
    <numFmt numFmtId="166" formatCode="_-* #,##0_-;\-* #,##0_-;_-* \-??_-;_-@_-"/>
    <numFmt numFmtId="167" formatCode="[$-409]#,##0"/>
    <numFmt numFmtId="168" formatCode="_-* #,##0.00_-;\-* #,##0.00_-;_-* \-??_-;_-@_-"/>
    <numFmt numFmtId="169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38A8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b val="true"/>
      <sz val="11"/>
      <color rgb="FFC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8"/>
        <bgColor rgb="FFFBE5D6"/>
      </patternFill>
    </fill>
    <fill>
      <patternFill patternType="solid">
        <fgColor theme="5" tint="0.7998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8A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50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D26" activeCellId="0" sqref="D26"/>
    </sheetView>
  </sheetViews>
  <sheetFormatPr defaultColWidth="10.5703125" defaultRowHeight="15" zeroHeight="false" outlineLevelRow="0" outlineLevelCol="0"/>
  <cols>
    <col collapsed="false" customWidth="true" hidden="false" outlineLevel="0" max="1" min="1" style="1" width="2.71"/>
    <col collapsed="false" customWidth="true" hidden="false" outlineLevel="0" max="3" min="3" style="1" width="3.71"/>
    <col collapsed="false" customWidth="true" hidden="false" outlineLevel="0" max="4" min="4" style="1" width="17.57"/>
    <col collapsed="false" customWidth="true" hidden="false" outlineLevel="0" max="5" min="5" style="1" width="3.71"/>
    <col collapsed="false" customWidth="true" hidden="false" outlineLevel="0" max="6" min="6" style="1" width="8.71"/>
    <col collapsed="false" customWidth="true" hidden="false" outlineLevel="0" max="8" min="8" style="1" width="3.71"/>
    <col collapsed="false" customWidth="true" hidden="false" outlineLevel="0" max="9" min="9" style="1" width="13.71"/>
    <col collapsed="false" customWidth="true" hidden="false" outlineLevel="0" max="12" min="12" style="1" width="3.71"/>
    <col collapsed="false" customWidth="true" hidden="false" outlineLevel="0" max="13" min="13" style="1" width="17.57"/>
    <col collapsed="false" customWidth="true" hidden="false" outlineLevel="0" max="14" min="14" style="1" width="3.71"/>
    <col collapsed="false" customWidth="true" hidden="false" outlineLevel="0" max="16" min="16" style="1" width="3.71"/>
    <col collapsed="false" customWidth="true" hidden="false" outlineLevel="0" max="17" min="17" style="1" width="13.71"/>
    <col collapsed="false" customWidth="true" hidden="false" outlineLevel="0" max="20" min="20" style="1" width="3.71"/>
    <col collapsed="false" customWidth="true" hidden="false" outlineLevel="0" max="21" min="21" style="1" width="14.71"/>
    <col collapsed="false" customWidth="true" hidden="false" outlineLevel="0" max="22" min="22" style="1" width="3.71"/>
    <col collapsed="false" customWidth="true" hidden="false" outlineLevel="0" max="24" min="24" style="1" width="3.71"/>
  </cols>
  <sheetData>
    <row r="2" customFormat="false" ht="15" hidden="false" customHeight="true" outlineLevel="0" collapsed="false">
      <c r="B2" s="2" t="s">
        <v>0</v>
      </c>
      <c r="C2" s="3" t="s">
        <v>1</v>
      </c>
      <c r="D2" s="4" t="s">
        <v>2</v>
      </c>
      <c r="E2" s="5" t="s">
        <v>3</v>
      </c>
      <c r="F2" s="6" t="n">
        <v>0.666666666666667</v>
      </c>
      <c r="G2" s="4" t="s">
        <v>4</v>
      </c>
      <c r="H2" s="7" t="s">
        <v>1</v>
      </c>
      <c r="I2" s="2"/>
      <c r="K2" s="8" t="s">
        <v>5</v>
      </c>
      <c r="L2" s="7" t="s">
        <v>1</v>
      </c>
      <c r="M2" s="4" t="s">
        <v>2</v>
      </c>
      <c r="N2" s="5" t="s">
        <v>3</v>
      </c>
      <c r="O2" s="6" t="s">
        <v>4</v>
      </c>
      <c r="P2" s="7" t="s">
        <v>1</v>
      </c>
      <c r="Q2" s="8"/>
      <c r="S2" s="8" t="s">
        <v>6</v>
      </c>
      <c r="T2" s="7" t="s">
        <v>1</v>
      </c>
      <c r="U2" s="4" t="s">
        <v>7</v>
      </c>
      <c r="V2" s="5" t="s">
        <v>3</v>
      </c>
      <c r="W2" s="6" t="s">
        <v>4</v>
      </c>
      <c r="X2" s="7" t="s">
        <v>1</v>
      </c>
      <c r="Y2" s="8"/>
    </row>
    <row r="3" customFormat="false" ht="15" hidden="false" customHeight="true" outlineLevel="0" collapsed="false">
      <c r="B3" s="2"/>
      <c r="C3" s="3"/>
      <c r="D3" s="9" t="n">
        <v>30</v>
      </c>
      <c r="E3" s="9"/>
      <c r="F3" s="9"/>
      <c r="G3" s="9"/>
      <c r="H3" s="7"/>
      <c r="I3" s="7"/>
      <c r="K3" s="8"/>
      <c r="L3" s="7"/>
      <c r="M3" s="9" t="n">
        <v>30</v>
      </c>
      <c r="N3" s="9"/>
      <c r="O3" s="9"/>
      <c r="P3" s="7"/>
      <c r="Q3" s="7"/>
      <c r="S3" s="8"/>
      <c r="T3" s="7"/>
      <c r="U3" s="9" t="n">
        <v>30</v>
      </c>
      <c r="V3" s="9"/>
      <c r="W3" s="9"/>
      <c r="X3" s="7"/>
      <c r="Y3" s="8"/>
    </row>
    <row r="5" customFormat="false" ht="15" hidden="false" customHeight="true" outlineLevel="0" collapsed="false">
      <c r="B5" s="1" t="s">
        <v>8</v>
      </c>
      <c r="K5" s="1" t="s">
        <v>8</v>
      </c>
      <c r="S5" s="1" t="s">
        <v>9</v>
      </c>
    </row>
    <row r="6" customFormat="false" ht="15" hidden="false" customHeight="true" outlineLevel="0" collapsed="false">
      <c r="B6" s="1" t="s">
        <v>10</v>
      </c>
      <c r="K6" s="1" t="s">
        <v>11</v>
      </c>
      <c r="S6" s="1" t="s">
        <v>12</v>
      </c>
    </row>
    <row r="8" customFormat="false" ht="15" hidden="false" customHeight="true" outlineLevel="0" collapsed="false">
      <c r="B8" s="1" t="s">
        <v>13</v>
      </c>
      <c r="I8" s="10" t="n">
        <f aca="false">D10*2/3</f>
        <v>3000000</v>
      </c>
      <c r="K8" s="1" t="s">
        <v>14</v>
      </c>
      <c r="S8" s="1" t="s">
        <v>15</v>
      </c>
    </row>
    <row r="9" customFormat="false" ht="15" hidden="false" customHeight="true" outlineLevel="0" collapsed="false">
      <c r="B9" s="11" t="s">
        <v>16</v>
      </c>
      <c r="C9" s="11"/>
      <c r="D9" s="11"/>
      <c r="E9" s="11"/>
      <c r="F9" s="11"/>
      <c r="G9" s="11"/>
      <c r="H9" s="11"/>
      <c r="I9" s="11"/>
      <c r="K9" s="12" t="s">
        <v>16</v>
      </c>
      <c r="L9" s="12"/>
      <c r="M9" s="12"/>
      <c r="N9" s="12"/>
      <c r="O9" s="12"/>
      <c r="P9" s="12"/>
      <c r="Q9" s="12"/>
      <c r="S9" s="13" t="s">
        <v>17</v>
      </c>
      <c r="T9" s="13"/>
      <c r="U9" s="13"/>
      <c r="V9" s="13"/>
      <c r="W9" s="13"/>
      <c r="X9" s="13"/>
      <c r="Y9" s="13"/>
    </row>
    <row r="10" customFormat="false" ht="15" hidden="false" customHeight="true" outlineLevel="0" collapsed="false">
      <c r="B10" s="2" t="s">
        <v>18</v>
      </c>
      <c r="C10" s="3"/>
      <c r="D10" s="4" t="n">
        <v>4500000</v>
      </c>
      <c r="E10" s="5" t="s">
        <v>3</v>
      </c>
      <c r="F10" s="6" t="n">
        <f aca="false">2/3</f>
        <v>0.666666666666667</v>
      </c>
      <c r="G10" s="4" t="n">
        <v>2</v>
      </c>
      <c r="H10" s="7" t="s">
        <v>1</v>
      </c>
      <c r="I10" s="14" t="n">
        <f aca="false">D10*F10*G10/D11</f>
        <v>200000</v>
      </c>
      <c r="K10" s="8" t="s">
        <v>19</v>
      </c>
      <c r="L10" s="7" t="s">
        <v>1</v>
      </c>
      <c r="M10" s="4" t="n">
        <v>1800000</v>
      </c>
      <c r="N10" s="5" t="s">
        <v>3</v>
      </c>
      <c r="O10" s="6" t="n">
        <v>1</v>
      </c>
      <c r="P10" s="7" t="s">
        <v>1</v>
      </c>
      <c r="Q10" s="15" t="n">
        <f aca="false">M10*O10/M11</f>
        <v>60000</v>
      </c>
      <c r="S10" s="8" t="s">
        <v>20</v>
      </c>
      <c r="T10" s="7" t="s">
        <v>1</v>
      </c>
      <c r="U10" s="4" t="n">
        <v>2700000</v>
      </c>
      <c r="V10" s="5" t="s">
        <v>3</v>
      </c>
      <c r="W10" s="6" t="n">
        <v>5</v>
      </c>
      <c r="X10" s="7" t="s">
        <v>1</v>
      </c>
      <c r="Y10" s="15" t="n">
        <f aca="false">U10*W10/U11</f>
        <v>450000</v>
      </c>
    </row>
    <row r="11" customFormat="false" ht="15" hidden="false" customHeight="true" outlineLevel="0" collapsed="false">
      <c r="B11" s="2"/>
      <c r="C11" s="3"/>
      <c r="D11" s="9" t="n">
        <v>30</v>
      </c>
      <c r="E11" s="9"/>
      <c r="F11" s="9"/>
      <c r="G11" s="9"/>
      <c r="H11" s="7"/>
      <c r="I11" s="7"/>
      <c r="K11" s="8"/>
      <c r="L11" s="7"/>
      <c r="M11" s="9" t="n">
        <v>30</v>
      </c>
      <c r="N11" s="9"/>
      <c r="O11" s="9"/>
      <c r="P11" s="7"/>
      <c r="Q11" s="7"/>
      <c r="S11" s="8"/>
      <c r="T11" s="7"/>
      <c r="U11" s="9" t="n">
        <v>30</v>
      </c>
      <c r="V11" s="9"/>
      <c r="W11" s="9"/>
      <c r="X11" s="7"/>
      <c r="Y11" s="15"/>
    </row>
    <row r="12" customFormat="false" ht="15" hidden="false" customHeight="true" outlineLevel="0" collapsed="false">
      <c r="B12" s="11" t="s">
        <v>21</v>
      </c>
      <c r="C12" s="11"/>
      <c r="D12" s="11"/>
      <c r="E12" s="11"/>
      <c r="F12" s="11"/>
      <c r="G12" s="11"/>
      <c r="H12" s="11"/>
      <c r="I12" s="11"/>
      <c r="K12" s="12" t="s">
        <v>22</v>
      </c>
      <c r="L12" s="12"/>
      <c r="M12" s="12"/>
      <c r="N12" s="12"/>
      <c r="O12" s="12"/>
      <c r="P12" s="12"/>
      <c r="Q12" s="12"/>
      <c r="S12" s="13" t="s">
        <v>23</v>
      </c>
      <c r="T12" s="13"/>
      <c r="U12" s="13"/>
      <c r="V12" s="13"/>
      <c r="W12" s="13"/>
      <c r="X12" s="13"/>
      <c r="Y12" s="13"/>
    </row>
    <row r="13" customFormat="false" ht="15" hidden="false" customHeight="true" outlineLevel="0" collapsed="false">
      <c r="B13" s="2" t="s">
        <v>24</v>
      </c>
      <c r="C13" s="3"/>
      <c r="D13" s="4" t="n">
        <v>4500000</v>
      </c>
      <c r="E13" s="5" t="s">
        <v>3</v>
      </c>
      <c r="F13" s="6" t="n">
        <f aca="false">2/3</f>
        <v>0.666666666666667</v>
      </c>
      <c r="G13" s="4" t="n">
        <v>7</v>
      </c>
      <c r="H13" s="7" t="s">
        <v>1</v>
      </c>
      <c r="I13" s="14" t="n">
        <f aca="false">D13*F13*G13/D14</f>
        <v>700000</v>
      </c>
      <c r="K13" s="8" t="s">
        <v>25</v>
      </c>
      <c r="L13" s="7" t="s">
        <v>1</v>
      </c>
      <c r="M13" s="4" t="n">
        <v>1800000</v>
      </c>
      <c r="N13" s="5" t="s">
        <v>3</v>
      </c>
      <c r="O13" s="6" t="n">
        <v>16</v>
      </c>
      <c r="P13" s="7" t="s">
        <v>1</v>
      </c>
      <c r="Q13" s="15" t="n">
        <f aca="false">M13*O13/M14</f>
        <v>960000</v>
      </c>
      <c r="S13" s="8" t="s">
        <v>26</v>
      </c>
      <c r="T13" s="7" t="s">
        <v>1</v>
      </c>
      <c r="U13" s="4" t="n">
        <v>2700000</v>
      </c>
      <c r="V13" s="5" t="s">
        <v>3</v>
      </c>
      <c r="W13" s="6" t="n">
        <v>25</v>
      </c>
      <c r="X13" s="7" t="s">
        <v>1</v>
      </c>
      <c r="Y13" s="15" t="n">
        <f aca="false">U13*W13/U14</f>
        <v>2250000</v>
      </c>
    </row>
    <row r="14" customFormat="false" ht="15" hidden="false" customHeight="true" outlineLevel="0" collapsed="false">
      <c r="B14" s="2"/>
      <c r="C14" s="3"/>
      <c r="D14" s="9" t="n">
        <v>30</v>
      </c>
      <c r="E14" s="9"/>
      <c r="F14" s="9"/>
      <c r="G14" s="9"/>
      <c r="H14" s="7"/>
      <c r="I14" s="7"/>
      <c r="K14" s="8"/>
      <c r="L14" s="7"/>
      <c r="M14" s="9" t="n">
        <v>30</v>
      </c>
      <c r="N14" s="9"/>
      <c r="O14" s="9"/>
      <c r="P14" s="7"/>
      <c r="Q14" s="7"/>
      <c r="S14" s="8"/>
      <c r="T14" s="7"/>
      <c r="U14" s="9" t="n">
        <v>30</v>
      </c>
      <c r="V14" s="9"/>
      <c r="W14" s="9"/>
      <c r="X14" s="7"/>
      <c r="Y14" s="15"/>
    </row>
    <row r="16" customFormat="false" ht="15" hidden="false" customHeight="true" outlineLevel="0" collapsed="false">
      <c r="B16" s="1" t="s">
        <v>27</v>
      </c>
      <c r="I16" s="10" t="n">
        <f aca="false">D18*F18</f>
        <v>3933333.33333333</v>
      </c>
      <c r="K16" s="1" t="s">
        <v>28</v>
      </c>
      <c r="S16" s="1" t="s">
        <v>29</v>
      </c>
    </row>
    <row r="17" customFormat="false" ht="15" hidden="false" customHeight="true" outlineLevel="0" collapsed="false">
      <c r="B17" s="11" t="s">
        <v>16</v>
      </c>
      <c r="C17" s="11"/>
      <c r="D17" s="11"/>
      <c r="E17" s="11"/>
      <c r="F17" s="11"/>
      <c r="G17" s="11"/>
      <c r="H17" s="11"/>
      <c r="I17" s="11"/>
      <c r="K17" s="12" t="s">
        <v>16</v>
      </c>
      <c r="L17" s="12"/>
      <c r="M17" s="12"/>
      <c r="N17" s="12"/>
      <c r="O17" s="12"/>
      <c r="P17" s="12"/>
      <c r="Q17" s="12"/>
      <c r="S17" s="13" t="s">
        <v>17</v>
      </c>
      <c r="T17" s="13"/>
      <c r="U17" s="13"/>
      <c r="V17" s="13"/>
      <c r="W17" s="13"/>
      <c r="X17" s="13"/>
      <c r="Y17" s="13"/>
    </row>
    <row r="18" customFormat="false" ht="15" hidden="false" customHeight="true" outlineLevel="0" collapsed="false">
      <c r="B18" s="2" t="s">
        <v>18</v>
      </c>
      <c r="C18" s="3"/>
      <c r="D18" s="4" t="n">
        <v>5900000</v>
      </c>
      <c r="E18" s="5" t="s">
        <v>3</v>
      </c>
      <c r="F18" s="6" t="n">
        <f aca="false">2/3</f>
        <v>0.666666666666667</v>
      </c>
      <c r="G18" s="4" t="n">
        <v>2</v>
      </c>
      <c r="H18" s="7" t="s">
        <v>1</v>
      </c>
      <c r="I18" s="14" t="n">
        <f aca="false">D18*F18*G18/D19</f>
        <v>262222.222222222</v>
      </c>
      <c r="K18" s="8" t="s">
        <v>19</v>
      </c>
      <c r="L18" s="7" t="s">
        <v>1</v>
      </c>
      <c r="M18" s="4" t="n">
        <v>2000000</v>
      </c>
      <c r="N18" s="5" t="s">
        <v>3</v>
      </c>
      <c r="O18" s="6" t="n">
        <v>1</v>
      </c>
      <c r="P18" s="7" t="s">
        <v>1</v>
      </c>
      <c r="Q18" s="15" t="n">
        <f aca="false">M18*O18/M19</f>
        <v>66666.6666666667</v>
      </c>
      <c r="S18" s="8" t="s">
        <v>20</v>
      </c>
      <c r="T18" s="7" t="s">
        <v>1</v>
      </c>
      <c r="U18" s="4" t="n">
        <v>3800000</v>
      </c>
      <c r="V18" s="5" t="s">
        <v>3</v>
      </c>
      <c r="W18" s="6" t="n">
        <v>13</v>
      </c>
      <c r="X18" s="7" t="s">
        <v>1</v>
      </c>
      <c r="Y18" s="15" t="n">
        <f aca="false">U18*W18/U19</f>
        <v>1646666.66666667</v>
      </c>
    </row>
    <row r="19" customFormat="false" ht="15" hidden="false" customHeight="true" outlineLevel="0" collapsed="false">
      <c r="B19" s="2"/>
      <c r="C19" s="3"/>
      <c r="D19" s="9" t="n">
        <v>30</v>
      </c>
      <c r="E19" s="9"/>
      <c r="F19" s="9"/>
      <c r="G19" s="9"/>
      <c r="H19" s="7"/>
      <c r="I19" s="7"/>
      <c r="K19" s="8"/>
      <c r="L19" s="7"/>
      <c r="M19" s="9" t="n">
        <v>30</v>
      </c>
      <c r="N19" s="9"/>
      <c r="O19" s="9"/>
      <c r="P19" s="7"/>
      <c r="Q19" s="7"/>
      <c r="S19" s="8"/>
      <c r="T19" s="7"/>
      <c r="U19" s="9" t="n">
        <v>30</v>
      </c>
      <c r="V19" s="9"/>
      <c r="W19" s="9"/>
      <c r="X19" s="7"/>
      <c r="Y19" s="15"/>
    </row>
    <row r="20" customFormat="false" ht="15" hidden="false" customHeight="true" outlineLevel="0" collapsed="false">
      <c r="B20" s="11" t="s">
        <v>21</v>
      </c>
      <c r="C20" s="11"/>
      <c r="D20" s="11"/>
      <c r="E20" s="11"/>
      <c r="F20" s="11"/>
      <c r="G20" s="11"/>
      <c r="H20" s="11"/>
      <c r="I20" s="11"/>
      <c r="K20" s="12" t="s">
        <v>22</v>
      </c>
      <c r="L20" s="12"/>
      <c r="M20" s="12"/>
      <c r="N20" s="12"/>
      <c r="O20" s="12"/>
      <c r="P20" s="12"/>
      <c r="Q20" s="12"/>
      <c r="S20" s="13" t="s">
        <v>23</v>
      </c>
      <c r="T20" s="13"/>
      <c r="U20" s="13"/>
      <c r="V20" s="13"/>
      <c r="W20" s="13"/>
      <c r="X20" s="13"/>
      <c r="Y20" s="13"/>
    </row>
    <row r="21" customFormat="false" ht="15" hidden="false" customHeight="true" outlineLevel="0" collapsed="false">
      <c r="B21" s="2" t="s">
        <v>24</v>
      </c>
      <c r="C21" s="3"/>
      <c r="D21" s="4" t="n">
        <v>5900000</v>
      </c>
      <c r="E21" s="5" t="s">
        <v>3</v>
      </c>
      <c r="F21" s="6" t="n">
        <f aca="false">2/3</f>
        <v>0.666666666666667</v>
      </c>
      <c r="G21" s="4" t="n">
        <v>13</v>
      </c>
      <c r="H21" s="7" t="s">
        <v>1</v>
      </c>
      <c r="I21" s="14" t="n">
        <f aca="false">D21*F21*G21/D22</f>
        <v>1704444.44444444</v>
      </c>
      <c r="K21" s="8" t="s">
        <v>25</v>
      </c>
      <c r="L21" s="7" t="s">
        <v>1</v>
      </c>
      <c r="M21" s="4" t="n">
        <v>2000000</v>
      </c>
      <c r="N21" s="5" t="s">
        <v>3</v>
      </c>
      <c r="O21" s="6" t="n">
        <v>7</v>
      </c>
      <c r="P21" s="7" t="s">
        <v>1</v>
      </c>
      <c r="Q21" s="15" t="n">
        <f aca="false">M21*O21/M22</f>
        <v>466666.666666667</v>
      </c>
      <c r="S21" s="8" t="s">
        <v>26</v>
      </c>
      <c r="T21" s="7" t="s">
        <v>1</v>
      </c>
      <c r="U21" s="4" t="n">
        <v>3800000</v>
      </c>
      <c r="V21" s="5" t="s">
        <v>3</v>
      </c>
      <c r="W21" s="6" t="n">
        <v>17</v>
      </c>
      <c r="X21" s="7" t="s">
        <v>1</v>
      </c>
      <c r="Y21" s="15" t="n">
        <f aca="false">U21*W21/U22</f>
        <v>2153333.33333333</v>
      </c>
    </row>
    <row r="22" customFormat="false" ht="15" hidden="false" customHeight="true" outlineLevel="0" collapsed="false">
      <c r="B22" s="2"/>
      <c r="C22" s="3"/>
      <c r="D22" s="9" t="n">
        <v>30</v>
      </c>
      <c r="E22" s="9"/>
      <c r="F22" s="9"/>
      <c r="G22" s="9"/>
      <c r="H22" s="7"/>
      <c r="I22" s="7"/>
      <c r="K22" s="8"/>
      <c r="L22" s="7"/>
      <c r="M22" s="9" t="n">
        <v>30</v>
      </c>
      <c r="N22" s="9"/>
      <c r="O22" s="9"/>
      <c r="P22" s="7"/>
      <c r="Q22" s="7"/>
      <c r="S22" s="8"/>
      <c r="T22" s="7"/>
      <c r="U22" s="9" t="n">
        <v>30</v>
      </c>
      <c r="V22" s="9"/>
      <c r="W22" s="9"/>
      <c r="X22" s="7"/>
      <c r="Y22" s="15"/>
    </row>
    <row r="23" customFormat="false" ht="15" hidden="false" customHeight="true" outlineLevel="0" collapsed="false">
      <c r="B23" s="16"/>
      <c r="C23" s="16"/>
      <c r="D23" s="16"/>
      <c r="E23" s="16"/>
      <c r="F23" s="16"/>
      <c r="G23" s="16"/>
      <c r="H23" s="16"/>
      <c r="I23" s="16"/>
    </row>
    <row r="24" customFormat="false" ht="15" hidden="false" customHeight="true" outlineLevel="0" collapsed="false">
      <c r="B24" s="1" t="s">
        <v>30</v>
      </c>
      <c r="I24" s="17" t="n">
        <f aca="false">2200000*2/3</f>
        <v>1466666.66666667</v>
      </c>
      <c r="K24" s="1" t="s">
        <v>31</v>
      </c>
      <c r="S24" s="1" t="s">
        <v>32</v>
      </c>
    </row>
    <row r="25" customFormat="false" ht="15" hidden="false" customHeight="true" outlineLevel="0" collapsed="false">
      <c r="B25" s="11" t="s">
        <v>16</v>
      </c>
      <c r="C25" s="11"/>
      <c r="D25" s="11"/>
      <c r="E25" s="11"/>
      <c r="F25" s="11"/>
      <c r="G25" s="11"/>
      <c r="H25" s="11"/>
      <c r="I25" s="11"/>
      <c r="K25" s="12" t="s">
        <v>16</v>
      </c>
      <c r="L25" s="12"/>
      <c r="M25" s="12"/>
      <c r="N25" s="12"/>
      <c r="O25" s="12"/>
      <c r="P25" s="12"/>
      <c r="Q25" s="12"/>
      <c r="S25" s="13" t="s">
        <v>17</v>
      </c>
      <c r="T25" s="13"/>
      <c r="U25" s="13"/>
      <c r="V25" s="13"/>
      <c r="W25" s="13"/>
      <c r="X25" s="13"/>
      <c r="Y25" s="13"/>
    </row>
    <row r="26" customFormat="false" ht="15" hidden="false" customHeight="true" outlineLevel="0" collapsed="false">
      <c r="B26" s="2" t="s">
        <v>18</v>
      </c>
      <c r="C26" s="3"/>
      <c r="D26" s="18" t="n">
        <f aca="false">$D$50</f>
        <v>1750905</v>
      </c>
      <c r="E26" s="5" t="s">
        <v>3</v>
      </c>
      <c r="F26" s="6"/>
      <c r="G26" s="4" t="n">
        <v>2</v>
      </c>
      <c r="H26" s="7" t="s">
        <v>1</v>
      </c>
      <c r="I26" s="14" t="n">
        <f aca="false">D26*G26/D27</f>
        <v>116727</v>
      </c>
      <c r="K26" s="8" t="s">
        <v>19</v>
      </c>
      <c r="L26" s="7" t="s">
        <v>1</v>
      </c>
      <c r="M26" s="4" t="n">
        <v>3600000</v>
      </c>
      <c r="N26" s="5" t="s">
        <v>3</v>
      </c>
      <c r="O26" s="6" t="n">
        <v>1</v>
      </c>
      <c r="P26" s="7" t="s">
        <v>1</v>
      </c>
      <c r="Q26" s="15" t="n">
        <f aca="false">M26*O26/M27</f>
        <v>120000</v>
      </c>
      <c r="S26" s="8" t="s">
        <v>20</v>
      </c>
      <c r="T26" s="7" t="s">
        <v>1</v>
      </c>
      <c r="U26" s="4" t="n">
        <v>1800000</v>
      </c>
      <c r="V26" s="5" t="s">
        <v>3</v>
      </c>
      <c r="W26" s="6" t="n">
        <v>22</v>
      </c>
      <c r="X26" s="7" t="s">
        <v>1</v>
      </c>
      <c r="Y26" s="15" t="n">
        <f aca="false">U26*W26/U27</f>
        <v>1320000</v>
      </c>
    </row>
    <row r="27" customFormat="false" ht="15" hidden="false" customHeight="true" outlineLevel="0" collapsed="false">
      <c r="B27" s="2"/>
      <c r="C27" s="3"/>
      <c r="D27" s="9" t="n">
        <v>30</v>
      </c>
      <c r="E27" s="9"/>
      <c r="F27" s="9"/>
      <c r="G27" s="9"/>
      <c r="H27" s="7"/>
      <c r="I27" s="7"/>
      <c r="K27" s="8"/>
      <c r="L27" s="7"/>
      <c r="M27" s="9" t="n">
        <v>30</v>
      </c>
      <c r="N27" s="9"/>
      <c r="O27" s="9"/>
      <c r="P27" s="7"/>
      <c r="Q27" s="7"/>
      <c r="S27" s="8"/>
      <c r="T27" s="7"/>
      <c r="U27" s="9" t="n">
        <v>30</v>
      </c>
      <c r="V27" s="9"/>
      <c r="W27" s="9"/>
      <c r="X27" s="7"/>
      <c r="Y27" s="15"/>
    </row>
    <row r="28" customFormat="false" ht="15" hidden="false" customHeight="true" outlineLevel="0" collapsed="false">
      <c r="B28" s="11" t="s">
        <v>21</v>
      </c>
      <c r="C28" s="11"/>
      <c r="D28" s="11"/>
      <c r="E28" s="11"/>
      <c r="F28" s="11"/>
      <c r="G28" s="11"/>
      <c r="H28" s="11"/>
      <c r="I28" s="11"/>
      <c r="K28" s="12" t="s">
        <v>22</v>
      </c>
      <c r="L28" s="12"/>
      <c r="M28" s="12"/>
      <c r="N28" s="12"/>
      <c r="O28" s="12"/>
      <c r="P28" s="12"/>
      <c r="Q28" s="12"/>
      <c r="S28" s="13" t="s">
        <v>23</v>
      </c>
      <c r="T28" s="13"/>
      <c r="U28" s="13"/>
      <c r="V28" s="13"/>
      <c r="W28" s="13"/>
      <c r="X28" s="13"/>
      <c r="Y28" s="13"/>
    </row>
    <row r="29" customFormat="false" ht="15" hidden="false" customHeight="true" outlineLevel="0" collapsed="false">
      <c r="B29" s="2" t="s">
        <v>24</v>
      </c>
      <c r="C29" s="3"/>
      <c r="D29" s="18" t="n">
        <f aca="false">$D$50</f>
        <v>1750905</v>
      </c>
      <c r="E29" s="5" t="s">
        <v>3</v>
      </c>
      <c r="F29" s="6"/>
      <c r="G29" s="4" t="n">
        <v>4</v>
      </c>
      <c r="H29" s="7" t="s">
        <v>1</v>
      </c>
      <c r="I29" s="14" t="n">
        <f aca="false">D29*G29/D30</f>
        <v>233454</v>
      </c>
      <c r="K29" s="8" t="s">
        <v>25</v>
      </c>
      <c r="L29" s="7" t="s">
        <v>1</v>
      </c>
      <c r="M29" s="4" t="n">
        <v>3600000</v>
      </c>
      <c r="N29" s="5" t="s">
        <v>3</v>
      </c>
      <c r="O29" s="6" t="n">
        <v>25</v>
      </c>
      <c r="P29" s="7" t="s">
        <v>1</v>
      </c>
      <c r="Q29" s="15" t="n">
        <f aca="false">M29*O29/M30</f>
        <v>3000000</v>
      </c>
      <c r="S29" s="8" t="s">
        <v>26</v>
      </c>
      <c r="T29" s="7" t="s">
        <v>1</v>
      </c>
      <c r="U29" s="4" t="n">
        <v>1800000</v>
      </c>
      <c r="V29" s="5" t="s">
        <v>3</v>
      </c>
      <c r="W29" s="6" t="n">
        <v>8</v>
      </c>
      <c r="X29" s="7" t="s">
        <v>1</v>
      </c>
      <c r="Y29" s="15" t="n">
        <f aca="false">U29*W29/U30</f>
        <v>480000</v>
      </c>
    </row>
    <row r="30" customFormat="false" ht="15" hidden="false" customHeight="true" outlineLevel="0" collapsed="false">
      <c r="B30" s="2"/>
      <c r="C30" s="3"/>
      <c r="D30" s="9" t="n">
        <v>30</v>
      </c>
      <c r="E30" s="9"/>
      <c r="F30" s="9"/>
      <c r="G30" s="9"/>
      <c r="H30" s="7"/>
      <c r="I30" s="7"/>
      <c r="K30" s="8"/>
      <c r="L30" s="7"/>
      <c r="M30" s="9" t="n">
        <v>30</v>
      </c>
      <c r="N30" s="9"/>
      <c r="O30" s="9"/>
      <c r="P30" s="7"/>
      <c r="Q30" s="7"/>
      <c r="S30" s="8"/>
      <c r="T30" s="7"/>
      <c r="U30" s="9" t="n">
        <v>30</v>
      </c>
      <c r="V30" s="9"/>
      <c r="W30" s="9"/>
      <c r="X30" s="7"/>
      <c r="Y30" s="15"/>
    </row>
    <row r="33" customFormat="false" ht="15" hidden="false" customHeight="true" outlineLevel="0" collapsed="false">
      <c r="B33" s="1" t="s">
        <v>33</v>
      </c>
      <c r="I33" s="10" t="n">
        <f aca="false">D35*F35</f>
        <v>2200000</v>
      </c>
    </row>
    <row r="34" customFormat="false" ht="15" hidden="false" customHeight="true" outlineLevel="0" collapsed="false">
      <c r="B34" s="11" t="s">
        <v>16</v>
      </c>
      <c r="C34" s="11"/>
      <c r="D34" s="11"/>
      <c r="E34" s="11"/>
      <c r="F34" s="11"/>
      <c r="G34" s="11"/>
      <c r="H34" s="11"/>
      <c r="I34" s="11"/>
    </row>
    <row r="35" customFormat="false" ht="15" hidden="false" customHeight="true" outlineLevel="0" collapsed="false">
      <c r="B35" s="2" t="s">
        <v>18</v>
      </c>
      <c r="C35" s="3"/>
      <c r="D35" s="4" t="n">
        <v>3300000</v>
      </c>
      <c r="E35" s="5" t="s">
        <v>3</v>
      </c>
      <c r="F35" s="6" t="n">
        <f aca="false">2/3</f>
        <v>0.666666666666667</v>
      </c>
      <c r="G35" s="4" t="n">
        <v>2</v>
      </c>
      <c r="H35" s="7" t="s">
        <v>1</v>
      </c>
      <c r="I35" s="14" t="n">
        <f aca="false">D35*F35*G35/D36</f>
        <v>146666.666666667</v>
      </c>
    </row>
    <row r="36" customFormat="false" ht="15" hidden="false" customHeight="true" outlineLevel="0" collapsed="false">
      <c r="B36" s="2"/>
      <c r="C36" s="3"/>
      <c r="D36" s="9" t="n">
        <v>30</v>
      </c>
      <c r="E36" s="9"/>
      <c r="F36" s="9"/>
      <c r="G36" s="9"/>
      <c r="H36" s="7"/>
      <c r="I36" s="7"/>
    </row>
    <row r="37" customFormat="false" ht="15" hidden="false" customHeight="true" outlineLevel="0" collapsed="false">
      <c r="B37" s="11" t="s">
        <v>21</v>
      </c>
      <c r="C37" s="11"/>
      <c r="D37" s="11"/>
      <c r="E37" s="11"/>
      <c r="F37" s="11"/>
      <c r="G37" s="11"/>
      <c r="H37" s="11"/>
      <c r="I37" s="11"/>
    </row>
    <row r="38" customFormat="false" ht="15" hidden="false" customHeight="true" outlineLevel="0" collapsed="false">
      <c r="B38" s="2" t="s">
        <v>24</v>
      </c>
      <c r="C38" s="3"/>
      <c r="D38" s="4" t="n">
        <v>3300000</v>
      </c>
      <c r="E38" s="5" t="s">
        <v>3</v>
      </c>
      <c r="F38" s="6" t="n">
        <f aca="false">2/3</f>
        <v>0.666666666666667</v>
      </c>
      <c r="G38" s="4" t="n">
        <v>19</v>
      </c>
      <c r="H38" s="7" t="s">
        <v>1</v>
      </c>
      <c r="I38" s="14" t="n">
        <f aca="false">D38*F38*G38/D39</f>
        <v>1393333.33333333</v>
      </c>
    </row>
    <row r="39" customFormat="false" ht="15" hidden="false" customHeight="true" outlineLevel="0" collapsed="false">
      <c r="B39" s="2"/>
      <c r="C39" s="3"/>
      <c r="D39" s="9" t="n">
        <v>30</v>
      </c>
      <c r="E39" s="9"/>
      <c r="F39" s="9"/>
      <c r="G39" s="9"/>
      <c r="H39" s="7"/>
      <c r="I39" s="7"/>
      <c r="M39" s="10"/>
    </row>
    <row r="41" customFormat="false" ht="15" hidden="false" customHeight="true" outlineLevel="0" collapsed="false">
      <c r="B41" s="1" t="s">
        <v>34</v>
      </c>
      <c r="I41" s="10" t="n">
        <f aca="false">1980000*2/3</f>
        <v>1320000</v>
      </c>
    </row>
    <row r="42" customFormat="false" ht="15" hidden="false" customHeight="true" outlineLevel="0" collapsed="false">
      <c r="B42" s="11" t="s">
        <v>16</v>
      </c>
      <c r="C42" s="11"/>
      <c r="D42" s="11"/>
      <c r="E42" s="11"/>
      <c r="F42" s="11"/>
      <c r="G42" s="11"/>
      <c r="H42" s="11"/>
      <c r="I42" s="11"/>
    </row>
    <row r="43" customFormat="false" ht="15" hidden="false" customHeight="true" outlineLevel="0" collapsed="false">
      <c r="B43" s="2" t="s">
        <v>18</v>
      </c>
      <c r="C43" s="3"/>
      <c r="D43" s="18" t="n">
        <f aca="false">$D$50</f>
        <v>1750905</v>
      </c>
      <c r="E43" s="5" t="s">
        <v>3</v>
      </c>
      <c r="F43" s="6"/>
      <c r="G43" s="4" t="n">
        <v>2</v>
      </c>
      <c r="H43" s="7" t="s">
        <v>1</v>
      </c>
      <c r="I43" s="14" t="n">
        <f aca="false">D43*G43/D44</f>
        <v>116727</v>
      </c>
    </row>
    <row r="44" customFormat="false" ht="15" hidden="false" customHeight="true" outlineLevel="0" collapsed="false">
      <c r="B44" s="2"/>
      <c r="C44" s="3"/>
      <c r="D44" s="9" t="n">
        <v>30</v>
      </c>
      <c r="E44" s="9"/>
      <c r="F44" s="9"/>
      <c r="G44" s="9"/>
      <c r="H44" s="7"/>
      <c r="I44" s="7"/>
    </row>
    <row r="45" customFormat="false" ht="15" hidden="false" customHeight="true" outlineLevel="0" collapsed="false">
      <c r="B45" s="11" t="s">
        <v>21</v>
      </c>
      <c r="C45" s="11"/>
      <c r="D45" s="11"/>
      <c r="E45" s="11"/>
      <c r="F45" s="11"/>
      <c r="G45" s="11"/>
      <c r="H45" s="11"/>
      <c r="I45" s="11"/>
    </row>
    <row r="46" customFormat="false" ht="15" hidden="false" customHeight="true" outlineLevel="0" collapsed="false">
      <c r="B46" s="2" t="s">
        <v>24</v>
      </c>
      <c r="C46" s="3"/>
      <c r="D46" s="18" t="n">
        <f aca="false">$D$50</f>
        <v>1750905</v>
      </c>
      <c r="E46" s="5" t="s">
        <v>3</v>
      </c>
      <c r="F46" s="6"/>
      <c r="G46" s="4" t="n">
        <v>7</v>
      </c>
      <c r="H46" s="7" t="s">
        <v>1</v>
      </c>
      <c r="I46" s="14" t="n">
        <f aca="false">D46*G46/D47</f>
        <v>408544.5</v>
      </c>
    </row>
    <row r="47" customFormat="false" ht="15" hidden="false" customHeight="true" outlineLevel="0" collapsed="false">
      <c r="B47" s="2"/>
      <c r="C47" s="3"/>
      <c r="D47" s="9" t="n">
        <v>30</v>
      </c>
      <c r="E47" s="9"/>
      <c r="F47" s="9"/>
      <c r="G47" s="9"/>
      <c r="H47" s="7"/>
      <c r="I47" s="7"/>
    </row>
    <row r="50" customFormat="false" ht="15" hidden="false" customHeight="true" outlineLevel="0" collapsed="false">
      <c r="B50" s="1" t="s">
        <v>35</v>
      </c>
      <c r="D50" s="19" t="n">
        <v>1750905</v>
      </c>
    </row>
  </sheetData>
  <mergeCells count="148">
    <mergeCell ref="B2:B3"/>
    <mergeCell ref="C2:C3"/>
    <mergeCell ref="H2:H3"/>
    <mergeCell ref="I2:I3"/>
    <mergeCell ref="K2:K3"/>
    <mergeCell ref="L2:L3"/>
    <mergeCell ref="P2:P3"/>
    <mergeCell ref="Q2:Q3"/>
    <mergeCell ref="S2:S3"/>
    <mergeCell ref="T2:T3"/>
    <mergeCell ref="X2:X3"/>
    <mergeCell ref="Y2:Y3"/>
    <mergeCell ref="D3:G3"/>
    <mergeCell ref="M3:O3"/>
    <mergeCell ref="U3:W3"/>
    <mergeCell ref="B9:I9"/>
    <mergeCell ref="K9:Q9"/>
    <mergeCell ref="S9:Y9"/>
    <mergeCell ref="B10:B11"/>
    <mergeCell ref="C10:C11"/>
    <mergeCell ref="H10:H11"/>
    <mergeCell ref="I10:I11"/>
    <mergeCell ref="K10:K11"/>
    <mergeCell ref="L10:L11"/>
    <mergeCell ref="P10:P11"/>
    <mergeCell ref="Q10:Q11"/>
    <mergeCell ref="S10:S11"/>
    <mergeCell ref="T10:T11"/>
    <mergeCell ref="X10:X11"/>
    <mergeCell ref="Y10:Y11"/>
    <mergeCell ref="D11:G11"/>
    <mergeCell ref="M11:O11"/>
    <mergeCell ref="U11:W11"/>
    <mergeCell ref="B12:I12"/>
    <mergeCell ref="K12:Q12"/>
    <mergeCell ref="S12:Y12"/>
    <mergeCell ref="B13:B14"/>
    <mergeCell ref="C13:C14"/>
    <mergeCell ref="H13:H14"/>
    <mergeCell ref="I13:I14"/>
    <mergeCell ref="K13:K14"/>
    <mergeCell ref="L13:L14"/>
    <mergeCell ref="P13:P14"/>
    <mergeCell ref="Q13:Q14"/>
    <mergeCell ref="S13:S14"/>
    <mergeCell ref="T13:T14"/>
    <mergeCell ref="X13:X14"/>
    <mergeCell ref="Y13:Y14"/>
    <mergeCell ref="D14:G14"/>
    <mergeCell ref="M14:O14"/>
    <mergeCell ref="U14:W14"/>
    <mergeCell ref="B17:I17"/>
    <mergeCell ref="K17:Q17"/>
    <mergeCell ref="S17:Y17"/>
    <mergeCell ref="B18:B19"/>
    <mergeCell ref="C18:C19"/>
    <mergeCell ref="H18:H19"/>
    <mergeCell ref="I18:I19"/>
    <mergeCell ref="K18:K19"/>
    <mergeCell ref="L18:L19"/>
    <mergeCell ref="P18:P19"/>
    <mergeCell ref="Q18:Q19"/>
    <mergeCell ref="S18:S19"/>
    <mergeCell ref="T18:T19"/>
    <mergeCell ref="X18:X19"/>
    <mergeCell ref="Y18:Y19"/>
    <mergeCell ref="D19:G19"/>
    <mergeCell ref="M19:O19"/>
    <mergeCell ref="U19:W19"/>
    <mergeCell ref="B20:I20"/>
    <mergeCell ref="K20:Q20"/>
    <mergeCell ref="S20:Y20"/>
    <mergeCell ref="B21:B22"/>
    <mergeCell ref="C21:C22"/>
    <mergeCell ref="H21:H22"/>
    <mergeCell ref="I21:I22"/>
    <mergeCell ref="K21:K22"/>
    <mergeCell ref="L21:L22"/>
    <mergeCell ref="P21:P22"/>
    <mergeCell ref="Q21:Q22"/>
    <mergeCell ref="S21:S22"/>
    <mergeCell ref="T21:T22"/>
    <mergeCell ref="X21:X22"/>
    <mergeCell ref="Y21:Y22"/>
    <mergeCell ref="D22:G22"/>
    <mergeCell ref="M22:O22"/>
    <mergeCell ref="U22:W22"/>
    <mergeCell ref="B23:I23"/>
    <mergeCell ref="B25:I25"/>
    <mergeCell ref="K25:Q25"/>
    <mergeCell ref="S25:Y25"/>
    <mergeCell ref="B26:B27"/>
    <mergeCell ref="C26:C27"/>
    <mergeCell ref="H26:H27"/>
    <mergeCell ref="I26:I27"/>
    <mergeCell ref="K26:K27"/>
    <mergeCell ref="L26:L27"/>
    <mergeCell ref="P26:P27"/>
    <mergeCell ref="Q26:Q27"/>
    <mergeCell ref="S26:S27"/>
    <mergeCell ref="T26:T27"/>
    <mergeCell ref="X26:X27"/>
    <mergeCell ref="Y26:Y27"/>
    <mergeCell ref="D27:G27"/>
    <mergeCell ref="M27:O27"/>
    <mergeCell ref="U27:W27"/>
    <mergeCell ref="B28:I28"/>
    <mergeCell ref="K28:Q28"/>
    <mergeCell ref="S28:Y28"/>
    <mergeCell ref="B29:B30"/>
    <mergeCell ref="C29:C30"/>
    <mergeCell ref="H29:H30"/>
    <mergeCell ref="I29:I30"/>
    <mergeCell ref="K29:K30"/>
    <mergeCell ref="L29:L30"/>
    <mergeCell ref="P29:P30"/>
    <mergeCell ref="Q29:Q30"/>
    <mergeCell ref="S29:S30"/>
    <mergeCell ref="T29:T30"/>
    <mergeCell ref="X29:X30"/>
    <mergeCell ref="Y29:Y30"/>
    <mergeCell ref="D30:G30"/>
    <mergeCell ref="M30:O30"/>
    <mergeCell ref="U30:W30"/>
    <mergeCell ref="B34:I34"/>
    <mergeCell ref="B35:B36"/>
    <mergeCell ref="C35:C36"/>
    <mergeCell ref="H35:H36"/>
    <mergeCell ref="I35:I36"/>
    <mergeCell ref="D36:G36"/>
    <mergeCell ref="B37:I37"/>
    <mergeCell ref="B38:B39"/>
    <mergeCell ref="C38:C39"/>
    <mergeCell ref="H38:H39"/>
    <mergeCell ref="I38:I39"/>
    <mergeCell ref="D39:G39"/>
    <mergeCell ref="B42:I42"/>
    <mergeCell ref="B43:B44"/>
    <mergeCell ref="C43:C44"/>
    <mergeCell ref="H43:H44"/>
    <mergeCell ref="I43:I44"/>
    <mergeCell ref="D44:G44"/>
    <mergeCell ref="B45:I45"/>
    <mergeCell ref="B46:B47"/>
    <mergeCell ref="C46:C47"/>
    <mergeCell ref="H46:H47"/>
    <mergeCell ref="I46:I47"/>
    <mergeCell ref="D47:G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2026-02-01T21:34:33Z</dcterms:created>
  <dc:creator>VÍCTOR MANUEL MURILLO VIVEROS</dc:creator>
  <dc:description/>
  <dc:language>es-ES</dc:language>
  <cp:lastModifiedBy>schantal benitez</cp:lastModifiedBy>
  <dcterms:modified xsi:type="dcterms:W3CDTF">2026-10-18T04:37:17Z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