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JAS REEMBOLSO " sheetId="1" state="visible" r:id="rId3"/>
    <sheet name="Por tercero" sheetId="2" state="visible" r:id="rId4"/>
  </sheets>
  <definedNames>
    <definedName function="false" hidden="false" localSheetId="0" name="_xlnm.Print_Area" vbProcedure="false">'CAJAS REEMBOLSO '!$A$1:$N$87</definedName>
    <definedName function="false" hidden="true" localSheetId="1" name="_xlnm._FilterDatabase" vbProcedure="false">'Por tercero'!$A$4:$I$106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<sst xmlns="http://schemas.openxmlformats.org/spreadsheetml/2006/main" count="586" uniqueCount="153">
  <si>
    <t xml:space="preserve">NATURAL SYSTEMS INTERNATIONAL SAS</t>
  </si>
  <si>
    <t xml:space="preserve">LEGALIZACION DE EDGAR YEPES</t>
  </si>
  <si>
    <t xml:space="preserve">NIT/CC</t>
  </si>
  <si>
    <t xml:space="preserve">PREFIJO</t>
  </si>
  <si>
    <t xml:space="preserve">NUMERO FACTURA</t>
  </si>
  <si>
    <t xml:space="preserve">FECHA FACTURA</t>
  </si>
  <si>
    <t xml:space="preserve">TERCERO</t>
  </si>
  <si>
    <t xml:space="preserve">CONCEPTO</t>
  </si>
  <si>
    <t xml:space="preserve">CENTRO DE COSTO</t>
  </si>
  <si>
    <t xml:space="preserve">SUB TOTAL GRAVADO</t>
  </si>
  <si>
    <t xml:space="preserve">SUB TOTAL SIN IVA</t>
  </si>
  <si>
    <t xml:space="preserve">IVA</t>
  </si>
  <si>
    <t xml:space="preserve">INC</t>
  </si>
  <si>
    <t xml:space="preserve">TOTAL</t>
  </si>
  <si>
    <t xml:space="preserve">292607292419034102111508</t>
  </si>
  <si>
    <t xml:space="preserve">29/01/2026</t>
  </si>
  <si>
    <t xml:space="preserve">PANDA EXPRESS</t>
  </si>
  <si>
    <t xml:space="preserve">ALMUERZO</t>
  </si>
  <si>
    <t xml:space="preserve">332405324915</t>
  </si>
  <si>
    <t xml:space="preserve">20/01/2026</t>
  </si>
  <si>
    <t xml:space="preserve">BEST BUY</t>
  </si>
  <si>
    <t xml:space="preserve">CARGADOR DE COMPUTADOR</t>
  </si>
  <si>
    <t xml:space="preserve">020381039221</t>
  </si>
  <si>
    <t xml:space="preserve">17/07/2026</t>
  </si>
  <si>
    <t xml:space="preserve">THE HOME DEPOT</t>
  </si>
  <si>
    <t xml:space="preserve">HERRAMIENTAS</t>
  </si>
  <si>
    <t xml:space="preserve">  63438235160</t>
  </si>
  <si>
    <t xml:space="preserve">08/07/2026</t>
  </si>
  <si>
    <t xml:space="preserve">MATERIALES DE CONTRUCCION</t>
  </si>
  <si>
    <t xml:space="preserve">990032327006800009062626</t>
  </si>
  <si>
    <t xml:space="preserve">26/06/2026</t>
  </si>
  <si>
    <t xml:space="preserve">IKEA</t>
  </si>
  <si>
    <t xml:space="preserve">FORRO DE COLCHON Y CUBIERTOS</t>
  </si>
  <si>
    <t xml:space="preserve">SHVU28</t>
  </si>
  <si>
    <t xml:space="preserve">HOLLYWOOD FL</t>
  </si>
  <si>
    <t xml:space="preserve">PARQUEADERO</t>
  </si>
  <si>
    <t xml:space="preserve">5980203649</t>
  </si>
  <si>
    <t xml:space="preserve">COSTCO</t>
  </si>
  <si>
    <t xml:space="preserve">MERCADO</t>
  </si>
  <si>
    <t xml:space="preserve">02057SR039301</t>
  </si>
  <si>
    <t xml:space="preserve">PUBLIX</t>
  </si>
  <si>
    <t xml:space="preserve">05300730000031184821</t>
  </si>
  <si>
    <t xml:space="preserve">STEAK N SHAKE</t>
  </si>
  <si>
    <t xml:space="preserve">89890723601011</t>
  </si>
  <si>
    <t xml:space="preserve">DOLLAR TREE</t>
  </si>
  <si>
    <t xml:space="preserve">702771302108429</t>
  </si>
  <si>
    <t xml:space="preserve">BURGER KING</t>
  </si>
  <si>
    <t xml:space="preserve">COMIDA</t>
  </si>
  <si>
    <t xml:space="preserve">63248</t>
  </si>
  <si>
    <t xml:space="preserve">TRADER JOES</t>
  </si>
  <si>
    <t xml:space="preserve">164</t>
  </si>
  <si>
    <t xml:space="preserve">CHASE</t>
  </si>
  <si>
    <t xml:space="preserve">PAGO DE ENERGIA</t>
  </si>
  <si>
    <t xml:space="preserve">4730 FA04</t>
  </si>
  <si>
    <t xml:space="preserve">ALDI</t>
  </si>
  <si>
    <t xml:space="preserve">56869813583243057951</t>
  </si>
  <si>
    <t xml:space="preserve">WALMART</t>
  </si>
  <si>
    <t xml:space="preserve">9199337126</t>
  </si>
  <si>
    <t xml:space="preserve">91205225705</t>
  </si>
  <si>
    <t xml:space="preserve">91233213733</t>
  </si>
  <si>
    <t xml:space="preserve">6178081500794130</t>
  </si>
  <si>
    <t xml:space="preserve">TARGET</t>
  </si>
  <si>
    <t xml:space="preserve">34870723602023</t>
  </si>
  <si>
    <t xml:space="preserve">49460723601012</t>
  </si>
  <si>
    <t xml:space="preserve">40065</t>
  </si>
  <si>
    <t xml:space="preserve">CHURCHS</t>
  </si>
  <si>
    <t xml:space="preserve">306495</t>
  </si>
  <si>
    <t xml:space="preserve">ASIAN CHAO</t>
  </si>
  <si>
    <t xml:space="preserve">02225275369</t>
  </si>
  <si>
    <t xml:space="preserve">TRONILLOS Y TAB</t>
  </si>
  <si>
    <t xml:space="preserve">02220002715449</t>
  </si>
  <si>
    <t xml:space="preserve">ENCHUFES Y REGLETA</t>
  </si>
  <si>
    <t xml:space="preserve">22043346110686495322</t>
  </si>
  <si>
    <t xml:space="preserve">199974</t>
  </si>
  <si>
    <t xml:space="preserve">POLLO TROPICAL</t>
  </si>
  <si>
    <t xml:space="preserve">199977</t>
  </si>
  <si>
    <t xml:space="preserve">233156733</t>
  </si>
  <si>
    <t xml:space="preserve">0354FS76</t>
  </si>
  <si>
    <t xml:space="preserve">02225370259</t>
  </si>
  <si>
    <t xml:space="preserve">MESA</t>
  </si>
  <si>
    <t xml:space="preserve">2750FA04</t>
  </si>
  <si>
    <t xml:space="preserve">261171516654</t>
  </si>
  <si>
    <t xml:space="preserve">WENDYS</t>
  </si>
  <si>
    <t xml:space="preserve">9930014904647</t>
  </si>
  <si>
    <t xml:space="preserve">SEDANOS</t>
  </si>
  <si>
    <t xml:space="preserve">10314</t>
  </si>
  <si>
    <t xml:space="preserve">CHIPOTLE</t>
  </si>
  <si>
    <t xml:space="preserve">76320971240197904112</t>
  </si>
  <si>
    <t xml:space="preserve">91636664</t>
  </si>
  <si>
    <t xml:space="preserve">54904224208513900000</t>
  </si>
  <si>
    <t xml:space="preserve">1070260002007000000</t>
  </si>
  <si>
    <t xml:space="preserve">BRANDS MART</t>
  </si>
  <si>
    <t xml:space="preserve">SANDUCHERA</t>
  </si>
  <si>
    <t xml:space="preserve">22120723603031</t>
  </si>
  <si>
    <t xml:space="preserve">220</t>
  </si>
  <si>
    <t xml:space="preserve">8303FS76</t>
  </si>
  <si>
    <t xml:space="preserve">10042394</t>
  </si>
  <si>
    <t xml:space="preserve">9197352</t>
  </si>
  <si>
    <t xml:space="preserve">91205155705</t>
  </si>
  <si>
    <t xml:space="preserve">3F1F90976653E94A</t>
  </si>
  <si>
    <t xml:space="preserve">THE TACO STAD</t>
  </si>
  <si>
    <t xml:space="preserve">227598</t>
  </si>
  <si>
    <t xml:space="preserve">000243902374</t>
  </si>
  <si>
    <t xml:space="preserve">02527JR020008</t>
  </si>
  <si>
    <t xml:space="preserve">5051072360031</t>
  </si>
  <si>
    <t xml:space="preserve">7WSLJT11BRNS</t>
  </si>
  <si>
    <t xml:space="preserve">66456</t>
  </si>
  <si>
    <t xml:space="preserve">04003236723426071903</t>
  </si>
  <si>
    <t xml:space="preserve">WALGREENS</t>
  </si>
  <si>
    <t xml:space="preserve">DROGUERIA</t>
  </si>
  <si>
    <t xml:space="preserve">533088000018013</t>
  </si>
  <si>
    <t xml:space="preserve">WINGSTOP</t>
  </si>
  <si>
    <t xml:space="preserve">101695</t>
  </si>
  <si>
    <t xml:space="preserve">UNIVERSITY DRIVE</t>
  </si>
  <si>
    <t xml:space="preserve">2932427</t>
  </si>
  <si>
    <t xml:space="preserve">FPL</t>
  </si>
  <si>
    <t xml:space="preserve">32386729</t>
  </si>
  <si>
    <t xml:space="preserve">COUNTRY TAX COLLECTOR</t>
  </si>
  <si>
    <t xml:space="preserve">LICENCIA DRIVER</t>
  </si>
  <si>
    <t xml:space="preserve">32384944</t>
  </si>
  <si>
    <t xml:space="preserve">GGS2144SMD</t>
  </si>
  <si>
    <t xml:space="preserve">GOLDGAR USA</t>
  </si>
  <si>
    <t xml:space="preserve">RENOV PAR TACOMA</t>
  </si>
  <si>
    <t xml:space="preserve">8017215176174556905367</t>
  </si>
  <si>
    <t xml:space="preserve">ENERGIA</t>
  </si>
  <si>
    <t xml:space="preserve">17617-45569</t>
  </si>
  <si>
    <t xml:space="preserve">INFINITY</t>
  </si>
  <si>
    <t xml:space="preserve">INTERNET JUN</t>
  </si>
  <si>
    <t xml:space="preserve">INTERNET SEP</t>
  </si>
  <si>
    <t xml:space="preserve">INTERNET AGOST</t>
  </si>
  <si>
    <t xml:space="preserve">SCHANTAL BENITEZ</t>
  </si>
  <si>
    <t xml:space="preserve">JULIAN CASTAÑEDA V.</t>
  </si>
  <si>
    <t xml:space="preserve">Elaborado</t>
  </si>
  <si>
    <t xml:space="preserve">Autorizado</t>
  </si>
  <si>
    <t xml:space="preserve">REEMBOLSO EDGAR YEPES — valores en DÓLARES (USD) por tercero; use + / − (o botones 1/2) para ver las facturas de cada tercero</t>
  </si>
  <si>
    <t xml:space="preserve">TOTAL GENERAL</t>
  </si>
  <si>
    <t xml:space="preserve">Tercero</t>
  </si>
  <si>
    <t xml:space="preserve">N° factura</t>
  </si>
  <si>
    <t xml:space="preserve">Fecha</t>
  </si>
  <si>
    <t xml:space="preserve">Concepto</t>
  </si>
  <si>
    <t xml:space="preserve">Subtotal sin IVA (USD)</t>
  </si>
  <si>
    <t xml:space="preserve">IVA (USD)</t>
  </si>
  <si>
    <t xml:space="preserve">Total (USD)</t>
  </si>
  <si>
    <t xml:space="preserve">Tipo / # facturas</t>
  </si>
  <si>
    <t xml:space="preserve">Ítem</t>
  </si>
  <si>
    <t xml:space="preserve">TOTAL TERCERO</t>
  </si>
  <si>
    <t xml:space="preserve">Factura</t>
  </si>
  <si>
    <t xml:space="preserve">91234476734</t>
  </si>
  <si>
    <t xml:space="preserve">911120612</t>
  </si>
  <si>
    <t xml:space="preserve">91233178733</t>
  </si>
  <si>
    <t xml:space="preserve">91233120733</t>
  </si>
  <si>
    <t xml:space="preserve">(sin número)</t>
  </si>
  <si>
    <t xml:space="preserve">63438235160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</si>
</sst>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&quot;$ &quot;* #,##0.00_ ;_ &quot;$ &quot;* \-#,##0.00_ ;_ &quot;$ &quot;* \-??_ ;_ @_ "/>
    <numFmt numFmtId="166" formatCode="_-\$* #,##0.00_-;&quot;-$&quot;* #,##0.00_-;_-\$* \-??_-;_-@_-"/>
    <numFmt numFmtId="167" formatCode="_-&quot;$ &quot;* #,##0.00_-;&quot;-$ &quot;* #,##0.00_-;_-&quot;$ &quot;* \-??_-;_-@_-"/>
    <numFmt numFmtId="168" formatCode="&quot;$ &quot;#,##0;[RED]&quot;-$ &quot;#,##0"/>
    <numFmt numFmtId="169" formatCode="_(* #,##0.00_);_(* \(#,##0.00\);_(* \-??_);_(@_)"/>
    <numFmt numFmtId="170" formatCode="_-* #,##0_-;\-* #,##0_-;_-* \-??_-;_-@_-"/>
    <numFmt numFmtId="171" formatCode="m/d/yyyy"/>
    <numFmt numFmtId="172" formatCode="@"/>
    <numFmt numFmtId="173" formatCode="\$#,##0.00"/>
    <numFmt numFmtId="174" formatCode="_-* #,##0.00_-;\-* #,##0.00_-;_-* \-??_-;_-@_-"/>
    <numFmt numFmtId="175" formatCode="0.00"/>
    <numFmt numFmtId="176" formatCode="#,##0.00"/>
    <numFmt numFmtId="177" formatCode="0&quot; factura(s)&quot;"/>
    <numFmt numFmtId="178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22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0"/>
      <name val="Arial"/>
      <family val="2"/>
      <charset val="1"/>
    </font>
    <font>
      <sz val="26"/>
      <color theme="1"/>
      <name val="Arial"/>
      <family val="2"/>
      <charset val="1"/>
    </font>
    <font>
      <sz val="26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26"/>
      <color theme="1"/>
      <name val="Arial"/>
      <family val="2"/>
      <charset val="1"/>
    </font>
    <font>
      <sz val="36"/>
      <color theme="1"/>
      <name val="Arial"/>
      <family val="2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4D86"/>
        <bgColor rgb="FF1F3864"/>
      </patternFill>
    </fill>
    <fill>
      <patternFill patternType="solid">
        <fgColor theme="4" tint="-0.25"/>
        <bgColor rgb="FF004D86"/>
      </patternFill>
    </fill>
    <fill>
      <patternFill patternType="solid">
        <fgColor theme="0"/>
        <bgColor rgb="FFFFFFCC"/>
      </patternFill>
    </fill>
    <fill>
      <patternFill patternType="solid">
        <fgColor theme="5" tint="0.3999"/>
        <bgColor rgb="FFFFC7CE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21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7" fontId="9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10" fillId="3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4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4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3" fontId="11" fillId="4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11" fillId="4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11" fillId="4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4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4" fontId="11" fillId="4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12" fillId="4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5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5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3" fontId="11" fillId="5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11" fillId="5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11" fillId="5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5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11" fillId="4" borderId="6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4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1" fillId="4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11" fillId="4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1" fillId="4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1" fillId="4" borderId="5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7" fontId="11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11" fillId="0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2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4" borderId="7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4" borderId="7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4" borderId="7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3" fontId="11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11" fillId="4" borderId="7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4" borderId="7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3" fontId="11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11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11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11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11" fillId="5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11" fillId="5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5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11" fillId="5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5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5" fontId="11" fillId="4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14" fillId="4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7" fontId="14" fillId="4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1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6" fontId="1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D8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366840</xdr:colOff>
      <xdr:row>0</xdr:row>
      <xdr:rowOff>296640</xdr:rowOff>
    </xdr:from>
    <xdr:to>
      <xdr:col>3</xdr:col>
      <xdr:colOff>2023920</xdr:colOff>
      <xdr:row>5</xdr:row>
      <xdr:rowOff>152280</xdr:rowOff>
    </xdr:to>
    <xdr:pic>
      <xdr:nvPicPr>
        <xdr:cNvPr id="0" name="Imagen 1" descr=""/>
        <xdr:cNvPicPr/>
      </xdr:nvPicPr>
      <xdr:blipFill>
        <a:blip r:embed="rId1"/>
        <a:srcRect l="20536" t="7741" r="19191" b="12457"/>
        <a:stretch/>
      </xdr:blipFill>
      <xdr:spPr>
        <a:xfrm>
          <a:off x="977760" y="296640"/>
          <a:ext cx="2588400" cy="272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2:M85"/>
  <sheetViews>
    <sheetView showFormulas="false" showGridLines="false" showRowColHeaders="true" showZeros="true" rightToLeft="false" tabSelected="true" showOutlineSymbols="true" defaultGridColor="true" view="pageBreakPreview" topLeftCell="A1" colorId="64" zoomScale="40" zoomScaleNormal="40" zoomScalePageLayoutView="40" workbookViewId="0">
      <selection pane="topLeft" activeCell="M4" activeCellId="0" sqref="M4"/>
    </sheetView>
  </sheetViews>
  <sheetFormatPr defaultColWidth="11.4453125" defaultRowHeight="35.2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3.22"/>
    <col collapsed="false" customWidth="true" hidden="true" outlineLevel="0" max="3" min="3" style="2" width="40.67"/>
    <col collapsed="false" customWidth="true" hidden="false" outlineLevel="0" max="4" min="4" style="3" width="79"/>
    <col collapsed="false" customWidth="true" hidden="false" outlineLevel="0" max="5" min="5" style="3" width="37"/>
    <col collapsed="false" customWidth="true" hidden="false" outlineLevel="0" max="6" min="6" style="3" width="98.67"/>
    <col collapsed="false" customWidth="true" hidden="false" outlineLevel="0" max="7" min="7" style="4" width="104"/>
    <col collapsed="false" customWidth="true" hidden="true" outlineLevel="0" max="8" min="8" style="3" width="41.56"/>
    <col collapsed="false" customWidth="true" hidden="true" outlineLevel="0" max="9" min="9" style="3" width="30.56"/>
    <col collapsed="false" customWidth="true" hidden="false" outlineLevel="0" max="10" min="10" style="3" width="26.33"/>
    <col collapsed="false" customWidth="true" hidden="false" outlineLevel="0" max="11" min="11" style="3" width="38.67"/>
    <col collapsed="false" customWidth="true" hidden="true" outlineLevel="0" max="12" min="12" style="3" width="35.89"/>
    <col collapsed="false" customWidth="true" hidden="false" outlineLevel="0" max="13" min="13" style="3" width="48.67"/>
    <col collapsed="false" customWidth="true" hidden="false" outlineLevel="0" max="14" min="14" style="3" width="29.11"/>
    <col collapsed="false" customWidth="true" hidden="false" outlineLevel="0" max="15" min="15" style="3" width="33.11"/>
    <col collapsed="false" customWidth="true" hidden="false" outlineLevel="0" max="16" min="16" style="3" width="41.33"/>
    <col collapsed="false" customWidth="false" hidden="false" outlineLevel="0" max="16384" min="17" style="3" width="11.44"/>
  </cols>
  <sheetData>
    <row r="2" customFormat="false" ht="35.25" hidden="false" customHeight="false" outlineLevel="0" collapsed="false">
      <c r="C2" s="5"/>
      <c r="D2" s="6"/>
      <c r="E2" s="7"/>
      <c r="F2" s="6"/>
      <c r="G2" s="8"/>
      <c r="H2" s="6"/>
      <c r="I2" s="6"/>
      <c r="J2" s="6"/>
      <c r="K2" s="6"/>
    </row>
    <row r="3" customFormat="false" ht="35.25" hidden="false" customHeight="false" outlineLevel="0" collapsed="false">
      <c r="C3" s="3"/>
    </row>
    <row r="4" customFormat="false" ht="60" hidden="false" customHeight="true" outlineLevel="0" collapsed="false">
      <c r="C4" s="9" t="s">
        <v>0</v>
      </c>
      <c r="D4" s="9"/>
      <c r="E4" s="9"/>
      <c r="F4" s="9"/>
      <c r="G4" s="9"/>
      <c r="H4" s="9"/>
      <c r="I4" s="9"/>
      <c r="J4" s="9"/>
      <c r="K4" s="9"/>
    </row>
    <row r="5" customFormat="false" ht="60" hidden="false" customHeight="true" outlineLevel="0" collapsed="false">
      <c r="C5" s="9" t="s">
        <v>1</v>
      </c>
      <c r="D5" s="9"/>
      <c r="E5" s="9"/>
      <c r="F5" s="9"/>
      <c r="G5" s="9"/>
      <c r="H5" s="9"/>
      <c r="I5" s="9"/>
      <c r="J5" s="9"/>
      <c r="K5" s="9"/>
      <c r="L5" s="10"/>
      <c r="M5" s="11"/>
    </row>
    <row r="6" customFormat="false" ht="35.25" hidden="false" customHeight="false" outlineLevel="0" collapsed="false">
      <c r="C6" s="5"/>
      <c r="D6" s="6"/>
      <c r="E6" s="7"/>
      <c r="F6" s="6"/>
      <c r="G6" s="8"/>
      <c r="H6" s="6"/>
      <c r="I6" s="6"/>
      <c r="J6" s="6"/>
      <c r="K6" s="6"/>
      <c r="M6" s="12"/>
    </row>
    <row r="7" customFormat="false" ht="15" hidden="false" customHeight="true" outlineLevel="0" collapsed="false">
      <c r="A7" s="13"/>
      <c r="B7" s="14" t="s">
        <v>2</v>
      </c>
      <c r="C7" s="13" t="s">
        <v>3</v>
      </c>
      <c r="D7" s="15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6" t="s">
        <v>11</v>
      </c>
      <c r="L7" s="16" t="s">
        <v>12</v>
      </c>
      <c r="M7" s="17" t="s">
        <v>13</v>
      </c>
    </row>
    <row r="8" customFormat="false" ht="45.75" hidden="false" customHeight="true" outlineLevel="0" collapsed="false">
      <c r="A8" s="13"/>
      <c r="B8" s="14"/>
      <c r="C8" s="13"/>
      <c r="D8" s="15"/>
      <c r="E8" s="16"/>
      <c r="F8" s="16"/>
      <c r="G8" s="16"/>
      <c r="H8" s="16"/>
      <c r="I8" s="16"/>
      <c r="J8" s="16"/>
      <c r="K8" s="16"/>
      <c r="L8" s="16"/>
      <c r="M8" s="16"/>
    </row>
    <row r="9" customFormat="false" ht="36" hidden="false" customHeight="true" outlineLevel="0" collapsed="false">
      <c r="A9" s="18" t="n">
        <v>1</v>
      </c>
      <c r="B9" s="19"/>
      <c r="C9" s="20"/>
      <c r="D9" s="21" t="s">
        <v>14</v>
      </c>
      <c r="E9" s="22" t="s">
        <v>15</v>
      </c>
      <c r="F9" s="23" t="s">
        <v>16</v>
      </c>
      <c r="G9" s="24" t="s">
        <v>17</v>
      </c>
      <c r="H9" s="25"/>
      <c r="I9" s="26"/>
      <c r="J9" s="27" t="n">
        <v>22.8</v>
      </c>
      <c r="K9" s="28" t="n">
        <v>1.6</v>
      </c>
      <c r="L9" s="29"/>
      <c r="M9" s="30" t="n">
        <f aca="false">J9+K9</f>
        <v>24.4</v>
      </c>
    </row>
    <row r="10" customFormat="false" ht="36" hidden="false" customHeight="true" outlineLevel="0" collapsed="false">
      <c r="A10" s="18" t="n">
        <v>2</v>
      </c>
      <c r="B10" s="19"/>
      <c r="C10" s="20"/>
      <c r="D10" s="21" t="s">
        <v>18</v>
      </c>
      <c r="E10" s="22" t="s">
        <v>19</v>
      </c>
      <c r="F10" s="31" t="s">
        <v>20</v>
      </c>
      <c r="G10" s="24" t="s">
        <v>21</v>
      </c>
      <c r="H10" s="25"/>
      <c r="I10" s="26"/>
      <c r="J10" s="27" t="n">
        <v>39.99</v>
      </c>
      <c r="K10" s="32" t="n">
        <v>2.8</v>
      </c>
      <c r="L10" s="29"/>
      <c r="M10" s="30" t="n">
        <f aca="false">J10+K10</f>
        <v>42.79</v>
      </c>
    </row>
    <row r="11" customFormat="false" ht="36" hidden="false" customHeight="true" outlineLevel="0" collapsed="false">
      <c r="A11" s="18" t="n">
        <v>3</v>
      </c>
      <c r="B11" s="19"/>
      <c r="C11" s="20"/>
      <c r="D11" s="21" t="s">
        <v>22</v>
      </c>
      <c r="E11" s="22" t="s">
        <v>23</v>
      </c>
      <c r="F11" s="23" t="s">
        <v>24</v>
      </c>
      <c r="G11" s="24" t="s">
        <v>25</v>
      </c>
      <c r="H11" s="25"/>
      <c r="I11" s="26"/>
      <c r="J11" s="27" t="n">
        <v>162.84</v>
      </c>
      <c r="K11" s="28" t="n">
        <v>10.36</v>
      </c>
      <c r="L11" s="29"/>
      <c r="M11" s="30" t="n">
        <f aca="false">J11+K11</f>
        <v>173.2</v>
      </c>
    </row>
    <row r="12" customFormat="false" ht="36" hidden="false" customHeight="true" outlineLevel="0" collapsed="false">
      <c r="A12" s="18" t="n">
        <v>4</v>
      </c>
      <c r="B12" s="33"/>
      <c r="C12" s="20"/>
      <c r="D12" s="21" t="s">
        <v>26</v>
      </c>
      <c r="E12" s="22" t="s">
        <v>27</v>
      </c>
      <c r="F12" s="23" t="s">
        <v>24</v>
      </c>
      <c r="G12" s="24" t="s">
        <v>28</v>
      </c>
      <c r="H12" s="25"/>
      <c r="I12" s="26"/>
      <c r="J12" s="27" t="n">
        <v>249.36</v>
      </c>
      <c r="K12" s="28" t="n">
        <v>17.46</v>
      </c>
      <c r="L12" s="29"/>
      <c r="M12" s="30" t="n">
        <f aca="false">J12+K12</f>
        <v>266.82</v>
      </c>
    </row>
    <row r="13" customFormat="false" ht="36" hidden="false" customHeight="true" outlineLevel="0" collapsed="false">
      <c r="A13" s="18" t="n">
        <v>5</v>
      </c>
      <c r="B13" s="19"/>
      <c r="C13" s="20"/>
      <c r="D13" s="21" t="s">
        <v>29</v>
      </c>
      <c r="E13" s="22" t="s">
        <v>30</v>
      </c>
      <c r="F13" s="23" t="s">
        <v>31</v>
      </c>
      <c r="G13" s="24" t="s">
        <v>32</v>
      </c>
      <c r="H13" s="25"/>
      <c r="I13" s="26"/>
      <c r="J13" s="27" t="n">
        <v>28.98</v>
      </c>
      <c r="K13" s="28" t="n">
        <v>2.03</v>
      </c>
      <c r="L13" s="29"/>
      <c r="M13" s="30" t="n">
        <f aca="false">J13+K13</f>
        <v>31.01</v>
      </c>
    </row>
    <row r="14" customFormat="false" ht="36" hidden="false" customHeight="true" outlineLevel="0" collapsed="false">
      <c r="A14" s="18" t="n">
        <v>6</v>
      </c>
      <c r="B14" s="34"/>
      <c r="C14" s="35"/>
      <c r="D14" s="36" t="s">
        <v>33</v>
      </c>
      <c r="E14" s="35" t="n">
        <v>46215</v>
      </c>
      <c r="F14" s="37" t="s">
        <v>34</v>
      </c>
      <c r="G14" s="37" t="s">
        <v>35</v>
      </c>
      <c r="H14" s="38"/>
      <c r="I14" s="39"/>
      <c r="J14" s="40" t="n">
        <v>4.5</v>
      </c>
      <c r="K14" s="41"/>
      <c r="L14" s="42"/>
      <c r="M14" s="43" t="n">
        <f aca="false">J14+K14</f>
        <v>4.5</v>
      </c>
    </row>
    <row r="15" customFormat="false" ht="36" hidden="false" customHeight="true" outlineLevel="0" collapsed="false">
      <c r="A15" s="18" t="n">
        <v>7</v>
      </c>
      <c r="B15" s="19"/>
      <c r="C15" s="20"/>
      <c r="D15" s="21" t="s">
        <v>36</v>
      </c>
      <c r="E15" s="20" t="n">
        <v>46220</v>
      </c>
      <c r="F15" s="23" t="s">
        <v>37</v>
      </c>
      <c r="G15" s="24" t="s">
        <v>38</v>
      </c>
      <c r="H15" s="25"/>
      <c r="I15" s="26"/>
      <c r="J15" s="27" t="n">
        <v>13.99</v>
      </c>
      <c r="K15" s="28"/>
      <c r="L15" s="29"/>
      <c r="M15" s="30" t="n">
        <f aca="false">J15+K15</f>
        <v>13.99</v>
      </c>
    </row>
    <row r="16" customFormat="false" ht="36" hidden="false" customHeight="true" outlineLevel="0" collapsed="false">
      <c r="A16" s="18" t="n">
        <v>8</v>
      </c>
      <c r="B16" s="19"/>
      <c r="C16" s="20"/>
      <c r="D16" s="21" t="s">
        <v>39</v>
      </c>
      <c r="E16" s="20" t="n">
        <v>46230</v>
      </c>
      <c r="F16" s="23" t="s">
        <v>40</v>
      </c>
      <c r="G16" s="24" t="s">
        <v>38</v>
      </c>
      <c r="H16" s="25"/>
      <c r="I16" s="26"/>
      <c r="J16" s="27" t="n">
        <v>7.28</v>
      </c>
      <c r="K16" s="28" t="n">
        <v>0.51</v>
      </c>
      <c r="L16" s="29"/>
      <c r="M16" s="30" t="n">
        <f aca="false">J16+K16</f>
        <v>7.79</v>
      </c>
    </row>
    <row r="17" customFormat="false" ht="36" hidden="false" customHeight="true" outlineLevel="0" collapsed="false">
      <c r="A17" s="18" t="n">
        <v>9</v>
      </c>
      <c r="B17" s="19"/>
      <c r="C17" s="20"/>
      <c r="D17" s="21" t="s">
        <v>41</v>
      </c>
      <c r="E17" s="20" t="n">
        <v>46233</v>
      </c>
      <c r="F17" s="23" t="s">
        <v>42</v>
      </c>
      <c r="G17" s="24" t="s">
        <v>17</v>
      </c>
      <c r="H17" s="25"/>
      <c r="I17" s="26"/>
      <c r="J17" s="27" t="n">
        <v>9.68</v>
      </c>
      <c r="K17" s="28" t="n">
        <v>0.68</v>
      </c>
      <c r="L17" s="29"/>
      <c r="M17" s="30" t="n">
        <f aca="false">J17+K17</f>
        <v>10.36</v>
      </c>
    </row>
    <row r="18" customFormat="false" ht="36" hidden="false" customHeight="true" outlineLevel="0" collapsed="false">
      <c r="A18" s="18" t="n">
        <v>10</v>
      </c>
      <c r="B18" s="19"/>
      <c r="C18" s="20"/>
      <c r="D18" s="21" t="s">
        <v>43</v>
      </c>
      <c r="E18" s="20" t="n">
        <v>46229</v>
      </c>
      <c r="F18" s="23" t="s">
        <v>44</v>
      </c>
      <c r="G18" s="24" t="s">
        <v>38</v>
      </c>
      <c r="H18" s="25"/>
      <c r="I18" s="26"/>
      <c r="J18" s="27" t="n">
        <v>4.5</v>
      </c>
      <c r="K18" s="28" t="n">
        <v>0.32</v>
      </c>
      <c r="L18" s="29"/>
      <c r="M18" s="30" t="n">
        <f aca="false">J18+K18</f>
        <v>4.82</v>
      </c>
    </row>
    <row r="19" customFormat="false" ht="36" hidden="false" customHeight="true" outlineLevel="0" collapsed="false">
      <c r="A19" s="18" t="n">
        <v>11</v>
      </c>
      <c r="B19" s="19"/>
      <c r="C19" s="20"/>
      <c r="D19" s="21" t="s">
        <v>45</v>
      </c>
      <c r="E19" s="20" t="n">
        <v>46231</v>
      </c>
      <c r="F19" s="23" t="s">
        <v>46</v>
      </c>
      <c r="G19" s="24" t="s">
        <v>47</v>
      </c>
      <c r="H19" s="25"/>
      <c r="I19" s="26"/>
      <c r="J19" s="27" t="n">
        <v>12.99</v>
      </c>
      <c r="K19" s="28" t="n">
        <v>0.91</v>
      </c>
      <c r="L19" s="29"/>
      <c r="M19" s="30" t="n">
        <f aca="false">J19+K19</f>
        <v>13.9</v>
      </c>
    </row>
    <row r="20" customFormat="false" ht="36" hidden="false" customHeight="true" outlineLevel="0" collapsed="false">
      <c r="A20" s="18" t="n">
        <v>12</v>
      </c>
      <c r="B20" s="19"/>
      <c r="C20" s="20"/>
      <c r="D20" s="21" t="s">
        <v>48</v>
      </c>
      <c r="E20" s="20" t="n">
        <v>46221</v>
      </c>
      <c r="F20" s="23" t="s">
        <v>49</v>
      </c>
      <c r="G20" s="24" t="s">
        <v>38</v>
      </c>
      <c r="H20" s="25"/>
      <c r="I20" s="26"/>
      <c r="J20" s="27" t="n">
        <v>12.27</v>
      </c>
      <c r="K20" s="28"/>
      <c r="L20" s="29"/>
      <c r="M20" s="30" t="n">
        <f aca="false">J20+K20</f>
        <v>12.27</v>
      </c>
    </row>
    <row r="21" customFormat="false" ht="36" hidden="false" customHeight="true" outlineLevel="0" collapsed="false">
      <c r="A21" s="18" t="n">
        <v>13</v>
      </c>
      <c r="B21" s="19"/>
      <c r="C21" s="20"/>
      <c r="D21" s="21" t="s">
        <v>50</v>
      </c>
      <c r="E21" s="20" t="n">
        <v>46232</v>
      </c>
      <c r="F21" s="23" t="s">
        <v>51</v>
      </c>
      <c r="G21" s="24" t="s">
        <v>52</v>
      </c>
      <c r="H21" s="25"/>
      <c r="I21" s="26"/>
      <c r="J21" s="27" t="n">
        <v>160.44</v>
      </c>
      <c r="K21" s="28"/>
      <c r="L21" s="29"/>
      <c r="M21" s="30" t="n">
        <f aca="false">J21+K21</f>
        <v>160.44</v>
      </c>
    </row>
    <row r="22" customFormat="false" ht="36" hidden="false" customHeight="true" outlineLevel="0" collapsed="false">
      <c r="A22" s="18" t="n">
        <v>14</v>
      </c>
      <c r="B22" s="19"/>
      <c r="C22" s="20"/>
      <c r="D22" s="21" t="s">
        <v>53</v>
      </c>
      <c r="E22" s="20" t="n">
        <v>45880</v>
      </c>
      <c r="F22" s="23" t="s">
        <v>54</v>
      </c>
      <c r="G22" s="24" t="s">
        <v>38</v>
      </c>
      <c r="H22" s="25"/>
      <c r="I22" s="26"/>
      <c r="J22" s="27" t="n">
        <v>57.67</v>
      </c>
      <c r="K22" s="28" t="n">
        <v>0.85</v>
      </c>
      <c r="L22" s="29"/>
      <c r="M22" s="30" t="n">
        <f aca="false">J22+K22</f>
        <v>58.52</v>
      </c>
    </row>
    <row r="23" customFormat="false" ht="36" hidden="false" customHeight="true" outlineLevel="0" collapsed="false">
      <c r="A23" s="18" t="n">
        <v>15</v>
      </c>
      <c r="B23" s="19"/>
      <c r="C23" s="20"/>
      <c r="D23" s="21" t="s">
        <v>55</v>
      </c>
      <c r="E23" s="20" t="n">
        <v>46217</v>
      </c>
      <c r="F23" s="23" t="s">
        <v>56</v>
      </c>
      <c r="G23" s="24" t="s">
        <v>38</v>
      </c>
      <c r="H23" s="25"/>
      <c r="I23" s="26"/>
      <c r="J23" s="27" t="n">
        <v>40.3</v>
      </c>
      <c r="K23" s="28" t="n">
        <v>0.8</v>
      </c>
      <c r="L23" s="29"/>
      <c r="M23" s="30" t="n">
        <f aca="false">J23+K23</f>
        <v>41.1</v>
      </c>
    </row>
    <row r="24" customFormat="false" ht="36" hidden="false" customHeight="true" outlineLevel="0" collapsed="false">
      <c r="A24" s="18" t="n">
        <v>16</v>
      </c>
      <c r="B24" s="19"/>
      <c r="C24" s="20"/>
      <c r="D24" s="21" t="s">
        <v>57</v>
      </c>
      <c r="E24" s="20" t="n">
        <v>46214</v>
      </c>
      <c r="F24" s="23" t="s">
        <v>37</v>
      </c>
      <c r="G24" s="24" t="s">
        <v>38</v>
      </c>
      <c r="H24" s="25"/>
      <c r="I24" s="26"/>
      <c r="J24" s="27" t="n">
        <v>26.99</v>
      </c>
      <c r="K24" s="28" t="n">
        <v>1.89</v>
      </c>
      <c r="L24" s="29"/>
      <c r="M24" s="30" t="n">
        <f aca="false">J24+K24</f>
        <v>28.88</v>
      </c>
    </row>
    <row r="25" customFormat="false" ht="36" hidden="false" customHeight="true" outlineLevel="0" collapsed="false">
      <c r="A25" s="18" t="n">
        <v>17</v>
      </c>
      <c r="B25" s="19"/>
      <c r="C25" s="20"/>
      <c r="D25" s="21" t="s">
        <v>58</v>
      </c>
      <c r="E25" s="20" t="n">
        <v>46214</v>
      </c>
      <c r="F25" s="23" t="s">
        <v>37</v>
      </c>
      <c r="G25" s="24" t="s">
        <v>38</v>
      </c>
      <c r="H25" s="25"/>
      <c r="I25" s="26"/>
      <c r="J25" s="27" t="n">
        <v>69.03</v>
      </c>
      <c r="K25" s="28" t="n">
        <v>2.93</v>
      </c>
      <c r="L25" s="29"/>
      <c r="M25" s="30" t="n">
        <f aca="false">J25+K25</f>
        <v>71.96</v>
      </c>
    </row>
    <row r="26" customFormat="false" ht="36" hidden="false" customHeight="true" outlineLevel="0" collapsed="false">
      <c r="A26" s="18" t="n">
        <v>18</v>
      </c>
      <c r="B26" s="19"/>
      <c r="C26" s="20"/>
      <c r="D26" s="21" t="s">
        <v>59</v>
      </c>
      <c r="E26" s="20" t="n">
        <v>46214</v>
      </c>
      <c r="F26" s="23" t="s">
        <v>37</v>
      </c>
      <c r="G26" s="24" t="s">
        <v>17</v>
      </c>
      <c r="H26" s="25"/>
      <c r="I26" s="26"/>
      <c r="J26" s="27" t="n">
        <v>3.49</v>
      </c>
      <c r="K26" s="28" t="n">
        <v>0.24</v>
      </c>
      <c r="L26" s="29"/>
      <c r="M26" s="30" t="n">
        <f aca="false">J26+K26</f>
        <v>3.73</v>
      </c>
    </row>
    <row r="27" customFormat="false" ht="36" hidden="false" customHeight="true" outlineLevel="0" collapsed="false">
      <c r="A27" s="18" t="n">
        <v>19</v>
      </c>
      <c r="B27" s="19"/>
      <c r="C27" s="20"/>
      <c r="D27" s="21" t="s">
        <v>60</v>
      </c>
      <c r="E27" s="20" t="n">
        <v>46200</v>
      </c>
      <c r="F27" s="23" t="s">
        <v>61</v>
      </c>
      <c r="G27" s="24" t="s">
        <v>38</v>
      </c>
      <c r="H27" s="44"/>
      <c r="I27" s="45"/>
      <c r="J27" s="27" t="n">
        <v>34.96</v>
      </c>
      <c r="K27" s="28" t="n">
        <v>2.17</v>
      </c>
      <c r="L27" s="29"/>
      <c r="M27" s="30" t="n">
        <f aca="false">J27+K27</f>
        <v>37.13</v>
      </c>
    </row>
    <row r="28" customFormat="false" ht="36" hidden="false" customHeight="true" outlineLevel="0" collapsed="false">
      <c r="A28" s="18" t="n">
        <v>20</v>
      </c>
      <c r="B28" s="19"/>
      <c r="C28" s="20"/>
      <c r="D28" s="21" t="s">
        <v>62</v>
      </c>
      <c r="E28" s="20" t="n">
        <v>46204</v>
      </c>
      <c r="F28" s="23" t="s">
        <v>44</v>
      </c>
      <c r="G28" s="24" t="s">
        <v>38</v>
      </c>
      <c r="H28" s="25"/>
      <c r="I28" s="26"/>
      <c r="J28" s="46" t="n">
        <v>7.5</v>
      </c>
      <c r="K28" s="28" t="n">
        <v>0.32</v>
      </c>
      <c r="L28" s="29"/>
      <c r="M28" s="30" t="n">
        <f aca="false">J28+K28</f>
        <v>7.82</v>
      </c>
    </row>
    <row r="29" customFormat="false" ht="36" hidden="false" customHeight="true" outlineLevel="0" collapsed="false">
      <c r="A29" s="18" t="n">
        <v>21</v>
      </c>
      <c r="B29" s="19"/>
      <c r="C29" s="20"/>
      <c r="D29" s="21" t="s">
        <v>63</v>
      </c>
      <c r="E29" s="47" t="n">
        <v>46214</v>
      </c>
      <c r="F29" s="23" t="s">
        <v>44</v>
      </c>
      <c r="G29" s="24" t="s">
        <v>38</v>
      </c>
      <c r="H29" s="25"/>
      <c r="I29" s="26"/>
      <c r="J29" s="27" t="n">
        <v>8.25</v>
      </c>
      <c r="K29" s="28" t="n">
        <v>0.21</v>
      </c>
      <c r="L29" s="29"/>
      <c r="M29" s="30" t="n">
        <f aca="false">J29+K29</f>
        <v>8.46</v>
      </c>
    </row>
    <row r="30" customFormat="false" ht="36" hidden="false" customHeight="true" outlineLevel="0" collapsed="false">
      <c r="A30" s="18" t="n">
        <v>22</v>
      </c>
      <c r="B30" s="19"/>
      <c r="C30" s="20"/>
      <c r="D30" s="21" t="s">
        <v>64</v>
      </c>
      <c r="E30" s="47" t="n">
        <v>46234</v>
      </c>
      <c r="F30" s="23" t="s">
        <v>65</v>
      </c>
      <c r="G30" s="24" t="s">
        <v>17</v>
      </c>
      <c r="H30" s="44"/>
      <c r="I30" s="45"/>
      <c r="J30" s="48" t="n">
        <v>11.28</v>
      </c>
      <c r="K30" s="49" t="n">
        <v>0.79</v>
      </c>
      <c r="L30" s="29"/>
      <c r="M30" s="30" t="n">
        <f aca="false">J30+K30</f>
        <v>12.07</v>
      </c>
    </row>
    <row r="31" customFormat="false" ht="36" hidden="false" customHeight="true" outlineLevel="0" collapsed="false">
      <c r="A31" s="18" t="n">
        <v>23</v>
      </c>
      <c r="B31" s="19"/>
      <c r="C31" s="20"/>
      <c r="D31" s="21" t="s">
        <v>66</v>
      </c>
      <c r="E31" s="47" t="n">
        <v>46200</v>
      </c>
      <c r="F31" s="23" t="s">
        <v>67</v>
      </c>
      <c r="G31" s="24" t="s">
        <v>17</v>
      </c>
      <c r="H31" s="50"/>
      <c r="I31" s="51"/>
      <c r="J31" s="27" t="n">
        <v>13.99</v>
      </c>
      <c r="K31" s="28" t="n">
        <v>0.98</v>
      </c>
      <c r="L31" s="29"/>
      <c r="M31" s="30" t="n">
        <f aca="false">J31+K31</f>
        <v>14.97</v>
      </c>
    </row>
    <row r="32" customFormat="false" ht="36" hidden="false" customHeight="true" outlineLevel="0" collapsed="false">
      <c r="A32" s="18" t="n">
        <v>24</v>
      </c>
      <c r="B32" s="19"/>
      <c r="C32" s="20"/>
      <c r="D32" s="21" t="s">
        <v>68</v>
      </c>
      <c r="E32" s="47" t="n">
        <v>46213</v>
      </c>
      <c r="F32" s="23" t="s">
        <v>24</v>
      </c>
      <c r="G32" s="24" t="s">
        <v>69</v>
      </c>
      <c r="H32" s="25"/>
      <c r="I32" s="26"/>
      <c r="J32" s="27" t="n">
        <v>31.8</v>
      </c>
      <c r="K32" s="28" t="n">
        <v>2.23</v>
      </c>
      <c r="L32" s="29"/>
      <c r="M32" s="30" t="n">
        <f aca="false">J32+K32</f>
        <v>34.03</v>
      </c>
    </row>
    <row r="33" customFormat="false" ht="36" hidden="false" customHeight="true" outlineLevel="0" collapsed="false">
      <c r="A33" s="18" t="n">
        <v>25</v>
      </c>
      <c r="B33" s="19"/>
      <c r="C33" s="20"/>
      <c r="D33" s="21" t="s">
        <v>70</v>
      </c>
      <c r="E33" s="47" t="n">
        <v>46213</v>
      </c>
      <c r="F33" s="23" t="s">
        <v>24</v>
      </c>
      <c r="G33" s="24" t="s">
        <v>71</v>
      </c>
      <c r="H33" s="25"/>
      <c r="I33" s="26"/>
      <c r="J33" s="27" t="n">
        <v>40.32</v>
      </c>
      <c r="K33" s="28" t="n">
        <v>2.82</v>
      </c>
      <c r="L33" s="29"/>
      <c r="M33" s="30" t="n">
        <f aca="false">J33+K33</f>
        <v>43.14</v>
      </c>
    </row>
    <row r="34" customFormat="false" ht="36" hidden="false" customHeight="true" outlineLevel="0" collapsed="false">
      <c r="A34" s="18" t="n">
        <v>26</v>
      </c>
      <c r="B34" s="19"/>
      <c r="C34" s="20"/>
      <c r="D34" s="21" t="s">
        <v>72</v>
      </c>
      <c r="E34" s="47" t="n">
        <v>46211</v>
      </c>
      <c r="F34" s="23" t="s">
        <v>56</v>
      </c>
      <c r="G34" s="24" t="s">
        <v>38</v>
      </c>
      <c r="H34" s="25"/>
      <c r="I34" s="26"/>
      <c r="J34" s="27" t="n">
        <v>9.47</v>
      </c>
      <c r="K34" s="28"/>
      <c r="L34" s="29"/>
      <c r="M34" s="30" t="n">
        <f aca="false">J34+K34</f>
        <v>9.47</v>
      </c>
    </row>
    <row r="35" customFormat="false" ht="36" hidden="false" customHeight="true" outlineLevel="0" collapsed="false">
      <c r="A35" s="18" t="n">
        <v>27</v>
      </c>
      <c r="B35" s="19"/>
      <c r="C35" s="20"/>
      <c r="D35" s="21" t="s">
        <v>73</v>
      </c>
      <c r="E35" s="47" t="n">
        <v>46208</v>
      </c>
      <c r="F35" s="23" t="s">
        <v>74</v>
      </c>
      <c r="G35" s="24" t="s">
        <v>17</v>
      </c>
      <c r="H35" s="25"/>
      <c r="I35" s="26"/>
      <c r="J35" s="27" t="n">
        <v>10.29</v>
      </c>
      <c r="K35" s="28" t="n">
        <v>0.72</v>
      </c>
      <c r="L35" s="29"/>
      <c r="M35" s="52" t="n">
        <f aca="false">J35+K35</f>
        <v>11.01</v>
      </c>
    </row>
    <row r="36" customFormat="false" ht="36" hidden="false" customHeight="true" outlineLevel="0" collapsed="false">
      <c r="A36" s="18" t="n">
        <v>28</v>
      </c>
      <c r="B36" s="19"/>
      <c r="C36" s="53"/>
      <c r="D36" s="21" t="s">
        <v>75</v>
      </c>
      <c r="E36" s="47" t="n">
        <v>46208</v>
      </c>
      <c r="F36" s="23" t="s">
        <v>74</v>
      </c>
      <c r="G36" s="54" t="s">
        <v>17</v>
      </c>
      <c r="H36" s="29"/>
      <c r="I36" s="26"/>
      <c r="J36" s="27" t="n">
        <v>4.79</v>
      </c>
      <c r="K36" s="28" t="n">
        <v>0.34</v>
      </c>
      <c r="L36" s="29"/>
      <c r="M36" s="30" t="n">
        <f aca="false">J36+K36</f>
        <v>5.13</v>
      </c>
    </row>
    <row r="37" customFormat="false" ht="36" hidden="false" customHeight="true" outlineLevel="0" collapsed="false">
      <c r="A37" s="18" t="n">
        <v>29</v>
      </c>
      <c r="B37" s="19"/>
      <c r="C37" s="53"/>
      <c r="D37" s="21" t="s">
        <v>76</v>
      </c>
      <c r="E37" s="47" t="n">
        <v>46212</v>
      </c>
      <c r="F37" s="23" t="s">
        <v>37</v>
      </c>
      <c r="G37" s="24" t="s">
        <v>17</v>
      </c>
      <c r="H37" s="29"/>
      <c r="I37" s="26"/>
      <c r="J37" s="28" t="n">
        <v>5.48</v>
      </c>
      <c r="K37" s="28" t="n">
        <v>0.38</v>
      </c>
      <c r="L37" s="29"/>
      <c r="M37" s="30" t="n">
        <f aca="false">J37+K37</f>
        <v>5.86</v>
      </c>
    </row>
    <row r="38" customFormat="false" ht="36" hidden="false" customHeight="true" outlineLevel="0" collapsed="false">
      <c r="A38" s="18" t="n">
        <v>30</v>
      </c>
      <c r="B38" s="19"/>
      <c r="C38" s="53"/>
      <c r="D38" s="55" t="s">
        <v>77</v>
      </c>
      <c r="E38" s="56" t="n">
        <v>46209</v>
      </c>
      <c r="F38" s="57" t="s">
        <v>54</v>
      </c>
      <c r="G38" s="58" t="s">
        <v>38</v>
      </c>
      <c r="H38" s="59"/>
      <c r="I38" s="60"/>
      <c r="J38" s="61" t="n">
        <v>12.7</v>
      </c>
      <c r="K38" s="62" t="n">
        <v>0.01</v>
      </c>
      <c r="L38" s="59"/>
      <c r="M38" s="63" t="n">
        <f aca="false">J38+K38</f>
        <v>12.71</v>
      </c>
    </row>
    <row r="39" customFormat="false" ht="36" hidden="false" customHeight="true" outlineLevel="0" collapsed="false">
      <c r="A39" s="18" t="n">
        <v>31</v>
      </c>
      <c r="B39" s="19"/>
      <c r="C39" s="53"/>
      <c r="D39" s="21" t="s">
        <v>78</v>
      </c>
      <c r="E39" s="47" t="n">
        <v>46212</v>
      </c>
      <c r="F39" s="23" t="s">
        <v>24</v>
      </c>
      <c r="G39" s="24" t="s">
        <v>79</v>
      </c>
      <c r="H39" s="29"/>
      <c r="I39" s="26"/>
      <c r="J39" s="64" t="n">
        <v>38.2</v>
      </c>
      <c r="K39" s="28" t="n">
        <v>2.67</v>
      </c>
      <c r="L39" s="29"/>
      <c r="M39" s="30" t="n">
        <f aca="false">J39+K39</f>
        <v>40.87</v>
      </c>
    </row>
    <row r="40" customFormat="false" ht="36" hidden="false" customHeight="true" outlineLevel="0" collapsed="false">
      <c r="A40" s="18" t="n">
        <v>32</v>
      </c>
      <c r="B40" s="19"/>
      <c r="C40" s="53"/>
      <c r="D40" s="21" t="s">
        <v>80</v>
      </c>
      <c r="E40" s="47" t="n">
        <v>46231</v>
      </c>
      <c r="F40" s="23" t="s">
        <v>54</v>
      </c>
      <c r="G40" s="24" t="s">
        <v>38</v>
      </c>
      <c r="H40" s="29"/>
      <c r="I40" s="26"/>
      <c r="J40" s="64" t="n">
        <v>9.96</v>
      </c>
      <c r="K40" s="28"/>
      <c r="L40" s="29"/>
      <c r="M40" s="30" t="n">
        <f aca="false">J40+K40</f>
        <v>9.96</v>
      </c>
    </row>
    <row r="41" customFormat="false" ht="36" hidden="false" customHeight="true" outlineLevel="0" collapsed="false">
      <c r="A41" s="18" t="n">
        <v>33</v>
      </c>
      <c r="B41" s="19"/>
      <c r="C41" s="53"/>
      <c r="D41" s="21" t="s">
        <v>81</v>
      </c>
      <c r="E41" s="47" t="n">
        <v>46232</v>
      </c>
      <c r="F41" s="23" t="s">
        <v>82</v>
      </c>
      <c r="G41" s="24" t="s">
        <v>17</v>
      </c>
      <c r="H41" s="29"/>
      <c r="I41" s="26"/>
      <c r="J41" s="64" t="n">
        <v>8</v>
      </c>
      <c r="K41" s="28" t="n">
        <v>0.56</v>
      </c>
      <c r="L41" s="29"/>
      <c r="M41" s="30" t="n">
        <f aca="false">J41+K41</f>
        <v>8.56</v>
      </c>
    </row>
    <row r="42" customFormat="false" ht="36" hidden="false" customHeight="true" outlineLevel="0" collapsed="false">
      <c r="A42" s="18" t="n">
        <v>34</v>
      </c>
      <c r="B42" s="19"/>
      <c r="C42" s="53"/>
      <c r="D42" s="21" t="s">
        <v>83</v>
      </c>
      <c r="E42" s="47" t="n">
        <v>46197</v>
      </c>
      <c r="F42" s="23" t="s">
        <v>84</v>
      </c>
      <c r="G42" s="24" t="s">
        <v>38</v>
      </c>
      <c r="H42" s="29"/>
      <c r="I42" s="26"/>
      <c r="J42" s="64" t="n">
        <v>4.734</v>
      </c>
      <c r="K42" s="28" t="n">
        <v>0.2</v>
      </c>
      <c r="L42" s="29"/>
      <c r="M42" s="30" t="n">
        <f aca="false">J42+K42</f>
        <v>4.934</v>
      </c>
    </row>
    <row r="43" customFormat="false" ht="36" hidden="false" customHeight="true" outlineLevel="0" collapsed="false">
      <c r="A43" s="18" t="n">
        <v>35</v>
      </c>
      <c r="B43" s="19"/>
      <c r="C43" s="53"/>
      <c r="D43" s="21" t="s">
        <v>85</v>
      </c>
      <c r="E43" s="47" t="n">
        <v>46198</v>
      </c>
      <c r="F43" s="23" t="s">
        <v>86</v>
      </c>
      <c r="G43" s="24" t="s">
        <v>17</v>
      </c>
      <c r="H43" s="29"/>
      <c r="I43" s="26"/>
      <c r="J43" s="64" t="n">
        <v>13.45</v>
      </c>
      <c r="K43" s="28" t="n">
        <v>0.94</v>
      </c>
      <c r="L43" s="29"/>
      <c r="M43" s="30" t="n">
        <f aca="false">J43+K43</f>
        <v>14.39</v>
      </c>
    </row>
    <row r="44" customFormat="false" ht="36" hidden="false" customHeight="true" outlineLevel="0" collapsed="false">
      <c r="A44" s="18" t="n">
        <v>36</v>
      </c>
      <c r="B44" s="19"/>
      <c r="C44" s="53"/>
      <c r="D44" s="21" t="s">
        <v>87</v>
      </c>
      <c r="E44" s="47" t="n">
        <v>46201</v>
      </c>
      <c r="F44" s="23" t="s">
        <v>56</v>
      </c>
      <c r="G44" s="24" t="s">
        <v>17</v>
      </c>
      <c r="H44" s="29"/>
      <c r="I44" s="26"/>
      <c r="J44" s="28" t="n">
        <v>41.05</v>
      </c>
      <c r="K44" s="28" t="n">
        <v>2.22</v>
      </c>
      <c r="L44" s="29"/>
      <c r="M44" s="30" t="n">
        <f aca="false">J44+K44</f>
        <v>43.27</v>
      </c>
    </row>
    <row r="45" customFormat="false" ht="36" hidden="false" customHeight="true" outlineLevel="0" collapsed="false">
      <c r="A45" s="18" t="n">
        <v>37</v>
      </c>
      <c r="B45" s="19"/>
      <c r="C45" s="53"/>
      <c r="D45" s="21" t="s">
        <v>88</v>
      </c>
      <c r="E45" s="47" t="n">
        <v>46195</v>
      </c>
      <c r="F45" s="23" t="s">
        <v>37</v>
      </c>
      <c r="G45" s="24" t="s">
        <v>38</v>
      </c>
      <c r="H45" s="29"/>
      <c r="I45" s="26"/>
      <c r="J45" s="28" t="n">
        <v>193.23</v>
      </c>
      <c r="K45" s="28" t="n">
        <v>3.78</v>
      </c>
      <c r="L45" s="29"/>
      <c r="M45" s="30" t="n">
        <f aca="false">J45+K45</f>
        <v>197.01</v>
      </c>
    </row>
    <row r="46" customFormat="false" ht="38.25" hidden="false" customHeight="true" outlineLevel="0" collapsed="false">
      <c r="A46" s="18" t="n">
        <v>38</v>
      </c>
      <c r="B46" s="19"/>
      <c r="C46" s="53"/>
      <c r="D46" s="65" t="n">
        <v>91234476734</v>
      </c>
      <c r="E46" s="66" t="n">
        <v>46195</v>
      </c>
      <c r="F46" s="65" t="s">
        <v>37</v>
      </c>
      <c r="G46" s="65" t="s">
        <v>17</v>
      </c>
      <c r="H46" s="65"/>
      <c r="I46" s="65"/>
      <c r="J46" s="65" t="n">
        <v>3.49</v>
      </c>
      <c r="K46" s="65" t="n">
        <v>0.24</v>
      </c>
      <c r="L46" s="67"/>
      <c r="M46" s="30" t="n">
        <f aca="false">J46+K46</f>
        <v>3.73</v>
      </c>
    </row>
    <row r="47" customFormat="false" ht="38.25" hidden="false" customHeight="true" outlineLevel="0" collapsed="false">
      <c r="A47" s="18" t="n">
        <v>39</v>
      </c>
      <c r="B47" s="19"/>
      <c r="C47" s="53"/>
      <c r="D47" s="65" t="n">
        <v>911120612</v>
      </c>
      <c r="E47" s="66" t="n">
        <v>46204</v>
      </c>
      <c r="F47" s="65" t="s">
        <v>37</v>
      </c>
      <c r="G47" s="65" t="s">
        <v>38</v>
      </c>
      <c r="H47" s="65"/>
      <c r="I47" s="65"/>
      <c r="J47" s="65" t="n">
        <v>20.87</v>
      </c>
      <c r="K47" s="65" t="n">
        <v>0.49</v>
      </c>
      <c r="L47" s="67"/>
      <c r="M47" s="30" t="n">
        <f aca="false">J47+K47</f>
        <v>21.36</v>
      </c>
    </row>
    <row r="48" customFormat="false" ht="38.25" hidden="false" customHeight="true" outlineLevel="0" collapsed="false">
      <c r="A48" s="18" t="n">
        <v>40</v>
      </c>
      <c r="B48" s="19"/>
      <c r="C48" s="53"/>
      <c r="D48" s="65" t="n">
        <v>91233120733</v>
      </c>
      <c r="E48" s="66" t="n">
        <v>46206</v>
      </c>
      <c r="F48" s="65" t="s">
        <v>37</v>
      </c>
      <c r="G48" s="65" t="s">
        <v>17</v>
      </c>
      <c r="H48" s="65"/>
      <c r="I48" s="65"/>
      <c r="J48" s="65" t="n">
        <v>3.49</v>
      </c>
      <c r="K48" s="65" t="n">
        <v>0.24</v>
      </c>
      <c r="L48" s="67"/>
      <c r="M48" s="30" t="n">
        <f aca="false">J48+K48</f>
        <v>3.73</v>
      </c>
    </row>
    <row r="49" customFormat="false" ht="38.25" hidden="false" customHeight="true" outlineLevel="0" collapsed="false">
      <c r="A49" s="18" t="n">
        <v>41</v>
      </c>
      <c r="B49" s="19"/>
      <c r="C49" s="53"/>
      <c r="D49" s="65" t="n">
        <v>91233178733</v>
      </c>
      <c r="E49" s="66" t="n">
        <v>46204</v>
      </c>
      <c r="F49" s="65" t="s">
        <v>37</v>
      </c>
      <c r="G49" s="65" t="s">
        <v>47</v>
      </c>
      <c r="H49" s="65"/>
      <c r="I49" s="65"/>
      <c r="J49" s="65" t="n">
        <v>2.49</v>
      </c>
      <c r="K49" s="65" t="n">
        <v>0.17</v>
      </c>
      <c r="L49" s="67"/>
      <c r="M49" s="30" t="n">
        <f aca="false">J49+K49</f>
        <v>2.66</v>
      </c>
    </row>
    <row r="50" customFormat="false" ht="38.25" hidden="false" customHeight="true" outlineLevel="0" collapsed="false">
      <c r="A50" s="18" t="n">
        <v>42</v>
      </c>
      <c r="B50" s="19"/>
      <c r="C50" s="53"/>
      <c r="D50" s="68" t="s">
        <v>89</v>
      </c>
      <c r="E50" s="66" t="n">
        <v>46229</v>
      </c>
      <c r="F50" s="65" t="s">
        <v>56</v>
      </c>
      <c r="G50" s="65" t="s">
        <v>38</v>
      </c>
      <c r="H50" s="65"/>
      <c r="I50" s="65"/>
      <c r="J50" s="65" t="n">
        <v>79.09</v>
      </c>
      <c r="K50" s="65" t="n">
        <v>1.77</v>
      </c>
      <c r="L50" s="67"/>
      <c r="M50" s="30" t="n">
        <f aca="false">J50+K50</f>
        <v>80.86</v>
      </c>
    </row>
    <row r="51" customFormat="false" ht="38.25" hidden="false" customHeight="true" outlineLevel="0" collapsed="false">
      <c r="A51" s="18" t="n">
        <v>43</v>
      </c>
      <c r="B51" s="19"/>
      <c r="C51" s="53"/>
      <c r="D51" s="68" t="s">
        <v>90</v>
      </c>
      <c r="E51" s="66" t="n">
        <v>46208</v>
      </c>
      <c r="F51" s="65" t="s">
        <v>91</v>
      </c>
      <c r="G51" s="65" t="s">
        <v>92</v>
      </c>
      <c r="H51" s="65"/>
      <c r="I51" s="65"/>
      <c r="J51" s="65" t="n">
        <v>19.98</v>
      </c>
      <c r="K51" s="65" t="n">
        <v>1.4</v>
      </c>
      <c r="L51" s="67"/>
      <c r="M51" s="30" t="n">
        <f aca="false">J51+K51</f>
        <v>21.38</v>
      </c>
    </row>
    <row r="52" customFormat="false" ht="38.25" hidden="false" customHeight="true" outlineLevel="0" collapsed="false">
      <c r="A52" s="18" t="n">
        <v>44</v>
      </c>
      <c r="B52" s="19"/>
      <c r="C52" s="53"/>
      <c r="D52" s="68" t="s">
        <v>93</v>
      </c>
      <c r="E52" s="66" t="n">
        <v>46203</v>
      </c>
      <c r="F52" s="65" t="s">
        <v>44</v>
      </c>
      <c r="G52" s="65" t="s">
        <v>38</v>
      </c>
      <c r="H52" s="65"/>
      <c r="I52" s="65"/>
      <c r="J52" s="69" t="n">
        <v>4.5</v>
      </c>
      <c r="K52" s="65"/>
      <c r="L52" s="67"/>
      <c r="M52" s="30" t="n">
        <f aca="false">J52+K52</f>
        <v>4.5</v>
      </c>
    </row>
    <row r="53" customFormat="false" ht="38.25" hidden="false" customHeight="true" outlineLevel="0" collapsed="false">
      <c r="A53" s="18" t="n">
        <v>45</v>
      </c>
      <c r="B53" s="19"/>
      <c r="C53" s="53"/>
      <c r="D53" s="68" t="s">
        <v>94</v>
      </c>
      <c r="E53" s="66" t="n">
        <v>46201</v>
      </c>
      <c r="F53" s="65" t="s">
        <v>86</v>
      </c>
      <c r="G53" s="65" t="s">
        <v>17</v>
      </c>
      <c r="H53" s="65"/>
      <c r="I53" s="65"/>
      <c r="J53" s="69" t="n">
        <v>17.95</v>
      </c>
      <c r="K53" s="65" t="n">
        <v>1.26</v>
      </c>
      <c r="L53" s="67"/>
      <c r="M53" s="30" t="n">
        <f aca="false">J53+K53</f>
        <v>19.21</v>
      </c>
    </row>
    <row r="54" customFormat="false" ht="38.25" hidden="false" customHeight="true" outlineLevel="0" collapsed="false">
      <c r="A54" s="18" t="n">
        <v>46</v>
      </c>
      <c r="B54" s="19"/>
      <c r="C54" s="53"/>
      <c r="D54" s="68" t="s">
        <v>95</v>
      </c>
      <c r="E54" s="66" t="n">
        <v>46199</v>
      </c>
      <c r="F54" s="65" t="s">
        <v>54</v>
      </c>
      <c r="G54" s="65" t="s">
        <v>38</v>
      </c>
      <c r="H54" s="65"/>
      <c r="I54" s="65"/>
      <c r="J54" s="69" t="n">
        <v>17.83</v>
      </c>
      <c r="K54" s="65"/>
      <c r="L54" s="67"/>
      <c r="M54" s="30" t="n">
        <f aca="false">J54+K54</f>
        <v>17.83</v>
      </c>
    </row>
    <row r="55" customFormat="false" ht="38.25" hidden="false" customHeight="true" outlineLevel="0" collapsed="false">
      <c r="A55" s="18" t="n">
        <v>47</v>
      </c>
      <c r="B55" s="19"/>
      <c r="C55" s="53"/>
      <c r="D55" s="68" t="s">
        <v>96</v>
      </c>
      <c r="E55" s="66" t="n">
        <v>46199</v>
      </c>
      <c r="F55" s="65" t="s">
        <v>31</v>
      </c>
      <c r="G55" s="65" t="s">
        <v>17</v>
      </c>
      <c r="H55" s="65"/>
      <c r="I55" s="65"/>
      <c r="J55" s="69" t="n">
        <v>11.99</v>
      </c>
      <c r="K55" s="65" t="n">
        <v>0.84</v>
      </c>
      <c r="L55" s="67"/>
      <c r="M55" s="30" t="n">
        <f aca="false">J55+K55</f>
        <v>12.83</v>
      </c>
    </row>
    <row r="56" customFormat="false" ht="38.25" hidden="false" customHeight="true" outlineLevel="0" collapsed="false">
      <c r="A56" s="18" t="n">
        <v>48</v>
      </c>
      <c r="B56" s="19"/>
      <c r="C56" s="53"/>
      <c r="D56" s="68" t="s">
        <v>97</v>
      </c>
      <c r="E56" s="66" t="n">
        <v>46236</v>
      </c>
      <c r="F56" s="65" t="s">
        <v>37</v>
      </c>
      <c r="G56" s="65" t="s">
        <v>38</v>
      </c>
      <c r="H56" s="65"/>
      <c r="I56" s="65"/>
      <c r="J56" s="69" t="n">
        <v>99.8</v>
      </c>
      <c r="K56" s="65" t="n">
        <v>2.8</v>
      </c>
      <c r="L56" s="67"/>
      <c r="M56" s="30" t="n">
        <f aca="false">J56+K56</f>
        <v>102.6</v>
      </c>
    </row>
    <row r="57" customFormat="false" ht="38.25" hidden="false" customHeight="true" outlineLevel="0" collapsed="false">
      <c r="A57" s="18" t="n">
        <v>49</v>
      </c>
      <c r="B57" s="19"/>
      <c r="C57" s="53"/>
      <c r="D57" s="68" t="s">
        <v>98</v>
      </c>
      <c r="E57" s="66" t="n">
        <v>46227</v>
      </c>
      <c r="F57" s="65" t="s">
        <v>37</v>
      </c>
      <c r="G57" s="65" t="s">
        <v>38</v>
      </c>
      <c r="H57" s="65"/>
      <c r="I57" s="65"/>
      <c r="J57" s="69" t="n">
        <v>86.53</v>
      </c>
      <c r="K57" s="65" t="n">
        <v>0.98</v>
      </c>
      <c r="L57" s="67"/>
      <c r="M57" s="30" t="n">
        <f aca="false">J57+K57</f>
        <v>87.51</v>
      </c>
    </row>
    <row r="58" customFormat="false" ht="38.25" hidden="false" customHeight="true" outlineLevel="0" collapsed="false">
      <c r="A58" s="18" t="n">
        <v>50</v>
      </c>
      <c r="B58" s="19"/>
      <c r="C58" s="53"/>
      <c r="D58" s="68" t="s">
        <v>99</v>
      </c>
      <c r="E58" s="66" t="n">
        <v>46220</v>
      </c>
      <c r="F58" s="65" t="s">
        <v>100</v>
      </c>
      <c r="G58" s="65" t="s">
        <v>17</v>
      </c>
      <c r="H58" s="65"/>
      <c r="I58" s="65"/>
      <c r="J58" s="69" t="n">
        <v>19.08</v>
      </c>
      <c r="K58" s="65" t="n">
        <v>1.34</v>
      </c>
      <c r="L58" s="67"/>
      <c r="M58" s="30" t="n">
        <f aca="false">J58+K58</f>
        <v>20.42</v>
      </c>
    </row>
    <row r="59" customFormat="false" ht="38.25" hidden="false" customHeight="true" outlineLevel="0" collapsed="false">
      <c r="A59" s="18" t="n">
        <v>51</v>
      </c>
      <c r="B59" s="19"/>
      <c r="C59" s="53"/>
      <c r="D59" s="68" t="s">
        <v>101</v>
      </c>
      <c r="E59" s="66" t="n">
        <v>46226</v>
      </c>
      <c r="F59" s="65" t="s">
        <v>16</v>
      </c>
      <c r="G59" s="65" t="s">
        <v>17</v>
      </c>
      <c r="H59" s="65"/>
      <c r="I59" s="65"/>
      <c r="J59" s="69" t="n">
        <v>10.5</v>
      </c>
      <c r="K59" s="65" t="n">
        <v>0.74</v>
      </c>
      <c r="L59" s="67"/>
      <c r="M59" s="30" t="n">
        <f aca="false">J59+K59</f>
        <v>11.24</v>
      </c>
    </row>
    <row r="60" customFormat="false" ht="38.25" hidden="false" customHeight="true" outlineLevel="0" collapsed="false">
      <c r="A60" s="18" t="n">
        <v>52</v>
      </c>
      <c r="B60" s="19"/>
      <c r="C60" s="53"/>
      <c r="D60" s="68" t="s">
        <v>102</v>
      </c>
      <c r="E60" s="66" t="n">
        <v>46225</v>
      </c>
      <c r="F60" s="65" t="s">
        <v>40</v>
      </c>
      <c r="G60" s="65" t="s">
        <v>17</v>
      </c>
      <c r="H60" s="65"/>
      <c r="I60" s="65"/>
      <c r="J60" s="69" t="n">
        <v>9.81</v>
      </c>
      <c r="K60" s="65" t="n">
        <v>0.69</v>
      </c>
      <c r="L60" s="67"/>
      <c r="M60" s="30" t="n">
        <f aca="false">J60+K60</f>
        <v>10.5</v>
      </c>
    </row>
    <row r="61" customFormat="false" ht="38.25" hidden="false" customHeight="true" outlineLevel="0" collapsed="false">
      <c r="A61" s="18" t="n">
        <v>53</v>
      </c>
      <c r="B61" s="19"/>
      <c r="C61" s="53"/>
      <c r="D61" s="68" t="s">
        <v>103</v>
      </c>
      <c r="E61" s="66" t="n">
        <v>46222</v>
      </c>
      <c r="F61" s="65" t="s">
        <v>40</v>
      </c>
      <c r="G61" s="65" t="s">
        <v>38</v>
      </c>
      <c r="H61" s="65"/>
      <c r="I61" s="65"/>
      <c r="J61" s="69" t="n">
        <v>7.98</v>
      </c>
      <c r="K61" s="65"/>
      <c r="L61" s="67"/>
      <c r="M61" s="30" t="n">
        <f aca="false">J61+K61</f>
        <v>7.98</v>
      </c>
    </row>
    <row r="62" customFormat="false" ht="38.25" hidden="false" customHeight="true" outlineLevel="0" collapsed="false">
      <c r="A62" s="18" t="n">
        <v>54</v>
      </c>
      <c r="B62" s="19"/>
      <c r="C62" s="53"/>
      <c r="D62" s="68" t="s">
        <v>104</v>
      </c>
      <c r="E62" s="66" t="n">
        <v>46221</v>
      </c>
      <c r="F62" s="65" t="s">
        <v>44</v>
      </c>
      <c r="G62" s="65" t="s">
        <v>38</v>
      </c>
      <c r="H62" s="65"/>
      <c r="I62" s="65"/>
      <c r="J62" s="69" t="n">
        <v>36</v>
      </c>
      <c r="K62" s="65" t="n">
        <v>1.77</v>
      </c>
      <c r="L62" s="67"/>
      <c r="M62" s="30" t="n">
        <f aca="false">J62+K62</f>
        <v>37.77</v>
      </c>
    </row>
    <row r="63" customFormat="false" ht="38.25" hidden="false" customHeight="true" outlineLevel="0" collapsed="false">
      <c r="A63" s="18" t="n">
        <v>55</v>
      </c>
      <c r="B63" s="19"/>
      <c r="C63" s="53"/>
      <c r="D63" s="68" t="s">
        <v>105</v>
      </c>
      <c r="E63" s="66" t="n">
        <v>46219</v>
      </c>
      <c r="F63" s="65" t="s">
        <v>56</v>
      </c>
      <c r="G63" s="65" t="s">
        <v>38</v>
      </c>
      <c r="H63" s="65"/>
      <c r="I63" s="65"/>
      <c r="J63" s="69" t="n">
        <v>61.54</v>
      </c>
      <c r="K63" s="65" t="n">
        <v>0.67</v>
      </c>
      <c r="L63" s="67"/>
      <c r="M63" s="30" t="n">
        <f aca="false">J63+K63</f>
        <v>62.21</v>
      </c>
    </row>
    <row r="64" customFormat="false" ht="38.25" hidden="false" customHeight="true" outlineLevel="0" collapsed="false">
      <c r="A64" s="18" t="n">
        <v>56</v>
      </c>
      <c r="B64" s="19"/>
      <c r="C64" s="53"/>
      <c r="D64" s="68" t="s">
        <v>106</v>
      </c>
      <c r="E64" s="66" t="n">
        <v>46224</v>
      </c>
      <c r="F64" s="65" t="s">
        <v>49</v>
      </c>
      <c r="G64" s="65" t="s">
        <v>38</v>
      </c>
      <c r="H64" s="65"/>
      <c r="I64" s="65"/>
      <c r="J64" s="69" t="n">
        <v>11.66</v>
      </c>
      <c r="K64" s="65"/>
      <c r="L64" s="67"/>
      <c r="M64" s="30" t="n">
        <f aca="false">J64+K64</f>
        <v>11.66</v>
      </c>
    </row>
    <row r="65" customFormat="false" ht="38.25" hidden="false" customHeight="true" outlineLevel="0" collapsed="false">
      <c r="A65" s="18" t="n">
        <v>57</v>
      </c>
      <c r="B65" s="19"/>
      <c r="C65" s="53"/>
      <c r="D65" s="68" t="s">
        <v>107</v>
      </c>
      <c r="E65" s="66" t="n">
        <v>46222</v>
      </c>
      <c r="F65" s="65" t="s">
        <v>108</v>
      </c>
      <c r="G65" s="65" t="s">
        <v>109</v>
      </c>
      <c r="H65" s="65"/>
      <c r="I65" s="65"/>
      <c r="J65" s="69" t="n">
        <v>5.29</v>
      </c>
      <c r="K65" s="65"/>
      <c r="L65" s="67"/>
      <c r="M65" s="30" t="n">
        <f aca="false">J65+K65</f>
        <v>5.29</v>
      </c>
    </row>
    <row r="66" customFormat="false" ht="38.25" hidden="false" customHeight="true" outlineLevel="0" collapsed="false">
      <c r="A66" s="18" t="n">
        <v>58</v>
      </c>
      <c r="B66" s="19"/>
      <c r="C66" s="53"/>
      <c r="D66" s="68" t="s">
        <v>110</v>
      </c>
      <c r="E66" s="66" t="n">
        <v>46235</v>
      </c>
      <c r="F66" s="65" t="s">
        <v>111</v>
      </c>
      <c r="G66" s="65" t="s">
        <v>17</v>
      </c>
      <c r="H66" s="65"/>
      <c r="I66" s="65"/>
      <c r="J66" s="69" t="n">
        <v>11.99</v>
      </c>
      <c r="K66" s="65" t="n">
        <v>0.84</v>
      </c>
      <c r="L66" s="67"/>
      <c r="M66" s="30" t="n">
        <f aca="false">J66+K66</f>
        <v>12.83</v>
      </c>
    </row>
    <row r="67" customFormat="false" ht="38.25" hidden="false" customHeight="true" outlineLevel="0" collapsed="false">
      <c r="A67" s="18" t="n">
        <v>59</v>
      </c>
      <c r="B67" s="19"/>
      <c r="C67" s="53"/>
      <c r="D67" s="68" t="s">
        <v>112</v>
      </c>
      <c r="E67" s="66" t="n">
        <v>46210</v>
      </c>
      <c r="F67" s="65" t="s">
        <v>113</v>
      </c>
      <c r="G67" s="65" t="s">
        <v>17</v>
      </c>
      <c r="H67" s="65"/>
      <c r="I67" s="65"/>
      <c r="J67" s="69" t="n">
        <v>19.04</v>
      </c>
      <c r="K67" s="65"/>
      <c r="L67" s="67"/>
      <c r="M67" s="30" t="n">
        <f aca="false">J67+K67</f>
        <v>19.04</v>
      </c>
    </row>
    <row r="68" customFormat="false" ht="38.25" hidden="false" customHeight="true" outlineLevel="0" collapsed="false">
      <c r="A68" s="18" t="n">
        <v>60</v>
      </c>
      <c r="B68" s="19"/>
      <c r="C68" s="53"/>
      <c r="D68" s="70" t="s">
        <v>114</v>
      </c>
      <c r="E68" s="71" t="n">
        <v>46225</v>
      </c>
      <c r="F68" s="72" t="s">
        <v>115</v>
      </c>
      <c r="G68" s="72"/>
      <c r="H68" s="72"/>
      <c r="I68" s="72"/>
      <c r="J68" s="73" t="n">
        <v>24.65</v>
      </c>
      <c r="K68" s="72" t="n">
        <v>2.11</v>
      </c>
      <c r="L68" s="74"/>
      <c r="M68" s="43" t="n">
        <f aca="false">J68+K68</f>
        <v>26.76</v>
      </c>
    </row>
    <row r="69" customFormat="false" ht="38.25" hidden="false" customHeight="true" outlineLevel="0" collapsed="false">
      <c r="A69" s="18" t="n">
        <v>61</v>
      </c>
      <c r="B69" s="19"/>
      <c r="C69" s="53"/>
      <c r="D69" s="68" t="s">
        <v>116</v>
      </c>
      <c r="E69" s="66" t="n">
        <v>46205</v>
      </c>
      <c r="F69" s="65" t="s">
        <v>117</v>
      </c>
      <c r="G69" s="65" t="s">
        <v>118</v>
      </c>
      <c r="H69" s="65"/>
      <c r="I69" s="65"/>
      <c r="J69" s="69" t="n">
        <v>6.25</v>
      </c>
      <c r="K69" s="65"/>
      <c r="L69" s="67"/>
      <c r="M69" s="30" t="n">
        <f aca="false">J69+K69</f>
        <v>6.25</v>
      </c>
    </row>
    <row r="70" customFormat="false" ht="38.25" hidden="false" customHeight="true" outlineLevel="0" collapsed="false">
      <c r="A70" s="18" t="n">
        <v>62</v>
      </c>
      <c r="B70" s="19"/>
      <c r="C70" s="53"/>
      <c r="D70" s="68" t="s">
        <v>119</v>
      </c>
      <c r="E70" s="66" t="n">
        <v>46205</v>
      </c>
      <c r="F70" s="65" t="s">
        <v>117</v>
      </c>
      <c r="G70" s="65" t="s">
        <v>118</v>
      </c>
      <c r="H70" s="65"/>
      <c r="I70" s="65"/>
      <c r="J70" s="69" t="n">
        <v>56.75</v>
      </c>
      <c r="K70" s="65"/>
      <c r="L70" s="67"/>
      <c r="M70" s="30" t="n">
        <f aca="false">J70+K70</f>
        <v>56.75</v>
      </c>
    </row>
    <row r="71" customFormat="false" ht="38.25" hidden="false" customHeight="true" outlineLevel="0" collapsed="false">
      <c r="A71" s="18" t="n">
        <v>63</v>
      </c>
      <c r="B71" s="19"/>
      <c r="C71" s="53"/>
      <c r="D71" s="68" t="s">
        <v>120</v>
      </c>
      <c r="E71" s="66" t="n">
        <v>46229</v>
      </c>
      <c r="F71" s="65" t="s">
        <v>121</v>
      </c>
      <c r="G71" s="65" t="s">
        <v>122</v>
      </c>
      <c r="H71" s="65"/>
      <c r="I71" s="65"/>
      <c r="J71" s="69" t="n">
        <v>25</v>
      </c>
      <c r="K71" s="65"/>
      <c r="L71" s="67"/>
      <c r="M71" s="30" t="n">
        <f aca="false">J71+K71</f>
        <v>25</v>
      </c>
    </row>
    <row r="72" customFormat="false" ht="38.25" hidden="false" customHeight="true" outlineLevel="0" collapsed="false">
      <c r="A72" s="18" t="n">
        <v>64</v>
      </c>
      <c r="B72" s="19"/>
      <c r="C72" s="53"/>
      <c r="D72" s="68" t="s">
        <v>114</v>
      </c>
      <c r="E72" s="66" t="n">
        <v>46195</v>
      </c>
      <c r="F72" s="65" t="s">
        <v>115</v>
      </c>
      <c r="G72" s="65" t="s">
        <v>52</v>
      </c>
      <c r="H72" s="65"/>
      <c r="I72" s="65"/>
      <c r="J72" s="69" t="n">
        <v>160.44</v>
      </c>
      <c r="K72" s="65"/>
      <c r="L72" s="67"/>
      <c r="M72" s="30" t="n">
        <f aca="false">J72+K72</f>
        <v>160.44</v>
      </c>
    </row>
    <row r="73" customFormat="false" ht="38.25" hidden="false" customHeight="true" outlineLevel="0" collapsed="false">
      <c r="A73" s="18" t="n">
        <v>65</v>
      </c>
      <c r="B73" s="19"/>
      <c r="C73" s="53"/>
      <c r="D73" s="68" t="s">
        <v>123</v>
      </c>
      <c r="E73" s="66" t="n">
        <v>46203</v>
      </c>
      <c r="F73" s="65" t="s">
        <v>115</v>
      </c>
      <c r="G73" s="65" t="s">
        <v>124</v>
      </c>
      <c r="H73" s="65"/>
      <c r="I73" s="65"/>
      <c r="J73" s="69" t="n">
        <v>76.35</v>
      </c>
      <c r="K73" s="65"/>
      <c r="L73" s="67"/>
      <c r="M73" s="30" t="n">
        <f aca="false">J73+K73</f>
        <v>76.35</v>
      </c>
    </row>
    <row r="74" customFormat="false" ht="38.25" hidden="false" customHeight="true" outlineLevel="0" collapsed="false">
      <c r="A74" s="18" t="n">
        <v>66</v>
      </c>
      <c r="B74" s="19"/>
      <c r="C74" s="53"/>
      <c r="D74" s="68" t="s">
        <v>125</v>
      </c>
      <c r="E74" s="66" t="n">
        <v>46203</v>
      </c>
      <c r="F74" s="65" t="s">
        <v>115</v>
      </c>
      <c r="G74" s="65" t="s">
        <v>124</v>
      </c>
      <c r="H74" s="65"/>
      <c r="I74" s="65"/>
      <c r="J74" s="69" t="n">
        <v>8.01</v>
      </c>
      <c r="K74" s="65"/>
      <c r="L74" s="67"/>
      <c r="M74" s="30" t="n">
        <f aca="false">J74+K74</f>
        <v>8.01</v>
      </c>
    </row>
    <row r="75" customFormat="false" ht="38.25" hidden="false" customHeight="true" outlineLevel="0" collapsed="false">
      <c r="A75" s="18" t="n">
        <v>67</v>
      </c>
      <c r="B75" s="19"/>
      <c r="C75" s="53"/>
      <c r="D75" s="68"/>
      <c r="E75" s="66" t="n">
        <v>46255</v>
      </c>
      <c r="F75" s="65" t="s">
        <v>115</v>
      </c>
      <c r="G75" s="65" t="s">
        <v>124</v>
      </c>
      <c r="H75" s="65"/>
      <c r="I75" s="65"/>
      <c r="J75" s="69" t="n">
        <v>65.43</v>
      </c>
      <c r="K75" s="65"/>
      <c r="L75" s="67"/>
      <c r="M75" s="30" t="n">
        <f aca="false">J75+K75</f>
        <v>65.43</v>
      </c>
    </row>
    <row r="76" customFormat="false" ht="38.25" hidden="false" customHeight="true" outlineLevel="0" collapsed="false">
      <c r="A76" s="18" t="n">
        <v>68</v>
      </c>
      <c r="B76" s="19"/>
      <c r="C76" s="53"/>
      <c r="D76" s="68"/>
      <c r="E76" s="66" t="n">
        <v>46285</v>
      </c>
      <c r="F76" s="65" t="s">
        <v>115</v>
      </c>
      <c r="G76" s="65" t="s">
        <v>124</v>
      </c>
      <c r="H76" s="65"/>
      <c r="I76" s="65"/>
      <c r="J76" s="69" t="n">
        <v>88.97</v>
      </c>
      <c r="K76" s="65"/>
      <c r="L76" s="67"/>
      <c r="M76" s="30" t="n">
        <f aca="false">J76+K76</f>
        <v>88.97</v>
      </c>
    </row>
    <row r="77" customFormat="false" ht="38.25" hidden="false" customHeight="true" outlineLevel="0" collapsed="false">
      <c r="A77" s="18" t="n">
        <v>69</v>
      </c>
      <c r="B77" s="19"/>
      <c r="C77" s="53"/>
      <c r="D77" s="68"/>
      <c r="E77" s="66" t="n">
        <v>46200</v>
      </c>
      <c r="F77" s="65" t="s">
        <v>126</v>
      </c>
      <c r="G77" s="65" t="s">
        <v>127</v>
      </c>
      <c r="H77" s="65"/>
      <c r="I77" s="65"/>
      <c r="J77" s="69" t="n">
        <v>41.05</v>
      </c>
      <c r="K77" s="65"/>
      <c r="L77" s="67"/>
      <c r="M77" s="30" t="n">
        <f aca="false">J77+K77</f>
        <v>41.05</v>
      </c>
    </row>
    <row r="78" customFormat="false" ht="38.25" hidden="false" customHeight="true" outlineLevel="0" collapsed="false">
      <c r="A78" s="18" t="n">
        <v>70</v>
      </c>
      <c r="B78" s="19"/>
      <c r="C78" s="53"/>
      <c r="D78" s="68"/>
      <c r="E78" s="66" t="n">
        <v>46292</v>
      </c>
      <c r="F78" s="65" t="s">
        <v>126</v>
      </c>
      <c r="G78" s="65" t="s">
        <v>128</v>
      </c>
      <c r="H78" s="65"/>
      <c r="I78" s="65"/>
      <c r="J78" s="69" t="n">
        <v>41.05</v>
      </c>
      <c r="K78" s="65"/>
      <c r="L78" s="67"/>
      <c r="M78" s="30" t="n">
        <f aca="false">J78+K78</f>
        <v>41.05</v>
      </c>
    </row>
    <row r="79" customFormat="false" ht="38.25" hidden="false" customHeight="true" outlineLevel="0" collapsed="false">
      <c r="A79" s="18" t="n">
        <v>71</v>
      </c>
      <c r="B79" s="19"/>
      <c r="C79" s="53"/>
      <c r="D79" s="68"/>
      <c r="E79" s="66" t="n">
        <v>46262</v>
      </c>
      <c r="F79" s="65" t="s">
        <v>126</v>
      </c>
      <c r="G79" s="65" t="s">
        <v>129</v>
      </c>
      <c r="H79" s="65"/>
      <c r="I79" s="65"/>
      <c r="J79" s="69" t="n">
        <v>41.05</v>
      </c>
      <c r="K79" s="65"/>
      <c r="L79" s="67"/>
      <c r="M79" s="30" t="n">
        <f aca="false">J79+K79</f>
        <v>41.05</v>
      </c>
    </row>
    <row r="80" customFormat="false" ht="33" hidden="false" customHeight="true" outlineLevel="0" collapsed="false">
      <c r="A80" s="18" t="n">
        <v>72</v>
      </c>
      <c r="B80" s="19"/>
      <c r="C80" s="53"/>
      <c r="D80" s="68"/>
      <c r="E80" s="47" t="n">
        <v>46203</v>
      </c>
      <c r="F80" s="23" t="s">
        <v>115</v>
      </c>
      <c r="G80" s="24" t="s">
        <v>124</v>
      </c>
      <c r="H80" s="29"/>
      <c r="I80" s="26"/>
      <c r="J80" s="75" t="n">
        <v>76.35</v>
      </c>
      <c r="K80" s="28"/>
      <c r="L80" s="76"/>
      <c r="M80" s="30" t="n">
        <f aca="false">J80+K80</f>
        <v>76.35</v>
      </c>
    </row>
    <row r="81" customFormat="false" ht="39" hidden="false" customHeight="true" outlineLevel="0" collapsed="false">
      <c r="L81" s="77"/>
      <c r="M81" s="78" t="n">
        <f aca="false">SUM(M9:M80)</f>
        <v>2781.874</v>
      </c>
    </row>
    <row r="82" customFormat="false" ht="35.25" hidden="false" customHeight="false" outlineLevel="0" collapsed="false">
      <c r="C82" s="79" t="s">
        <v>130</v>
      </c>
      <c r="D82" s="79"/>
      <c r="G82" s="1" t="s">
        <v>131</v>
      </c>
    </row>
    <row r="83" customFormat="false" ht="35.25" hidden="false" customHeight="false" outlineLevel="0" collapsed="false">
      <c r="C83" s="80" t="s">
        <v>132</v>
      </c>
      <c r="G83" s="80" t="s">
        <v>133</v>
      </c>
    </row>
    <row r="84" customFormat="false" ht="44.25" hidden="false" customHeight="true" outlineLevel="0" collapsed="false">
      <c r="C84" s="81"/>
      <c r="E84" s="82"/>
    </row>
    <row r="85" customFormat="false" ht="35.25" hidden="false" customHeight="false" outlineLevel="0" collapsed="false">
      <c r="C85" s="3"/>
    </row>
  </sheetData>
  <mergeCells count="16">
    <mergeCell ref="C4:K4"/>
    <mergeCell ref="C5:K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C82:D82"/>
  </mergeCells>
  <conditionalFormatting sqref="B23">
    <cfRule type="duplicateValues" priority="2" aboveAverage="0" equalAverage="0" bottom="0" percent="0" rank="0" text="" dxfId="0"/>
  </conditionalFormatting>
  <conditionalFormatting sqref="B17">
    <cfRule type="duplicateValues" priority="3" aboveAverage="0" equalAverage="0" bottom="0" percent="0" rank="0" text="" dxfId="0"/>
  </conditionalFormatting>
  <conditionalFormatting sqref="B11">
    <cfRule type="duplicateValues" priority="4" aboveAverage="0" equalAverage="0" bottom="0" percent="0" rank="0" text="" dxfId="0"/>
  </conditionalFormatting>
  <conditionalFormatting sqref="B10">
    <cfRule type="duplicateValues" priority="5" aboveAverage="0" equalAverage="0" bottom="0" percent="0" rank="0" text="" dxfId="0"/>
  </conditionalFormatting>
  <conditionalFormatting sqref="B9">
    <cfRule type="duplicateValues" priority="6" aboveAverage="0" equalAverage="0" bottom="0" percent="0" rank="0" text="" dxfId="0"/>
  </conditionalFormatting>
  <conditionalFormatting sqref="B20:B22">
    <cfRule type="duplicateValues" priority="7" aboveAverage="0" equalAverage="0" bottom="0" percent="0" rank="0" text="" dxfId="0"/>
  </conditionalFormatting>
  <conditionalFormatting sqref="B18">
    <cfRule type="duplicateValues" priority="8" aboveAverage="0" equalAverage="0" bottom="0" percent="0" rank="0" text="" dxfId="0"/>
  </conditionalFormatting>
  <conditionalFormatting sqref="B16 B19">
    <cfRule type="duplicateValues" priority="9" aboveAverage="0" equalAverage="0" bottom="0" percent="0" rank="0" text="" dxfId="0"/>
  </conditionalFormatting>
  <conditionalFormatting sqref="B15">
    <cfRule type="duplicateValues" priority="10" aboveAverage="0" equalAverage="0" bottom="0" percent="0" rank="0" text="" dxfId="0"/>
  </conditionalFormatting>
  <conditionalFormatting sqref="B12">
    <cfRule type="duplicateValues" priority="11" aboveAverage="0" equalAverage="0" bottom="0" percent="0" rank="0" text="" dxfId="0"/>
    <cfRule type="duplicateValues" priority="12" aboveAverage="0" equalAverage="0" bottom="0" percent="0" rank="0" text="" dxfId="0"/>
  </conditionalFormatting>
  <conditionalFormatting sqref="B14">
    <cfRule type="duplicateValues" priority="13" aboveAverage="0" equalAverage="0" bottom="0" percent="0" rank="0" text="" dxfId="0"/>
  </conditionalFormatting>
  <conditionalFormatting sqref="B13">
    <cfRule type="duplicateValues" priority="14" aboveAverage="0" equalAverage="0" bottom="0" percent="0" rank="0" text="" dxfId="0"/>
  </conditionalFormatting>
  <conditionalFormatting sqref="C36:C80 D9:D45">
    <cfRule type="duplicateValues" priority="15" aboveAverage="0" equalAverage="0" bottom="0" percent="0" rank="0" text="" dxfId="0"/>
  </conditionalFormatting>
  <conditionalFormatting sqref="A9:A80 B12">
    <cfRule type="duplicateValues" priority="16" aboveAverage="0" equalAverage="0" bottom="0" percent="0" rank="0" text="" dxfId="0"/>
  </conditionalFormatting>
  <conditionalFormatting sqref="B24:B80">
    <cfRule type="duplicateValues" priority="17" aboveAverage="0" equalAverage="0" bottom="0" percent="0" rank="0" text="" dxfId="0"/>
  </conditionalFormatting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I10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5" hidden="false" customHeight="false" outlineLevel="0" collapsed="false">
      <c r="A1" s="83" t="s">
        <v>134</v>
      </c>
    </row>
    <row r="2" customFormat="false" ht="15" hidden="false" customHeight="false" outlineLevel="0" collapsed="false">
      <c r="A2" s="84"/>
      <c r="B2" s="84"/>
      <c r="C2" s="84"/>
      <c r="D2" s="84" t="s">
        <v>135</v>
      </c>
      <c r="E2" s="84" t="n">
        <f aca="false">SUMIF($H$5:$H$300,"TOTAL TERCERO",E5:E300)</f>
        <v>2698.804</v>
      </c>
      <c r="F2" s="84" t="n">
        <f aca="false">SUMIF($H$5:$H$300,"TOTAL TERCERO",F5:F300)</f>
        <v>83.07</v>
      </c>
      <c r="G2" s="84" t="n">
        <f aca="false">SUMIF($H$5:$H$300,"TOTAL TERCERO",G5:G300)</f>
        <v>2781.874</v>
      </c>
      <c r="H2" s="84"/>
      <c r="I2" s="84"/>
    </row>
    <row r="3" customFormat="false" ht="15" hidden="false" customHeight="false" outlineLevel="0" collapsed="false">
      <c r="E3" s="85"/>
      <c r="F3" s="85"/>
      <c r="G3" s="85"/>
    </row>
    <row r="4" customFormat="false" ht="26.85" hidden="false" customHeight="false" outlineLevel="0" collapsed="false">
      <c r="A4" s="86" t="s">
        <v>136</v>
      </c>
      <c r="B4" s="86" t="s">
        <v>137</v>
      </c>
      <c r="C4" s="86" t="s">
        <v>138</v>
      </c>
      <c r="D4" s="86" t="s">
        <v>139</v>
      </c>
      <c r="E4" s="87" t="s">
        <v>140</v>
      </c>
      <c r="F4" s="87" t="s">
        <v>141</v>
      </c>
      <c r="G4" s="87" t="s">
        <v>142</v>
      </c>
      <c r="H4" s="86" t="s">
        <v>143</v>
      </c>
      <c r="I4" s="86" t="s">
        <v>144</v>
      </c>
    </row>
    <row r="5" customFormat="false" ht="15" hidden="false" customHeight="false" outlineLevel="0" collapsed="false">
      <c r="A5" s="88" t="s">
        <v>54</v>
      </c>
      <c r="B5" s="89" t="n">
        <f aca="false">COUNTIFS('CAJAS REEMBOLSO '!$F$9:$F$80,A5)</f>
        <v>4</v>
      </c>
      <c r="C5" s="88"/>
      <c r="D5" s="88"/>
      <c r="E5" s="90" t="n">
        <f aca="false">SUMIFS('CAJAS REEMBOLSO '!$J$9:$J$80,'CAJAS REEMBOLSO '!$F$9:$F$80,$A5)</f>
        <v>98.16</v>
      </c>
      <c r="F5" s="90" t="n">
        <f aca="false">SUMIFS('CAJAS REEMBOLSO '!$K$9:$K$80,'CAJAS REEMBOLSO '!$F$9:$F$80,$A5)</f>
        <v>0.86</v>
      </c>
      <c r="G5" s="90" t="n">
        <f aca="false">SUMIFS('CAJAS REEMBOLSO '!$M$9:$M$80,'CAJAS REEMBOLSO '!$F$9:$F$80,$A5)</f>
        <v>99.02</v>
      </c>
      <c r="H5" s="88" t="s">
        <v>145</v>
      </c>
      <c r="I5" s="88"/>
    </row>
    <row r="6" customFormat="false" ht="15" hidden="true" customHeight="false" outlineLevel="1" collapsed="false">
      <c r="A6" s="91" t="s">
        <v>54</v>
      </c>
      <c r="B6" s="91" t="s">
        <v>53</v>
      </c>
      <c r="C6" s="92" t="n">
        <v>45880</v>
      </c>
      <c r="D6" s="91" t="s">
        <v>38</v>
      </c>
      <c r="E6" s="93" t="n">
        <f aca="false">N('CAJAS REEMBOLSO '!J22)</f>
        <v>57.67</v>
      </c>
      <c r="F6" s="93" t="n">
        <f aca="false">N('CAJAS REEMBOLSO '!K22)</f>
        <v>0.85</v>
      </c>
      <c r="G6" s="93" t="n">
        <f aca="false">'CAJAS REEMBOLSO '!M22</f>
        <v>58.52</v>
      </c>
      <c r="H6" s="91" t="s">
        <v>146</v>
      </c>
      <c r="I6" s="91" t="n">
        <v>14</v>
      </c>
    </row>
    <row r="7" customFormat="false" ht="15" hidden="true" customHeight="false" outlineLevel="1" collapsed="false">
      <c r="A7" s="91" t="s">
        <v>54</v>
      </c>
      <c r="B7" s="91" t="s">
        <v>95</v>
      </c>
      <c r="C7" s="92" t="n">
        <v>46199</v>
      </c>
      <c r="D7" s="91" t="s">
        <v>38</v>
      </c>
      <c r="E7" s="93" t="n">
        <f aca="false">N('CAJAS REEMBOLSO '!J54)</f>
        <v>17.83</v>
      </c>
      <c r="F7" s="93" t="n">
        <f aca="false">N('CAJAS REEMBOLSO '!K54)</f>
        <v>0</v>
      </c>
      <c r="G7" s="93" t="n">
        <f aca="false">'CAJAS REEMBOLSO '!M54</f>
        <v>17.83</v>
      </c>
      <c r="H7" s="91" t="s">
        <v>146</v>
      </c>
      <c r="I7" s="91" t="n">
        <v>46</v>
      </c>
    </row>
    <row r="8" customFormat="false" ht="15" hidden="true" customHeight="false" outlineLevel="1" collapsed="false">
      <c r="A8" s="91" t="s">
        <v>54</v>
      </c>
      <c r="B8" s="91" t="s">
        <v>77</v>
      </c>
      <c r="C8" s="92" t="n">
        <v>46209</v>
      </c>
      <c r="D8" s="91" t="s">
        <v>38</v>
      </c>
      <c r="E8" s="93" t="n">
        <f aca="false">N('CAJAS REEMBOLSO '!J38)</f>
        <v>12.7</v>
      </c>
      <c r="F8" s="93" t="n">
        <f aca="false">N('CAJAS REEMBOLSO '!K38)</f>
        <v>0.01</v>
      </c>
      <c r="G8" s="93" t="n">
        <f aca="false">'CAJAS REEMBOLSO '!M38</f>
        <v>12.71</v>
      </c>
      <c r="H8" s="91" t="s">
        <v>146</v>
      </c>
      <c r="I8" s="91" t="n">
        <v>30</v>
      </c>
    </row>
    <row r="9" customFormat="false" ht="15" hidden="true" customHeight="false" outlineLevel="1" collapsed="false">
      <c r="A9" s="91" t="s">
        <v>54</v>
      </c>
      <c r="B9" s="91" t="s">
        <v>80</v>
      </c>
      <c r="C9" s="92" t="n">
        <v>46231</v>
      </c>
      <c r="D9" s="91" t="s">
        <v>38</v>
      </c>
      <c r="E9" s="93" t="n">
        <f aca="false">N('CAJAS REEMBOLSO '!J40)</f>
        <v>9.96</v>
      </c>
      <c r="F9" s="93" t="n">
        <f aca="false">N('CAJAS REEMBOLSO '!K40)</f>
        <v>0</v>
      </c>
      <c r="G9" s="93" t="n">
        <f aca="false">'CAJAS REEMBOLSO '!M40</f>
        <v>9.96</v>
      </c>
      <c r="H9" s="91" t="s">
        <v>146</v>
      </c>
      <c r="I9" s="91" t="n">
        <v>32</v>
      </c>
    </row>
    <row r="10" customFormat="false" ht="15" hidden="false" customHeight="false" outlineLevel="0" collapsed="false">
      <c r="A10" s="88" t="s">
        <v>67</v>
      </c>
      <c r="B10" s="89" t="n">
        <f aca="false">COUNTIFS('CAJAS REEMBOLSO '!$F$9:$F$80,A10)</f>
        <v>1</v>
      </c>
      <c r="C10" s="88"/>
      <c r="D10" s="88"/>
      <c r="E10" s="90" t="n">
        <f aca="false">SUMIFS('CAJAS REEMBOLSO '!$J$9:$J$80,'CAJAS REEMBOLSO '!$F$9:$F$80,$A10)</f>
        <v>13.99</v>
      </c>
      <c r="F10" s="90" t="n">
        <f aca="false">SUMIFS('CAJAS REEMBOLSO '!$K$9:$K$80,'CAJAS REEMBOLSO '!$F$9:$F$80,$A10)</f>
        <v>0.98</v>
      </c>
      <c r="G10" s="90" t="n">
        <f aca="false">SUMIFS('CAJAS REEMBOLSO '!$M$9:$M$80,'CAJAS REEMBOLSO '!$F$9:$F$80,$A10)</f>
        <v>14.97</v>
      </c>
      <c r="H10" s="88" t="s">
        <v>145</v>
      </c>
      <c r="I10" s="88"/>
    </row>
    <row r="11" customFormat="false" ht="15" hidden="true" customHeight="false" outlineLevel="1" collapsed="false">
      <c r="A11" s="91" t="s">
        <v>67</v>
      </c>
      <c r="B11" s="91" t="s">
        <v>66</v>
      </c>
      <c r="C11" s="92" t="n">
        <v>46200</v>
      </c>
      <c r="D11" s="91" t="s">
        <v>17</v>
      </c>
      <c r="E11" s="93" t="n">
        <f aca="false">N('CAJAS REEMBOLSO '!J31)</f>
        <v>13.99</v>
      </c>
      <c r="F11" s="93" t="n">
        <f aca="false">N('CAJAS REEMBOLSO '!K31)</f>
        <v>0.98</v>
      </c>
      <c r="G11" s="93" t="n">
        <f aca="false">'CAJAS REEMBOLSO '!M31</f>
        <v>14.97</v>
      </c>
      <c r="H11" s="91" t="s">
        <v>146</v>
      </c>
      <c r="I11" s="91" t="n">
        <v>23</v>
      </c>
    </row>
    <row r="12" customFormat="false" ht="15" hidden="false" customHeight="false" outlineLevel="0" collapsed="false">
      <c r="A12" s="88" t="s">
        <v>20</v>
      </c>
      <c r="B12" s="89" t="n">
        <f aca="false">COUNTIFS('CAJAS REEMBOLSO '!$F$9:$F$80,A12)</f>
        <v>1</v>
      </c>
      <c r="C12" s="88"/>
      <c r="D12" s="88"/>
      <c r="E12" s="90" t="n">
        <f aca="false">SUMIFS('CAJAS REEMBOLSO '!$J$9:$J$80,'CAJAS REEMBOLSO '!$F$9:$F$80,$A12)</f>
        <v>39.99</v>
      </c>
      <c r="F12" s="90" t="n">
        <f aca="false">SUMIFS('CAJAS REEMBOLSO '!$K$9:$K$80,'CAJAS REEMBOLSO '!$F$9:$F$80,$A12)</f>
        <v>2.8</v>
      </c>
      <c r="G12" s="90" t="n">
        <f aca="false">SUMIFS('CAJAS REEMBOLSO '!$M$9:$M$80,'CAJAS REEMBOLSO '!$F$9:$F$80,$A12)</f>
        <v>42.79</v>
      </c>
      <c r="H12" s="88" t="s">
        <v>145</v>
      </c>
      <c r="I12" s="88"/>
    </row>
    <row r="13" customFormat="false" ht="15" hidden="true" customHeight="false" outlineLevel="1" collapsed="false">
      <c r="A13" s="91" t="s">
        <v>20</v>
      </c>
      <c r="B13" s="91" t="s">
        <v>18</v>
      </c>
      <c r="C13" s="92" t="n">
        <v>46042</v>
      </c>
      <c r="D13" s="91" t="s">
        <v>21</v>
      </c>
      <c r="E13" s="93" t="n">
        <f aca="false">N('CAJAS REEMBOLSO '!J10)</f>
        <v>39.99</v>
      </c>
      <c r="F13" s="93" t="n">
        <f aca="false">N('CAJAS REEMBOLSO '!K10)</f>
        <v>2.8</v>
      </c>
      <c r="G13" s="93" t="n">
        <f aca="false">'CAJAS REEMBOLSO '!M10</f>
        <v>42.79</v>
      </c>
      <c r="H13" s="91" t="s">
        <v>146</v>
      </c>
      <c r="I13" s="91" t="n">
        <v>2</v>
      </c>
    </row>
    <row r="14" customFormat="false" ht="15" hidden="false" customHeight="false" outlineLevel="0" collapsed="false">
      <c r="A14" s="88" t="s">
        <v>91</v>
      </c>
      <c r="B14" s="89" t="n">
        <f aca="false">COUNTIFS('CAJAS REEMBOLSO '!$F$9:$F$80,A14)</f>
        <v>1</v>
      </c>
      <c r="C14" s="88"/>
      <c r="D14" s="88"/>
      <c r="E14" s="90" t="n">
        <f aca="false">SUMIFS('CAJAS REEMBOLSO '!$J$9:$J$80,'CAJAS REEMBOLSO '!$F$9:$F$80,$A14)</f>
        <v>19.98</v>
      </c>
      <c r="F14" s="90" t="n">
        <f aca="false">SUMIFS('CAJAS REEMBOLSO '!$K$9:$K$80,'CAJAS REEMBOLSO '!$F$9:$F$80,$A14)</f>
        <v>1.4</v>
      </c>
      <c r="G14" s="90" t="n">
        <f aca="false">SUMIFS('CAJAS REEMBOLSO '!$M$9:$M$80,'CAJAS REEMBOLSO '!$F$9:$F$80,$A14)</f>
        <v>21.38</v>
      </c>
      <c r="H14" s="88" t="s">
        <v>145</v>
      </c>
      <c r="I14" s="88"/>
    </row>
    <row r="15" customFormat="false" ht="15" hidden="true" customHeight="false" outlineLevel="1" collapsed="false">
      <c r="A15" s="91" t="s">
        <v>91</v>
      </c>
      <c r="B15" s="91" t="s">
        <v>90</v>
      </c>
      <c r="C15" s="92" t="n">
        <v>46208</v>
      </c>
      <c r="D15" s="91" t="s">
        <v>92</v>
      </c>
      <c r="E15" s="93" t="n">
        <f aca="false">N('CAJAS REEMBOLSO '!J51)</f>
        <v>19.98</v>
      </c>
      <c r="F15" s="93" t="n">
        <f aca="false">N('CAJAS REEMBOLSO '!K51)</f>
        <v>1.4</v>
      </c>
      <c r="G15" s="93" t="n">
        <f aca="false">'CAJAS REEMBOLSO '!M51</f>
        <v>21.38</v>
      </c>
      <c r="H15" s="91" t="s">
        <v>146</v>
      </c>
      <c r="I15" s="91" t="n">
        <v>43</v>
      </c>
    </row>
    <row r="16" customFormat="false" ht="15" hidden="false" customHeight="false" outlineLevel="0" collapsed="false">
      <c r="A16" s="88" t="s">
        <v>46</v>
      </c>
      <c r="B16" s="89" t="n">
        <f aca="false">COUNTIFS('CAJAS REEMBOLSO '!$F$9:$F$80,A16)</f>
        <v>1</v>
      </c>
      <c r="C16" s="88"/>
      <c r="D16" s="88"/>
      <c r="E16" s="90" t="n">
        <f aca="false">SUMIFS('CAJAS REEMBOLSO '!$J$9:$J$80,'CAJAS REEMBOLSO '!$F$9:$F$80,$A16)</f>
        <v>12.99</v>
      </c>
      <c r="F16" s="90" t="n">
        <f aca="false">SUMIFS('CAJAS REEMBOLSO '!$K$9:$K$80,'CAJAS REEMBOLSO '!$F$9:$F$80,$A16)</f>
        <v>0.91</v>
      </c>
      <c r="G16" s="90" t="n">
        <f aca="false">SUMIFS('CAJAS REEMBOLSO '!$M$9:$M$80,'CAJAS REEMBOLSO '!$F$9:$F$80,$A16)</f>
        <v>13.9</v>
      </c>
      <c r="H16" s="88" t="s">
        <v>145</v>
      </c>
      <c r="I16" s="88"/>
    </row>
    <row r="17" customFormat="false" ht="15" hidden="true" customHeight="false" outlineLevel="1" collapsed="false">
      <c r="A17" s="91" t="s">
        <v>46</v>
      </c>
      <c r="B17" s="91" t="s">
        <v>45</v>
      </c>
      <c r="C17" s="92" t="n">
        <v>46231</v>
      </c>
      <c r="D17" s="91" t="s">
        <v>47</v>
      </c>
      <c r="E17" s="93" t="n">
        <f aca="false">N('CAJAS REEMBOLSO '!J19)</f>
        <v>12.99</v>
      </c>
      <c r="F17" s="93" t="n">
        <f aca="false">N('CAJAS REEMBOLSO '!K19)</f>
        <v>0.91</v>
      </c>
      <c r="G17" s="93" t="n">
        <f aca="false">'CAJAS REEMBOLSO '!M19</f>
        <v>13.9</v>
      </c>
      <c r="H17" s="91" t="s">
        <v>146</v>
      </c>
      <c r="I17" s="91" t="n">
        <v>11</v>
      </c>
    </row>
    <row r="18" customFormat="false" ht="15" hidden="false" customHeight="false" outlineLevel="0" collapsed="false">
      <c r="A18" s="88" t="s">
        <v>51</v>
      </c>
      <c r="B18" s="89" t="n">
        <f aca="false">COUNTIFS('CAJAS REEMBOLSO '!$F$9:$F$80,A18)</f>
        <v>1</v>
      </c>
      <c r="C18" s="88"/>
      <c r="D18" s="88"/>
      <c r="E18" s="90" t="n">
        <f aca="false">SUMIFS('CAJAS REEMBOLSO '!$J$9:$J$80,'CAJAS REEMBOLSO '!$F$9:$F$80,$A18)</f>
        <v>160.44</v>
      </c>
      <c r="F18" s="90" t="n">
        <f aca="false">SUMIFS('CAJAS REEMBOLSO '!$K$9:$K$80,'CAJAS REEMBOLSO '!$F$9:$F$80,$A18)</f>
        <v>0</v>
      </c>
      <c r="G18" s="90" t="n">
        <f aca="false">SUMIFS('CAJAS REEMBOLSO '!$M$9:$M$80,'CAJAS REEMBOLSO '!$F$9:$F$80,$A18)</f>
        <v>160.44</v>
      </c>
      <c r="H18" s="88" t="s">
        <v>145</v>
      </c>
      <c r="I18" s="88"/>
    </row>
    <row r="19" customFormat="false" ht="15" hidden="true" customHeight="false" outlineLevel="1" collapsed="false">
      <c r="A19" s="91" t="s">
        <v>51</v>
      </c>
      <c r="B19" s="91" t="s">
        <v>50</v>
      </c>
      <c r="C19" s="92" t="n">
        <v>46232</v>
      </c>
      <c r="D19" s="91" t="s">
        <v>52</v>
      </c>
      <c r="E19" s="93" t="n">
        <f aca="false">N('CAJAS REEMBOLSO '!J21)</f>
        <v>160.44</v>
      </c>
      <c r="F19" s="93" t="n">
        <f aca="false">N('CAJAS REEMBOLSO '!K21)</f>
        <v>0</v>
      </c>
      <c r="G19" s="93" t="n">
        <f aca="false">'CAJAS REEMBOLSO '!M21</f>
        <v>160.44</v>
      </c>
      <c r="H19" s="91" t="s">
        <v>146</v>
      </c>
      <c r="I19" s="91" t="n">
        <v>13</v>
      </c>
    </row>
    <row r="20" customFormat="false" ht="15" hidden="false" customHeight="false" outlineLevel="0" collapsed="false">
      <c r="A20" s="88" t="s">
        <v>86</v>
      </c>
      <c r="B20" s="89" t="n">
        <f aca="false">COUNTIFS('CAJAS REEMBOLSO '!$F$9:$F$80,A20)</f>
        <v>2</v>
      </c>
      <c r="C20" s="88"/>
      <c r="D20" s="88"/>
      <c r="E20" s="90" t="n">
        <f aca="false">SUMIFS('CAJAS REEMBOLSO '!$J$9:$J$80,'CAJAS REEMBOLSO '!$F$9:$F$80,$A20)</f>
        <v>31.4</v>
      </c>
      <c r="F20" s="90" t="n">
        <f aca="false">SUMIFS('CAJAS REEMBOLSO '!$K$9:$K$80,'CAJAS REEMBOLSO '!$F$9:$F$80,$A20)</f>
        <v>2.2</v>
      </c>
      <c r="G20" s="90" t="n">
        <f aca="false">SUMIFS('CAJAS REEMBOLSO '!$M$9:$M$80,'CAJAS REEMBOLSO '!$F$9:$F$80,$A20)</f>
        <v>33.6</v>
      </c>
      <c r="H20" s="88" t="s">
        <v>145</v>
      </c>
      <c r="I20" s="88"/>
    </row>
    <row r="21" customFormat="false" ht="15" hidden="true" customHeight="false" outlineLevel="1" collapsed="false">
      <c r="A21" s="91" t="s">
        <v>86</v>
      </c>
      <c r="B21" s="91" t="s">
        <v>85</v>
      </c>
      <c r="C21" s="92" t="n">
        <v>46198</v>
      </c>
      <c r="D21" s="91" t="s">
        <v>17</v>
      </c>
      <c r="E21" s="93" t="n">
        <f aca="false">N('CAJAS REEMBOLSO '!J43)</f>
        <v>13.45</v>
      </c>
      <c r="F21" s="93" t="n">
        <f aca="false">N('CAJAS REEMBOLSO '!K43)</f>
        <v>0.94</v>
      </c>
      <c r="G21" s="93" t="n">
        <f aca="false">'CAJAS REEMBOLSO '!M43</f>
        <v>14.39</v>
      </c>
      <c r="H21" s="91" t="s">
        <v>146</v>
      </c>
      <c r="I21" s="91" t="n">
        <v>35</v>
      </c>
    </row>
    <row r="22" customFormat="false" ht="15" hidden="true" customHeight="false" outlineLevel="1" collapsed="false">
      <c r="A22" s="91" t="s">
        <v>86</v>
      </c>
      <c r="B22" s="91" t="s">
        <v>94</v>
      </c>
      <c r="C22" s="92" t="n">
        <v>46201</v>
      </c>
      <c r="D22" s="91" t="s">
        <v>17</v>
      </c>
      <c r="E22" s="93" t="n">
        <f aca="false">N('CAJAS REEMBOLSO '!J53)</f>
        <v>17.95</v>
      </c>
      <c r="F22" s="93" t="n">
        <f aca="false">N('CAJAS REEMBOLSO '!K53)</f>
        <v>1.26</v>
      </c>
      <c r="G22" s="93" t="n">
        <f aca="false">'CAJAS REEMBOLSO '!M53</f>
        <v>19.21</v>
      </c>
      <c r="H22" s="91" t="s">
        <v>146</v>
      </c>
      <c r="I22" s="91" t="n">
        <v>45</v>
      </c>
    </row>
    <row r="23" customFormat="false" ht="15" hidden="false" customHeight="false" outlineLevel="0" collapsed="false">
      <c r="A23" s="88" t="s">
        <v>65</v>
      </c>
      <c r="B23" s="89" t="n">
        <f aca="false">COUNTIFS('CAJAS REEMBOLSO '!$F$9:$F$80,A23)</f>
        <v>1</v>
      </c>
      <c r="C23" s="88"/>
      <c r="D23" s="88"/>
      <c r="E23" s="90" t="n">
        <f aca="false">SUMIFS('CAJAS REEMBOLSO '!$J$9:$J$80,'CAJAS REEMBOLSO '!$F$9:$F$80,$A23)</f>
        <v>11.28</v>
      </c>
      <c r="F23" s="90" t="n">
        <f aca="false">SUMIFS('CAJAS REEMBOLSO '!$K$9:$K$80,'CAJAS REEMBOLSO '!$F$9:$F$80,$A23)</f>
        <v>0.79</v>
      </c>
      <c r="G23" s="90" t="n">
        <f aca="false">SUMIFS('CAJAS REEMBOLSO '!$M$9:$M$80,'CAJAS REEMBOLSO '!$F$9:$F$80,$A23)</f>
        <v>12.07</v>
      </c>
      <c r="H23" s="88" t="s">
        <v>145</v>
      </c>
      <c r="I23" s="88"/>
    </row>
    <row r="24" customFormat="false" ht="15" hidden="true" customHeight="false" outlineLevel="1" collapsed="false">
      <c r="A24" s="91" t="s">
        <v>65</v>
      </c>
      <c r="B24" s="91" t="s">
        <v>64</v>
      </c>
      <c r="C24" s="92" t="n">
        <v>46234</v>
      </c>
      <c r="D24" s="91" t="s">
        <v>17</v>
      </c>
      <c r="E24" s="93" t="n">
        <f aca="false">N('CAJAS REEMBOLSO '!J30)</f>
        <v>11.28</v>
      </c>
      <c r="F24" s="93" t="n">
        <f aca="false">N('CAJAS REEMBOLSO '!K30)</f>
        <v>0.79</v>
      </c>
      <c r="G24" s="93" t="n">
        <f aca="false">'CAJAS REEMBOLSO '!M30</f>
        <v>12.07</v>
      </c>
      <c r="H24" s="91" t="s">
        <v>146</v>
      </c>
      <c r="I24" s="91" t="n">
        <v>22</v>
      </c>
    </row>
    <row r="25" customFormat="false" ht="15" hidden="false" customHeight="false" outlineLevel="0" collapsed="false">
      <c r="A25" s="88" t="s">
        <v>37</v>
      </c>
      <c r="B25" s="89" t="n">
        <f aca="false">COUNTIFS('CAJAS REEMBOLSO '!$F$9:$F$80,A25)</f>
        <v>12</v>
      </c>
      <c r="C25" s="88"/>
      <c r="D25" s="88"/>
      <c r="E25" s="90" t="n">
        <f aca="false">SUMIFS('CAJAS REEMBOLSO '!$J$9:$J$80,'CAJAS REEMBOLSO '!$F$9:$F$80,$A25)</f>
        <v>528.88</v>
      </c>
      <c r="F25" s="90" t="n">
        <f aca="false">SUMIFS('CAJAS REEMBOLSO '!$K$9:$K$80,'CAJAS REEMBOLSO '!$F$9:$F$80,$A25)</f>
        <v>14.14</v>
      </c>
      <c r="G25" s="90" t="n">
        <f aca="false">SUMIFS('CAJAS REEMBOLSO '!$M$9:$M$80,'CAJAS REEMBOLSO '!$F$9:$F$80,$A25)</f>
        <v>543.02</v>
      </c>
      <c r="H25" s="88" t="s">
        <v>145</v>
      </c>
      <c r="I25" s="88"/>
    </row>
    <row r="26" customFormat="false" ht="15" hidden="true" customHeight="false" outlineLevel="1" collapsed="false">
      <c r="A26" s="91" t="s">
        <v>37</v>
      </c>
      <c r="B26" s="91" t="s">
        <v>88</v>
      </c>
      <c r="C26" s="92" t="n">
        <v>46195</v>
      </c>
      <c r="D26" s="91" t="s">
        <v>38</v>
      </c>
      <c r="E26" s="93" t="n">
        <f aca="false">N('CAJAS REEMBOLSO '!J45)</f>
        <v>193.23</v>
      </c>
      <c r="F26" s="93" t="n">
        <f aca="false">N('CAJAS REEMBOLSO '!K45)</f>
        <v>3.78</v>
      </c>
      <c r="G26" s="93" t="n">
        <f aca="false">'CAJAS REEMBOLSO '!M45</f>
        <v>197.01</v>
      </c>
      <c r="H26" s="91" t="s">
        <v>146</v>
      </c>
      <c r="I26" s="91" t="n">
        <v>37</v>
      </c>
    </row>
    <row r="27" customFormat="false" ht="15" hidden="true" customHeight="false" outlineLevel="1" collapsed="false">
      <c r="A27" s="91" t="s">
        <v>37</v>
      </c>
      <c r="B27" s="91" t="s">
        <v>147</v>
      </c>
      <c r="C27" s="92" t="n">
        <v>46195</v>
      </c>
      <c r="D27" s="91" t="s">
        <v>17</v>
      </c>
      <c r="E27" s="93" t="n">
        <f aca="false">N('CAJAS REEMBOLSO '!J46)</f>
        <v>3.49</v>
      </c>
      <c r="F27" s="93" t="n">
        <f aca="false">N('CAJAS REEMBOLSO '!K46)</f>
        <v>0.24</v>
      </c>
      <c r="G27" s="93" t="n">
        <f aca="false">'CAJAS REEMBOLSO '!M46</f>
        <v>3.73</v>
      </c>
      <c r="H27" s="91" t="s">
        <v>146</v>
      </c>
      <c r="I27" s="91" t="n">
        <v>38</v>
      </c>
    </row>
    <row r="28" customFormat="false" ht="15" hidden="true" customHeight="false" outlineLevel="1" collapsed="false">
      <c r="A28" s="91" t="s">
        <v>37</v>
      </c>
      <c r="B28" s="91" t="s">
        <v>148</v>
      </c>
      <c r="C28" s="92" t="n">
        <v>46204</v>
      </c>
      <c r="D28" s="91" t="s">
        <v>38</v>
      </c>
      <c r="E28" s="93" t="n">
        <f aca="false">N('CAJAS REEMBOLSO '!J47)</f>
        <v>20.87</v>
      </c>
      <c r="F28" s="93" t="n">
        <f aca="false">N('CAJAS REEMBOLSO '!K47)</f>
        <v>0.49</v>
      </c>
      <c r="G28" s="93" t="n">
        <f aca="false">'CAJAS REEMBOLSO '!M47</f>
        <v>21.36</v>
      </c>
      <c r="H28" s="91" t="s">
        <v>146</v>
      </c>
      <c r="I28" s="91" t="n">
        <v>39</v>
      </c>
    </row>
    <row r="29" customFormat="false" ht="15" hidden="true" customHeight="false" outlineLevel="1" collapsed="false">
      <c r="A29" s="91" t="s">
        <v>37</v>
      </c>
      <c r="B29" s="91" t="s">
        <v>149</v>
      </c>
      <c r="C29" s="92" t="n">
        <v>46204</v>
      </c>
      <c r="D29" s="91" t="s">
        <v>47</v>
      </c>
      <c r="E29" s="93" t="n">
        <f aca="false">N('CAJAS REEMBOLSO '!J49)</f>
        <v>2.49</v>
      </c>
      <c r="F29" s="93" t="n">
        <f aca="false">N('CAJAS REEMBOLSO '!K49)</f>
        <v>0.17</v>
      </c>
      <c r="G29" s="93" t="n">
        <f aca="false">'CAJAS REEMBOLSO '!M49</f>
        <v>2.66</v>
      </c>
      <c r="H29" s="91" t="s">
        <v>146</v>
      </c>
      <c r="I29" s="91" t="n">
        <v>41</v>
      </c>
    </row>
    <row r="30" customFormat="false" ht="15" hidden="true" customHeight="false" outlineLevel="1" collapsed="false">
      <c r="A30" s="91" t="s">
        <v>37</v>
      </c>
      <c r="B30" s="91" t="s">
        <v>150</v>
      </c>
      <c r="C30" s="92" t="n">
        <v>46206</v>
      </c>
      <c r="D30" s="91" t="s">
        <v>17</v>
      </c>
      <c r="E30" s="93" t="n">
        <f aca="false">N('CAJAS REEMBOLSO '!J48)</f>
        <v>3.49</v>
      </c>
      <c r="F30" s="93" t="n">
        <f aca="false">N('CAJAS REEMBOLSO '!K48)</f>
        <v>0.24</v>
      </c>
      <c r="G30" s="93" t="n">
        <f aca="false">'CAJAS REEMBOLSO '!M48</f>
        <v>3.73</v>
      </c>
      <c r="H30" s="91" t="s">
        <v>146</v>
      </c>
      <c r="I30" s="91" t="n">
        <v>40</v>
      </c>
    </row>
    <row r="31" customFormat="false" ht="15" hidden="true" customHeight="false" outlineLevel="1" collapsed="false">
      <c r="A31" s="91" t="s">
        <v>37</v>
      </c>
      <c r="B31" s="91" t="s">
        <v>76</v>
      </c>
      <c r="C31" s="92" t="n">
        <v>46212</v>
      </c>
      <c r="D31" s="91" t="s">
        <v>17</v>
      </c>
      <c r="E31" s="93" t="n">
        <f aca="false">N('CAJAS REEMBOLSO '!J37)</f>
        <v>5.48</v>
      </c>
      <c r="F31" s="93" t="n">
        <f aca="false">N('CAJAS REEMBOLSO '!K37)</f>
        <v>0.38</v>
      </c>
      <c r="G31" s="93" t="n">
        <f aca="false">'CAJAS REEMBOLSO '!M37</f>
        <v>5.86</v>
      </c>
      <c r="H31" s="91" t="s">
        <v>146</v>
      </c>
      <c r="I31" s="91" t="n">
        <v>29</v>
      </c>
    </row>
    <row r="32" customFormat="false" ht="15" hidden="true" customHeight="false" outlineLevel="1" collapsed="false">
      <c r="A32" s="91" t="s">
        <v>37</v>
      </c>
      <c r="B32" s="91" t="s">
        <v>57</v>
      </c>
      <c r="C32" s="92" t="n">
        <v>46214</v>
      </c>
      <c r="D32" s="91" t="s">
        <v>38</v>
      </c>
      <c r="E32" s="93" t="n">
        <f aca="false">N('CAJAS REEMBOLSO '!J24)</f>
        <v>26.99</v>
      </c>
      <c r="F32" s="93" t="n">
        <f aca="false">N('CAJAS REEMBOLSO '!K24)</f>
        <v>1.89</v>
      </c>
      <c r="G32" s="93" t="n">
        <f aca="false">'CAJAS REEMBOLSO '!M24</f>
        <v>28.88</v>
      </c>
      <c r="H32" s="91" t="s">
        <v>146</v>
      </c>
      <c r="I32" s="91" t="n">
        <v>16</v>
      </c>
    </row>
    <row r="33" customFormat="false" ht="15" hidden="true" customHeight="false" outlineLevel="1" collapsed="false">
      <c r="A33" s="91" t="s">
        <v>37</v>
      </c>
      <c r="B33" s="91" t="s">
        <v>58</v>
      </c>
      <c r="C33" s="92" t="n">
        <v>46214</v>
      </c>
      <c r="D33" s="91" t="s">
        <v>38</v>
      </c>
      <c r="E33" s="93" t="n">
        <f aca="false">N('CAJAS REEMBOLSO '!J25)</f>
        <v>69.03</v>
      </c>
      <c r="F33" s="93" t="n">
        <f aca="false">N('CAJAS REEMBOLSO '!K25)</f>
        <v>2.93</v>
      </c>
      <c r="G33" s="93" t="n">
        <f aca="false">'CAJAS REEMBOLSO '!M25</f>
        <v>71.96</v>
      </c>
      <c r="H33" s="91" t="s">
        <v>146</v>
      </c>
      <c r="I33" s="91" t="n">
        <v>17</v>
      </c>
    </row>
    <row r="34" customFormat="false" ht="15" hidden="true" customHeight="false" outlineLevel="1" collapsed="false">
      <c r="A34" s="91" t="s">
        <v>37</v>
      </c>
      <c r="B34" s="91" t="s">
        <v>59</v>
      </c>
      <c r="C34" s="92" t="n">
        <v>46214</v>
      </c>
      <c r="D34" s="91" t="s">
        <v>17</v>
      </c>
      <c r="E34" s="93" t="n">
        <f aca="false">N('CAJAS REEMBOLSO '!J26)</f>
        <v>3.49</v>
      </c>
      <c r="F34" s="93" t="n">
        <f aca="false">N('CAJAS REEMBOLSO '!K26)</f>
        <v>0.24</v>
      </c>
      <c r="G34" s="93" t="n">
        <f aca="false">'CAJAS REEMBOLSO '!M26</f>
        <v>3.73</v>
      </c>
      <c r="H34" s="91" t="s">
        <v>146</v>
      </c>
      <c r="I34" s="91" t="n">
        <v>18</v>
      </c>
    </row>
    <row r="35" customFormat="false" ht="15" hidden="true" customHeight="false" outlineLevel="1" collapsed="false">
      <c r="A35" s="91" t="s">
        <v>37</v>
      </c>
      <c r="B35" s="91" t="s">
        <v>36</v>
      </c>
      <c r="C35" s="92" t="n">
        <v>46220</v>
      </c>
      <c r="D35" s="91" t="s">
        <v>38</v>
      </c>
      <c r="E35" s="93" t="n">
        <f aca="false">N('CAJAS REEMBOLSO '!J15)</f>
        <v>13.99</v>
      </c>
      <c r="F35" s="93" t="n">
        <f aca="false">N('CAJAS REEMBOLSO '!K15)</f>
        <v>0</v>
      </c>
      <c r="G35" s="93" t="n">
        <f aca="false">'CAJAS REEMBOLSO '!M15</f>
        <v>13.99</v>
      </c>
      <c r="H35" s="91" t="s">
        <v>146</v>
      </c>
      <c r="I35" s="91" t="n">
        <v>7</v>
      </c>
    </row>
    <row r="36" customFormat="false" ht="15" hidden="true" customHeight="false" outlineLevel="1" collapsed="false">
      <c r="A36" s="91" t="s">
        <v>37</v>
      </c>
      <c r="B36" s="91" t="s">
        <v>98</v>
      </c>
      <c r="C36" s="92" t="n">
        <v>46227</v>
      </c>
      <c r="D36" s="91" t="s">
        <v>38</v>
      </c>
      <c r="E36" s="93" t="n">
        <f aca="false">N('CAJAS REEMBOLSO '!J57)</f>
        <v>86.53</v>
      </c>
      <c r="F36" s="93" t="n">
        <f aca="false">N('CAJAS REEMBOLSO '!K57)</f>
        <v>0.98</v>
      </c>
      <c r="G36" s="93" t="n">
        <f aca="false">'CAJAS REEMBOLSO '!M57</f>
        <v>87.51</v>
      </c>
      <c r="H36" s="91" t="s">
        <v>146</v>
      </c>
      <c r="I36" s="91" t="n">
        <v>49</v>
      </c>
    </row>
    <row r="37" customFormat="false" ht="15" hidden="true" customHeight="false" outlineLevel="1" collapsed="false">
      <c r="A37" s="91" t="s">
        <v>37</v>
      </c>
      <c r="B37" s="91" t="s">
        <v>97</v>
      </c>
      <c r="C37" s="92" t="n">
        <v>46236</v>
      </c>
      <c r="D37" s="91" t="s">
        <v>38</v>
      </c>
      <c r="E37" s="93" t="n">
        <f aca="false">N('CAJAS REEMBOLSO '!J56)</f>
        <v>99.8</v>
      </c>
      <c r="F37" s="93" t="n">
        <f aca="false">N('CAJAS REEMBOLSO '!K56)</f>
        <v>2.8</v>
      </c>
      <c r="G37" s="93" t="n">
        <f aca="false">'CAJAS REEMBOLSO '!M56</f>
        <v>102.6</v>
      </c>
      <c r="H37" s="91" t="s">
        <v>146</v>
      </c>
      <c r="I37" s="91" t="n">
        <v>48</v>
      </c>
    </row>
    <row r="38" customFormat="false" ht="15" hidden="false" customHeight="false" outlineLevel="0" collapsed="false">
      <c r="A38" s="88" t="s">
        <v>117</v>
      </c>
      <c r="B38" s="89" t="n">
        <f aca="false">COUNTIFS('CAJAS REEMBOLSO '!$F$9:$F$80,A38)</f>
        <v>2</v>
      </c>
      <c r="C38" s="88"/>
      <c r="D38" s="88"/>
      <c r="E38" s="90" t="n">
        <f aca="false">SUMIFS('CAJAS REEMBOLSO '!$J$9:$J$80,'CAJAS REEMBOLSO '!$F$9:$F$80,$A38)</f>
        <v>63</v>
      </c>
      <c r="F38" s="90" t="n">
        <f aca="false">SUMIFS('CAJAS REEMBOLSO '!$K$9:$K$80,'CAJAS REEMBOLSO '!$F$9:$F$80,$A38)</f>
        <v>0</v>
      </c>
      <c r="G38" s="90" t="n">
        <f aca="false">SUMIFS('CAJAS REEMBOLSO '!$M$9:$M$80,'CAJAS REEMBOLSO '!$F$9:$F$80,$A38)</f>
        <v>63</v>
      </c>
      <c r="H38" s="88" t="s">
        <v>145</v>
      </c>
      <c r="I38" s="88"/>
    </row>
    <row r="39" customFormat="false" ht="15" hidden="true" customHeight="false" outlineLevel="1" collapsed="false">
      <c r="A39" s="91" t="s">
        <v>117</v>
      </c>
      <c r="B39" s="91" t="s">
        <v>116</v>
      </c>
      <c r="C39" s="92" t="n">
        <v>46205</v>
      </c>
      <c r="D39" s="91" t="s">
        <v>118</v>
      </c>
      <c r="E39" s="93" t="n">
        <f aca="false">N('CAJAS REEMBOLSO '!J69)</f>
        <v>6.25</v>
      </c>
      <c r="F39" s="93" t="n">
        <f aca="false">N('CAJAS REEMBOLSO '!K69)</f>
        <v>0</v>
      </c>
      <c r="G39" s="93" t="n">
        <f aca="false">'CAJAS REEMBOLSO '!M69</f>
        <v>6.25</v>
      </c>
      <c r="H39" s="91" t="s">
        <v>146</v>
      </c>
      <c r="I39" s="91" t="n">
        <v>61</v>
      </c>
    </row>
    <row r="40" customFormat="false" ht="15" hidden="true" customHeight="false" outlineLevel="1" collapsed="false">
      <c r="A40" s="91" t="s">
        <v>117</v>
      </c>
      <c r="B40" s="91" t="s">
        <v>119</v>
      </c>
      <c r="C40" s="92" t="n">
        <v>46205</v>
      </c>
      <c r="D40" s="91" t="s">
        <v>118</v>
      </c>
      <c r="E40" s="93" t="n">
        <f aca="false">N('CAJAS REEMBOLSO '!J70)</f>
        <v>56.75</v>
      </c>
      <c r="F40" s="93" t="n">
        <f aca="false">N('CAJAS REEMBOLSO '!K70)</f>
        <v>0</v>
      </c>
      <c r="G40" s="93" t="n">
        <f aca="false">'CAJAS REEMBOLSO '!M70</f>
        <v>56.75</v>
      </c>
      <c r="H40" s="91" t="s">
        <v>146</v>
      </c>
      <c r="I40" s="91" t="n">
        <v>62</v>
      </c>
    </row>
    <row r="41" customFormat="false" ht="15" hidden="false" customHeight="false" outlineLevel="0" collapsed="false">
      <c r="A41" s="88" t="s">
        <v>44</v>
      </c>
      <c r="B41" s="89" t="n">
        <f aca="false">COUNTIFS('CAJAS REEMBOLSO '!$F$9:$F$80,A41)</f>
        <v>5</v>
      </c>
      <c r="C41" s="88"/>
      <c r="D41" s="88"/>
      <c r="E41" s="90" t="n">
        <f aca="false">SUMIFS('CAJAS REEMBOLSO '!$J$9:$J$80,'CAJAS REEMBOLSO '!$F$9:$F$80,$A41)</f>
        <v>60.75</v>
      </c>
      <c r="F41" s="90" t="n">
        <f aca="false">SUMIFS('CAJAS REEMBOLSO '!$K$9:$K$80,'CAJAS REEMBOLSO '!$F$9:$F$80,$A41)</f>
        <v>2.62</v>
      </c>
      <c r="G41" s="90" t="n">
        <f aca="false">SUMIFS('CAJAS REEMBOLSO '!$M$9:$M$80,'CAJAS REEMBOLSO '!$F$9:$F$80,$A41)</f>
        <v>63.37</v>
      </c>
      <c r="H41" s="88" t="s">
        <v>145</v>
      </c>
      <c r="I41" s="88"/>
    </row>
    <row r="42" customFormat="false" ht="15" hidden="true" customHeight="false" outlineLevel="1" collapsed="false">
      <c r="A42" s="91" t="s">
        <v>44</v>
      </c>
      <c r="B42" s="91" t="s">
        <v>93</v>
      </c>
      <c r="C42" s="92" t="n">
        <v>46203</v>
      </c>
      <c r="D42" s="91" t="s">
        <v>38</v>
      </c>
      <c r="E42" s="93" t="n">
        <f aca="false">N('CAJAS REEMBOLSO '!J52)</f>
        <v>4.5</v>
      </c>
      <c r="F42" s="93" t="n">
        <f aca="false">N('CAJAS REEMBOLSO '!K52)</f>
        <v>0</v>
      </c>
      <c r="G42" s="93" t="n">
        <f aca="false">'CAJAS REEMBOLSO '!M52</f>
        <v>4.5</v>
      </c>
      <c r="H42" s="91" t="s">
        <v>146</v>
      </c>
      <c r="I42" s="91" t="n">
        <v>44</v>
      </c>
    </row>
    <row r="43" customFormat="false" ht="15" hidden="true" customHeight="false" outlineLevel="1" collapsed="false">
      <c r="A43" s="91" t="s">
        <v>44</v>
      </c>
      <c r="B43" s="91" t="s">
        <v>62</v>
      </c>
      <c r="C43" s="92" t="n">
        <v>46204</v>
      </c>
      <c r="D43" s="91" t="s">
        <v>38</v>
      </c>
      <c r="E43" s="93" t="n">
        <f aca="false">N('CAJAS REEMBOLSO '!J28)</f>
        <v>7.5</v>
      </c>
      <c r="F43" s="93" t="n">
        <f aca="false">N('CAJAS REEMBOLSO '!K28)</f>
        <v>0.32</v>
      </c>
      <c r="G43" s="93" t="n">
        <f aca="false">'CAJAS REEMBOLSO '!M28</f>
        <v>7.82</v>
      </c>
      <c r="H43" s="91" t="s">
        <v>146</v>
      </c>
      <c r="I43" s="91" t="n">
        <v>20</v>
      </c>
    </row>
    <row r="44" customFormat="false" ht="15" hidden="true" customHeight="false" outlineLevel="1" collapsed="false">
      <c r="A44" s="91" t="s">
        <v>44</v>
      </c>
      <c r="B44" s="91" t="s">
        <v>63</v>
      </c>
      <c r="C44" s="92" t="n">
        <v>46214</v>
      </c>
      <c r="D44" s="91" t="s">
        <v>38</v>
      </c>
      <c r="E44" s="93" t="n">
        <f aca="false">N('CAJAS REEMBOLSO '!J29)</f>
        <v>8.25</v>
      </c>
      <c r="F44" s="93" t="n">
        <f aca="false">N('CAJAS REEMBOLSO '!K29)</f>
        <v>0.21</v>
      </c>
      <c r="G44" s="93" t="n">
        <f aca="false">'CAJAS REEMBOLSO '!M29</f>
        <v>8.46</v>
      </c>
      <c r="H44" s="91" t="s">
        <v>146</v>
      </c>
      <c r="I44" s="91" t="n">
        <v>21</v>
      </c>
    </row>
    <row r="45" customFormat="false" ht="15" hidden="true" customHeight="false" outlineLevel="1" collapsed="false">
      <c r="A45" s="91" t="s">
        <v>44</v>
      </c>
      <c r="B45" s="91" t="s">
        <v>104</v>
      </c>
      <c r="C45" s="92" t="n">
        <v>46221</v>
      </c>
      <c r="D45" s="91" t="s">
        <v>38</v>
      </c>
      <c r="E45" s="93" t="n">
        <f aca="false">N('CAJAS REEMBOLSO '!J62)</f>
        <v>36</v>
      </c>
      <c r="F45" s="93" t="n">
        <f aca="false">N('CAJAS REEMBOLSO '!K62)</f>
        <v>1.77</v>
      </c>
      <c r="G45" s="93" t="n">
        <f aca="false">'CAJAS REEMBOLSO '!M62</f>
        <v>37.77</v>
      </c>
      <c r="H45" s="91" t="s">
        <v>146</v>
      </c>
      <c r="I45" s="91" t="n">
        <v>54</v>
      </c>
    </row>
    <row r="46" customFormat="false" ht="15" hidden="true" customHeight="false" outlineLevel="1" collapsed="false">
      <c r="A46" s="91" t="s">
        <v>44</v>
      </c>
      <c r="B46" s="91" t="s">
        <v>43</v>
      </c>
      <c r="C46" s="92" t="n">
        <v>46229</v>
      </c>
      <c r="D46" s="91" t="s">
        <v>38</v>
      </c>
      <c r="E46" s="93" t="n">
        <f aca="false">N('CAJAS REEMBOLSO '!J18)</f>
        <v>4.5</v>
      </c>
      <c r="F46" s="93" t="n">
        <f aca="false">N('CAJAS REEMBOLSO '!K18)</f>
        <v>0.32</v>
      </c>
      <c r="G46" s="93" t="n">
        <f aca="false">'CAJAS REEMBOLSO '!M18</f>
        <v>4.82</v>
      </c>
      <c r="H46" s="91" t="s">
        <v>146</v>
      </c>
      <c r="I46" s="91" t="n">
        <v>10</v>
      </c>
    </row>
    <row r="47" customFormat="false" ht="15" hidden="false" customHeight="false" outlineLevel="0" collapsed="false">
      <c r="A47" s="88" t="s">
        <v>115</v>
      </c>
      <c r="B47" s="89" t="n">
        <f aca="false">COUNTIFS('CAJAS REEMBOLSO '!$F$9:$F$80,A47)</f>
        <v>7</v>
      </c>
      <c r="C47" s="88"/>
      <c r="D47" s="88"/>
      <c r="E47" s="90" t="n">
        <f aca="false">SUMIFS('CAJAS REEMBOLSO '!$J$9:$J$80,'CAJAS REEMBOLSO '!$F$9:$F$80,$A47)</f>
        <v>500.2</v>
      </c>
      <c r="F47" s="90" t="n">
        <f aca="false">SUMIFS('CAJAS REEMBOLSO '!$K$9:$K$80,'CAJAS REEMBOLSO '!$F$9:$F$80,$A47)</f>
        <v>2.11</v>
      </c>
      <c r="G47" s="90" t="n">
        <f aca="false">SUMIFS('CAJAS REEMBOLSO '!$M$9:$M$80,'CAJAS REEMBOLSO '!$F$9:$F$80,$A47)</f>
        <v>502.31</v>
      </c>
      <c r="H47" s="88" t="s">
        <v>145</v>
      </c>
      <c r="I47" s="88"/>
    </row>
    <row r="48" customFormat="false" ht="15" hidden="true" customHeight="false" outlineLevel="1" collapsed="false">
      <c r="A48" s="91" t="s">
        <v>115</v>
      </c>
      <c r="B48" s="91" t="s">
        <v>114</v>
      </c>
      <c r="C48" s="92" t="n">
        <v>46195</v>
      </c>
      <c r="D48" s="91" t="s">
        <v>52</v>
      </c>
      <c r="E48" s="93" t="n">
        <f aca="false">N('CAJAS REEMBOLSO '!J72)</f>
        <v>160.44</v>
      </c>
      <c r="F48" s="93" t="n">
        <f aca="false">N('CAJAS REEMBOLSO '!K72)</f>
        <v>0</v>
      </c>
      <c r="G48" s="93" t="n">
        <f aca="false">'CAJAS REEMBOLSO '!M72</f>
        <v>160.44</v>
      </c>
      <c r="H48" s="91" t="s">
        <v>146</v>
      </c>
      <c r="I48" s="91" t="n">
        <v>64</v>
      </c>
    </row>
    <row r="49" customFormat="false" ht="15" hidden="true" customHeight="false" outlineLevel="1" collapsed="false">
      <c r="A49" s="91" t="s">
        <v>115</v>
      </c>
      <c r="B49" s="91" t="s">
        <v>123</v>
      </c>
      <c r="C49" s="92" t="n">
        <v>46203</v>
      </c>
      <c r="D49" s="91" t="s">
        <v>124</v>
      </c>
      <c r="E49" s="93" t="n">
        <f aca="false">N('CAJAS REEMBOLSO '!J73)</f>
        <v>76.35</v>
      </c>
      <c r="F49" s="93" t="n">
        <f aca="false">N('CAJAS REEMBOLSO '!K73)</f>
        <v>0</v>
      </c>
      <c r="G49" s="93" t="n">
        <f aca="false">'CAJAS REEMBOLSO '!M73</f>
        <v>76.35</v>
      </c>
      <c r="H49" s="91" t="s">
        <v>146</v>
      </c>
      <c r="I49" s="91" t="n">
        <v>65</v>
      </c>
    </row>
    <row r="50" customFormat="false" ht="15" hidden="true" customHeight="false" outlineLevel="1" collapsed="false">
      <c r="A50" s="91" t="s">
        <v>115</v>
      </c>
      <c r="B50" s="91" t="s">
        <v>125</v>
      </c>
      <c r="C50" s="92" t="n">
        <v>46203</v>
      </c>
      <c r="D50" s="91" t="s">
        <v>124</v>
      </c>
      <c r="E50" s="93" t="n">
        <f aca="false">N('CAJAS REEMBOLSO '!J74)</f>
        <v>8.01</v>
      </c>
      <c r="F50" s="93" t="n">
        <f aca="false">N('CAJAS REEMBOLSO '!K74)</f>
        <v>0</v>
      </c>
      <c r="G50" s="93" t="n">
        <f aca="false">'CAJAS REEMBOLSO '!M74</f>
        <v>8.01</v>
      </c>
      <c r="H50" s="91" t="s">
        <v>146</v>
      </c>
      <c r="I50" s="91" t="n">
        <v>66</v>
      </c>
    </row>
    <row r="51" customFormat="false" ht="15" hidden="true" customHeight="false" outlineLevel="1" collapsed="false">
      <c r="A51" s="91" t="s">
        <v>115</v>
      </c>
      <c r="B51" s="91" t="s">
        <v>151</v>
      </c>
      <c r="C51" s="92" t="n">
        <v>46203</v>
      </c>
      <c r="D51" s="91" t="s">
        <v>124</v>
      </c>
      <c r="E51" s="93" t="n">
        <f aca="false">N('CAJAS REEMBOLSO '!J80)</f>
        <v>76.35</v>
      </c>
      <c r="F51" s="93" t="n">
        <f aca="false">N('CAJAS REEMBOLSO '!K80)</f>
        <v>0</v>
      </c>
      <c r="G51" s="93" t="n">
        <f aca="false">'CAJAS REEMBOLSO '!M80</f>
        <v>76.35</v>
      </c>
      <c r="H51" s="91" t="s">
        <v>146</v>
      </c>
      <c r="I51" s="91" t="n">
        <v>72</v>
      </c>
    </row>
    <row r="52" customFormat="false" ht="15" hidden="true" customHeight="false" outlineLevel="1" collapsed="false">
      <c r="A52" s="91" t="s">
        <v>115</v>
      </c>
      <c r="B52" s="91" t="s">
        <v>114</v>
      </c>
      <c r="C52" s="92" t="n">
        <v>46225</v>
      </c>
      <c r="D52" s="91"/>
      <c r="E52" s="93" t="n">
        <f aca="false">N('CAJAS REEMBOLSO '!J68)</f>
        <v>24.65</v>
      </c>
      <c r="F52" s="93" t="n">
        <f aca="false">N('CAJAS REEMBOLSO '!K68)</f>
        <v>2.11</v>
      </c>
      <c r="G52" s="93" t="n">
        <f aca="false">'CAJAS REEMBOLSO '!M68</f>
        <v>26.76</v>
      </c>
      <c r="H52" s="91" t="s">
        <v>146</v>
      </c>
      <c r="I52" s="91" t="n">
        <v>60</v>
      </c>
    </row>
    <row r="53" customFormat="false" ht="15" hidden="true" customHeight="false" outlineLevel="1" collapsed="false">
      <c r="A53" s="91" t="s">
        <v>115</v>
      </c>
      <c r="B53" s="91" t="s">
        <v>151</v>
      </c>
      <c r="C53" s="92" t="n">
        <v>46255</v>
      </c>
      <c r="D53" s="91" t="s">
        <v>124</v>
      </c>
      <c r="E53" s="93" t="n">
        <f aca="false">N('CAJAS REEMBOLSO '!J75)</f>
        <v>65.43</v>
      </c>
      <c r="F53" s="93" t="n">
        <f aca="false">N('CAJAS REEMBOLSO '!K75)</f>
        <v>0</v>
      </c>
      <c r="G53" s="93" t="n">
        <f aca="false">'CAJAS REEMBOLSO '!M75</f>
        <v>65.43</v>
      </c>
      <c r="H53" s="91" t="s">
        <v>146</v>
      </c>
      <c r="I53" s="91" t="n">
        <v>67</v>
      </c>
    </row>
    <row r="54" customFormat="false" ht="15" hidden="true" customHeight="false" outlineLevel="1" collapsed="false">
      <c r="A54" s="91" t="s">
        <v>115</v>
      </c>
      <c r="B54" s="91" t="s">
        <v>151</v>
      </c>
      <c r="C54" s="92" t="n">
        <v>46285</v>
      </c>
      <c r="D54" s="91" t="s">
        <v>124</v>
      </c>
      <c r="E54" s="93" t="n">
        <f aca="false">N('CAJAS REEMBOLSO '!J76)</f>
        <v>88.97</v>
      </c>
      <c r="F54" s="93" t="n">
        <f aca="false">N('CAJAS REEMBOLSO '!K76)</f>
        <v>0</v>
      </c>
      <c r="G54" s="93" t="n">
        <f aca="false">'CAJAS REEMBOLSO '!M76</f>
        <v>88.97</v>
      </c>
      <c r="H54" s="91" t="s">
        <v>146</v>
      </c>
      <c r="I54" s="91" t="n">
        <v>68</v>
      </c>
    </row>
    <row r="55" customFormat="false" ht="15" hidden="false" customHeight="false" outlineLevel="0" collapsed="false">
      <c r="A55" s="88" t="s">
        <v>121</v>
      </c>
      <c r="B55" s="89" t="n">
        <f aca="false">COUNTIFS('CAJAS REEMBOLSO '!$F$9:$F$80,A55)</f>
        <v>1</v>
      </c>
      <c r="C55" s="88"/>
      <c r="D55" s="88"/>
      <c r="E55" s="90" t="n">
        <f aca="false">SUMIFS('CAJAS REEMBOLSO '!$J$9:$J$80,'CAJAS REEMBOLSO '!$F$9:$F$80,$A55)</f>
        <v>25</v>
      </c>
      <c r="F55" s="90" t="n">
        <f aca="false">SUMIFS('CAJAS REEMBOLSO '!$K$9:$K$80,'CAJAS REEMBOLSO '!$F$9:$F$80,$A55)</f>
        <v>0</v>
      </c>
      <c r="G55" s="90" t="n">
        <f aca="false">SUMIFS('CAJAS REEMBOLSO '!$M$9:$M$80,'CAJAS REEMBOLSO '!$F$9:$F$80,$A55)</f>
        <v>25</v>
      </c>
      <c r="H55" s="88" t="s">
        <v>145</v>
      </c>
      <c r="I55" s="88"/>
    </row>
    <row r="56" customFormat="false" ht="15" hidden="true" customHeight="false" outlineLevel="1" collapsed="false">
      <c r="A56" s="91" t="s">
        <v>121</v>
      </c>
      <c r="B56" s="91" t="s">
        <v>120</v>
      </c>
      <c r="C56" s="92" t="n">
        <v>46229</v>
      </c>
      <c r="D56" s="91" t="s">
        <v>122</v>
      </c>
      <c r="E56" s="93" t="n">
        <f aca="false">N('CAJAS REEMBOLSO '!J71)</f>
        <v>25</v>
      </c>
      <c r="F56" s="93" t="n">
        <f aca="false">N('CAJAS REEMBOLSO '!K71)</f>
        <v>0</v>
      </c>
      <c r="G56" s="93" t="n">
        <f aca="false">'CAJAS REEMBOLSO '!M71</f>
        <v>25</v>
      </c>
      <c r="H56" s="91" t="s">
        <v>146</v>
      </c>
      <c r="I56" s="91" t="n">
        <v>63</v>
      </c>
    </row>
    <row r="57" customFormat="false" ht="15" hidden="false" customHeight="false" outlineLevel="0" collapsed="false">
      <c r="A57" s="88" t="s">
        <v>34</v>
      </c>
      <c r="B57" s="89" t="n">
        <f aca="false">COUNTIFS('CAJAS REEMBOLSO '!$F$9:$F$80,A57)</f>
        <v>1</v>
      </c>
      <c r="C57" s="88"/>
      <c r="D57" s="88"/>
      <c r="E57" s="90" t="n">
        <f aca="false">SUMIFS('CAJAS REEMBOLSO '!$J$9:$J$80,'CAJAS REEMBOLSO '!$F$9:$F$80,$A57)</f>
        <v>4.5</v>
      </c>
      <c r="F57" s="90" t="n">
        <f aca="false">SUMIFS('CAJAS REEMBOLSO '!$K$9:$K$80,'CAJAS REEMBOLSO '!$F$9:$F$80,$A57)</f>
        <v>0</v>
      </c>
      <c r="G57" s="90" t="n">
        <f aca="false">SUMIFS('CAJAS REEMBOLSO '!$M$9:$M$80,'CAJAS REEMBOLSO '!$F$9:$F$80,$A57)</f>
        <v>4.5</v>
      </c>
      <c r="H57" s="88" t="s">
        <v>145</v>
      </c>
      <c r="I57" s="88"/>
    </row>
    <row r="58" customFormat="false" ht="15" hidden="true" customHeight="false" outlineLevel="1" collapsed="false">
      <c r="A58" s="91" t="s">
        <v>34</v>
      </c>
      <c r="B58" s="91" t="s">
        <v>33</v>
      </c>
      <c r="C58" s="92" t="n">
        <v>46215</v>
      </c>
      <c r="D58" s="91" t="s">
        <v>35</v>
      </c>
      <c r="E58" s="93" t="n">
        <f aca="false">N('CAJAS REEMBOLSO '!J14)</f>
        <v>4.5</v>
      </c>
      <c r="F58" s="93" t="n">
        <f aca="false">N('CAJAS REEMBOLSO '!K14)</f>
        <v>0</v>
      </c>
      <c r="G58" s="93" t="n">
        <f aca="false">'CAJAS REEMBOLSO '!M14</f>
        <v>4.5</v>
      </c>
      <c r="H58" s="91" t="s">
        <v>146</v>
      </c>
      <c r="I58" s="91" t="n">
        <v>6</v>
      </c>
    </row>
    <row r="59" customFormat="false" ht="15" hidden="false" customHeight="false" outlineLevel="0" collapsed="false">
      <c r="A59" s="88" t="s">
        <v>31</v>
      </c>
      <c r="B59" s="89" t="n">
        <f aca="false">COUNTIFS('CAJAS REEMBOLSO '!$F$9:$F$80,A59)</f>
        <v>2</v>
      </c>
      <c r="C59" s="88"/>
      <c r="D59" s="88"/>
      <c r="E59" s="90" t="n">
        <f aca="false">SUMIFS('CAJAS REEMBOLSO '!$J$9:$J$80,'CAJAS REEMBOLSO '!$F$9:$F$80,$A59)</f>
        <v>40.97</v>
      </c>
      <c r="F59" s="90" t="n">
        <f aca="false">SUMIFS('CAJAS REEMBOLSO '!$K$9:$K$80,'CAJAS REEMBOLSO '!$F$9:$F$80,$A59)</f>
        <v>2.87</v>
      </c>
      <c r="G59" s="90" t="n">
        <f aca="false">SUMIFS('CAJAS REEMBOLSO '!$M$9:$M$80,'CAJAS REEMBOLSO '!$F$9:$F$80,$A59)</f>
        <v>43.84</v>
      </c>
      <c r="H59" s="88" t="s">
        <v>145</v>
      </c>
      <c r="I59" s="88"/>
    </row>
    <row r="60" customFormat="false" ht="15" hidden="true" customHeight="false" outlineLevel="1" collapsed="false">
      <c r="A60" s="91" t="s">
        <v>31</v>
      </c>
      <c r="B60" s="91" t="s">
        <v>29</v>
      </c>
      <c r="C60" s="92" t="n">
        <v>46199</v>
      </c>
      <c r="D60" s="91" t="s">
        <v>32</v>
      </c>
      <c r="E60" s="93" t="n">
        <f aca="false">N('CAJAS REEMBOLSO '!J13)</f>
        <v>28.98</v>
      </c>
      <c r="F60" s="93" t="n">
        <f aca="false">N('CAJAS REEMBOLSO '!K13)</f>
        <v>2.03</v>
      </c>
      <c r="G60" s="93" t="n">
        <f aca="false">'CAJAS REEMBOLSO '!M13</f>
        <v>31.01</v>
      </c>
      <c r="H60" s="91" t="s">
        <v>146</v>
      </c>
      <c r="I60" s="91" t="n">
        <v>5</v>
      </c>
    </row>
    <row r="61" customFormat="false" ht="15" hidden="true" customHeight="false" outlineLevel="1" collapsed="false">
      <c r="A61" s="91" t="s">
        <v>31</v>
      </c>
      <c r="B61" s="91" t="s">
        <v>96</v>
      </c>
      <c r="C61" s="92" t="n">
        <v>46199</v>
      </c>
      <c r="D61" s="91" t="s">
        <v>17</v>
      </c>
      <c r="E61" s="93" t="n">
        <f aca="false">N('CAJAS REEMBOLSO '!J55)</f>
        <v>11.99</v>
      </c>
      <c r="F61" s="93" t="n">
        <f aca="false">N('CAJAS REEMBOLSO '!K55)</f>
        <v>0.84</v>
      </c>
      <c r="G61" s="93" t="n">
        <f aca="false">'CAJAS REEMBOLSO '!M55</f>
        <v>12.83</v>
      </c>
      <c r="H61" s="91" t="s">
        <v>146</v>
      </c>
      <c r="I61" s="91" t="n">
        <v>47</v>
      </c>
    </row>
    <row r="62" customFormat="false" ht="15" hidden="false" customHeight="false" outlineLevel="0" collapsed="false">
      <c r="A62" s="88" t="s">
        <v>126</v>
      </c>
      <c r="B62" s="89" t="n">
        <f aca="false">COUNTIFS('CAJAS REEMBOLSO '!$F$9:$F$80,A62)</f>
        <v>3</v>
      </c>
      <c r="C62" s="88"/>
      <c r="D62" s="88"/>
      <c r="E62" s="90" t="n">
        <f aca="false">SUMIFS('CAJAS REEMBOLSO '!$J$9:$J$80,'CAJAS REEMBOLSO '!$F$9:$F$80,$A62)</f>
        <v>123.15</v>
      </c>
      <c r="F62" s="90" t="n">
        <f aca="false">SUMIFS('CAJAS REEMBOLSO '!$K$9:$K$80,'CAJAS REEMBOLSO '!$F$9:$F$80,$A62)</f>
        <v>0</v>
      </c>
      <c r="G62" s="90" t="n">
        <f aca="false">SUMIFS('CAJAS REEMBOLSO '!$M$9:$M$80,'CAJAS REEMBOLSO '!$F$9:$F$80,$A62)</f>
        <v>123.15</v>
      </c>
      <c r="H62" s="88" t="s">
        <v>145</v>
      </c>
      <c r="I62" s="88"/>
    </row>
    <row r="63" customFormat="false" ht="15" hidden="true" customHeight="false" outlineLevel="1" collapsed="false">
      <c r="A63" s="91" t="s">
        <v>126</v>
      </c>
      <c r="B63" s="91" t="s">
        <v>151</v>
      </c>
      <c r="C63" s="92" t="n">
        <v>46200</v>
      </c>
      <c r="D63" s="91" t="s">
        <v>127</v>
      </c>
      <c r="E63" s="93" t="n">
        <f aca="false">N('CAJAS REEMBOLSO '!J77)</f>
        <v>41.05</v>
      </c>
      <c r="F63" s="93" t="n">
        <f aca="false">N('CAJAS REEMBOLSO '!K77)</f>
        <v>0</v>
      </c>
      <c r="G63" s="93" t="n">
        <f aca="false">'CAJAS REEMBOLSO '!M77</f>
        <v>41.05</v>
      </c>
      <c r="H63" s="91" t="s">
        <v>146</v>
      </c>
      <c r="I63" s="91" t="n">
        <v>69</v>
      </c>
    </row>
    <row r="64" customFormat="false" ht="15" hidden="true" customHeight="false" outlineLevel="1" collapsed="false">
      <c r="A64" s="91" t="s">
        <v>126</v>
      </c>
      <c r="B64" s="91" t="s">
        <v>151</v>
      </c>
      <c r="C64" s="92" t="n">
        <v>46262</v>
      </c>
      <c r="D64" s="91" t="s">
        <v>129</v>
      </c>
      <c r="E64" s="93" t="n">
        <f aca="false">N('CAJAS REEMBOLSO '!J79)</f>
        <v>41.05</v>
      </c>
      <c r="F64" s="93" t="n">
        <f aca="false">N('CAJAS REEMBOLSO '!K79)</f>
        <v>0</v>
      </c>
      <c r="G64" s="93" t="n">
        <f aca="false">'CAJAS REEMBOLSO '!M79</f>
        <v>41.05</v>
      </c>
      <c r="H64" s="91" t="s">
        <v>146</v>
      </c>
      <c r="I64" s="91" t="n">
        <v>71</v>
      </c>
    </row>
    <row r="65" customFormat="false" ht="15" hidden="true" customHeight="false" outlineLevel="1" collapsed="false">
      <c r="A65" s="91" t="s">
        <v>126</v>
      </c>
      <c r="B65" s="91" t="s">
        <v>151</v>
      </c>
      <c r="C65" s="92" t="n">
        <v>46292</v>
      </c>
      <c r="D65" s="91" t="s">
        <v>128</v>
      </c>
      <c r="E65" s="93" t="n">
        <f aca="false">N('CAJAS REEMBOLSO '!J78)</f>
        <v>41.05</v>
      </c>
      <c r="F65" s="93" t="n">
        <f aca="false">N('CAJAS REEMBOLSO '!K78)</f>
        <v>0</v>
      </c>
      <c r="G65" s="93" t="n">
        <f aca="false">'CAJAS REEMBOLSO '!M78</f>
        <v>41.05</v>
      </c>
      <c r="H65" s="91" t="s">
        <v>146</v>
      </c>
      <c r="I65" s="91" t="n">
        <v>70</v>
      </c>
    </row>
    <row r="66" customFormat="false" ht="15" hidden="false" customHeight="false" outlineLevel="0" collapsed="false">
      <c r="A66" s="88" t="s">
        <v>16</v>
      </c>
      <c r="B66" s="89" t="n">
        <f aca="false">COUNTIFS('CAJAS REEMBOLSO '!$F$9:$F$80,A66)</f>
        <v>2</v>
      </c>
      <c r="C66" s="88"/>
      <c r="D66" s="88"/>
      <c r="E66" s="90" t="n">
        <f aca="false">SUMIFS('CAJAS REEMBOLSO '!$J$9:$J$80,'CAJAS REEMBOLSO '!$F$9:$F$80,$A66)</f>
        <v>33.3</v>
      </c>
      <c r="F66" s="90" t="n">
        <f aca="false">SUMIFS('CAJAS REEMBOLSO '!$K$9:$K$80,'CAJAS REEMBOLSO '!$F$9:$F$80,$A66)</f>
        <v>2.34</v>
      </c>
      <c r="G66" s="90" t="n">
        <f aca="false">SUMIFS('CAJAS REEMBOLSO '!$M$9:$M$80,'CAJAS REEMBOLSO '!$F$9:$F$80,$A66)</f>
        <v>35.64</v>
      </c>
      <c r="H66" s="88" t="s">
        <v>145</v>
      </c>
      <c r="I66" s="88"/>
    </row>
    <row r="67" customFormat="false" ht="15" hidden="true" customHeight="false" outlineLevel="1" collapsed="false">
      <c r="A67" s="91" t="s">
        <v>16</v>
      </c>
      <c r="B67" s="91" t="s">
        <v>14</v>
      </c>
      <c r="C67" s="92" t="n">
        <v>46051</v>
      </c>
      <c r="D67" s="91" t="s">
        <v>17</v>
      </c>
      <c r="E67" s="93" t="n">
        <f aca="false">N('CAJAS REEMBOLSO '!J9)</f>
        <v>22.8</v>
      </c>
      <c r="F67" s="93" t="n">
        <f aca="false">N('CAJAS REEMBOLSO '!K9)</f>
        <v>1.6</v>
      </c>
      <c r="G67" s="93" t="n">
        <f aca="false">'CAJAS REEMBOLSO '!M9</f>
        <v>24.4</v>
      </c>
      <c r="H67" s="91" t="s">
        <v>146</v>
      </c>
      <c r="I67" s="91" t="n">
        <v>1</v>
      </c>
    </row>
    <row r="68" customFormat="false" ht="15" hidden="true" customHeight="false" outlineLevel="1" collapsed="false">
      <c r="A68" s="91" t="s">
        <v>16</v>
      </c>
      <c r="B68" s="91" t="s">
        <v>101</v>
      </c>
      <c r="C68" s="92" t="n">
        <v>46226</v>
      </c>
      <c r="D68" s="91" t="s">
        <v>17</v>
      </c>
      <c r="E68" s="93" t="n">
        <f aca="false">N('CAJAS REEMBOLSO '!J59)</f>
        <v>10.5</v>
      </c>
      <c r="F68" s="93" t="n">
        <f aca="false">N('CAJAS REEMBOLSO '!K59)</f>
        <v>0.74</v>
      </c>
      <c r="G68" s="93" t="n">
        <f aca="false">'CAJAS REEMBOLSO '!M59</f>
        <v>11.24</v>
      </c>
      <c r="H68" s="91" t="s">
        <v>146</v>
      </c>
      <c r="I68" s="91" t="n">
        <v>51</v>
      </c>
    </row>
    <row r="69" customFormat="false" ht="15" hidden="false" customHeight="false" outlineLevel="0" collapsed="false">
      <c r="A69" s="88" t="s">
        <v>74</v>
      </c>
      <c r="B69" s="89" t="n">
        <f aca="false">COUNTIFS('CAJAS REEMBOLSO '!$F$9:$F$80,A69)</f>
        <v>2</v>
      </c>
      <c r="C69" s="88"/>
      <c r="D69" s="88"/>
      <c r="E69" s="90" t="n">
        <f aca="false">SUMIFS('CAJAS REEMBOLSO '!$J$9:$J$80,'CAJAS REEMBOLSO '!$F$9:$F$80,$A69)</f>
        <v>15.08</v>
      </c>
      <c r="F69" s="90" t="n">
        <f aca="false">SUMIFS('CAJAS REEMBOLSO '!$K$9:$K$80,'CAJAS REEMBOLSO '!$F$9:$F$80,$A69)</f>
        <v>1.06</v>
      </c>
      <c r="G69" s="90" t="n">
        <f aca="false">SUMIFS('CAJAS REEMBOLSO '!$M$9:$M$80,'CAJAS REEMBOLSO '!$F$9:$F$80,$A69)</f>
        <v>16.14</v>
      </c>
      <c r="H69" s="88" t="s">
        <v>145</v>
      </c>
      <c r="I69" s="88"/>
    </row>
    <row r="70" customFormat="false" ht="15" hidden="true" customHeight="false" outlineLevel="1" collapsed="false">
      <c r="A70" s="91" t="s">
        <v>74</v>
      </c>
      <c r="B70" s="91" t="s">
        <v>73</v>
      </c>
      <c r="C70" s="92" t="n">
        <v>46208</v>
      </c>
      <c r="D70" s="91" t="s">
        <v>17</v>
      </c>
      <c r="E70" s="93" t="n">
        <f aca="false">N('CAJAS REEMBOLSO '!J35)</f>
        <v>10.29</v>
      </c>
      <c r="F70" s="93" t="n">
        <f aca="false">N('CAJAS REEMBOLSO '!K35)</f>
        <v>0.72</v>
      </c>
      <c r="G70" s="93" t="n">
        <f aca="false">'CAJAS REEMBOLSO '!M35</f>
        <v>11.01</v>
      </c>
      <c r="H70" s="91" t="s">
        <v>146</v>
      </c>
      <c r="I70" s="91" t="n">
        <v>27</v>
      </c>
    </row>
    <row r="71" customFormat="false" ht="15" hidden="true" customHeight="false" outlineLevel="1" collapsed="false">
      <c r="A71" s="91" t="s">
        <v>74</v>
      </c>
      <c r="B71" s="91" t="s">
        <v>75</v>
      </c>
      <c r="C71" s="92" t="n">
        <v>46208</v>
      </c>
      <c r="D71" s="91" t="s">
        <v>17</v>
      </c>
      <c r="E71" s="93" t="n">
        <f aca="false">N('CAJAS REEMBOLSO '!J36)</f>
        <v>4.79</v>
      </c>
      <c r="F71" s="93" t="n">
        <f aca="false">N('CAJAS REEMBOLSO '!K36)</f>
        <v>0.34</v>
      </c>
      <c r="G71" s="93" t="n">
        <f aca="false">'CAJAS REEMBOLSO '!M36</f>
        <v>5.13</v>
      </c>
      <c r="H71" s="91" t="s">
        <v>146</v>
      </c>
      <c r="I71" s="91" t="n">
        <v>28</v>
      </c>
    </row>
    <row r="72" customFormat="false" ht="15" hidden="false" customHeight="false" outlineLevel="0" collapsed="false">
      <c r="A72" s="88" t="s">
        <v>40</v>
      </c>
      <c r="B72" s="89" t="n">
        <f aca="false">COUNTIFS('CAJAS REEMBOLSO '!$F$9:$F$80,A72)</f>
        <v>3</v>
      </c>
      <c r="C72" s="88"/>
      <c r="D72" s="88"/>
      <c r="E72" s="90" t="n">
        <f aca="false">SUMIFS('CAJAS REEMBOLSO '!$J$9:$J$80,'CAJAS REEMBOLSO '!$F$9:$F$80,$A72)</f>
        <v>25.07</v>
      </c>
      <c r="F72" s="90" t="n">
        <f aca="false">SUMIFS('CAJAS REEMBOLSO '!$K$9:$K$80,'CAJAS REEMBOLSO '!$F$9:$F$80,$A72)</f>
        <v>1.2</v>
      </c>
      <c r="G72" s="90" t="n">
        <f aca="false">SUMIFS('CAJAS REEMBOLSO '!$M$9:$M$80,'CAJAS REEMBOLSO '!$F$9:$F$80,$A72)</f>
        <v>26.27</v>
      </c>
      <c r="H72" s="88" t="s">
        <v>145</v>
      </c>
      <c r="I72" s="88"/>
    </row>
    <row r="73" customFormat="false" ht="15" hidden="true" customHeight="false" outlineLevel="1" collapsed="false">
      <c r="A73" s="91" t="s">
        <v>40</v>
      </c>
      <c r="B73" s="91" t="s">
        <v>103</v>
      </c>
      <c r="C73" s="92" t="n">
        <v>46222</v>
      </c>
      <c r="D73" s="91" t="s">
        <v>38</v>
      </c>
      <c r="E73" s="93" t="n">
        <f aca="false">N('CAJAS REEMBOLSO '!J61)</f>
        <v>7.98</v>
      </c>
      <c r="F73" s="93" t="n">
        <f aca="false">N('CAJAS REEMBOLSO '!K61)</f>
        <v>0</v>
      </c>
      <c r="G73" s="93" t="n">
        <f aca="false">'CAJAS REEMBOLSO '!M61</f>
        <v>7.98</v>
      </c>
      <c r="H73" s="91" t="s">
        <v>146</v>
      </c>
      <c r="I73" s="91" t="n">
        <v>53</v>
      </c>
    </row>
    <row r="74" customFormat="false" ht="15" hidden="true" customHeight="false" outlineLevel="1" collapsed="false">
      <c r="A74" s="91" t="s">
        <v>40</v>
      </c>
      <c r="B74" s="91" t="s">
        <v>102</v>
      </c>
      <c r="C74" s="92" t="n">
        <v>46225</v>
      </c>
      <c r="D74" s="91" t="s">
        <v>17</v>
      </c>
      <c r="E74" s="93" t="n">
        <f aca="false">N('CAJAS REEMBOLSO '!J60)</f>
        <v>9.81</v>
      </c>
      <c r="F74" s="93" t="n">
        <f aca="false">N('CAJAS REEMBOLSO '!K60)</f>
        <v>0.69</v>
      </c>
      <c r="G74" s="93" t="n">
        <f aca="false">'CAJAS REEMBOLSO '!M60</f>
        <v>10.5</v>
      </c>
      <c r="H74" s="91" t="s">
        <v>146</v>
      </c>
      <c r="I74" s="91" t="n">
        <v>52</v>
      </c>
    </row>
    <row r="75" customFormat="false" ht="15" hidden="true" customHeight="false" outlineLevel="1" collapsed="false">
      <c r="A75" s="91" t="s">
        <v>40</v>
      </c>
      <c r="B75" s="91" t="s">
        <v>39</v>
      </c>
      <c r="C75" s="92" t="n">
        <v>46230</v>
      </c>
      <c r="D75" s="91" t="s">
        <v>38</v>
      </c>
      <c r="E75" s="93" t="n">
        <f aca="false">N('CAJAS REEMBOLSO '!J16)</f>
        <v>7.28</v>
      </c>
      <c r="F75" s="93" t="n">
        <f aca="false">N('CAJAS REEMBOLSO '!K16)</f>
        <v>0.51</v>
      </c>
      <c r="G75" s="93" t="n">
        <f aca="false">'CAJAS REEMBOLSO '!M16</f>
        <v>7.79</v>
      </c>
      <c r="H75" s="91" t="s">
        <v>146</v>
      </c>
      <c r="I75" s="91" t="n">
        <v>8</v>
      </c>
    </row>
    <row r="76" customFormat="false" ht="15" hidden="false" customHeight="false" outlineLevel="0" collapsed="false">
      <c r="A76" s="88" t="s">
        <v>84</v>
      </c>
      <c r="B76" s="89" t="n">
        <f aca="false">COUNTIFS('CAJAS REEMBOLSO '!$F$9:$F$80,A76)</f>
        <v>1</v>
      </c>
      <c r="C76" s="88"/>
      <c r="D76" s="88"/>
      <c r="E76" s="90" t="n">
        <f aca="false">SUMIFS('CAJAS REEMBOLSO '!$J$9:$J$80,'CAJAS REEMBOLSO '!$F$9:$F$80,$A76)</f>
        <v>4.734</v>
      </c>
      <c r="F76" s="90" t="n">
        <f aca="false">SUMIFS('CAJAS REEMBOLSO '!$K$9:$K$80,'CAJAS REEMBOLSO '!$F$9:$F$80,$A76)</f>
        <v>0.2</v>
      </c>
      <c r="G76" s="90" t="n">
        <f aca="false">SUMIFS('CAJAS REEMBOLSO '!$M$9:$M$80,'CAJAS REEMBOLSO '!$F$9:$F$80,$A76)</f>
        <v>4.934</v>
      </c>
      <c r="H76" s="88" t="s">
        <v>145</v>
      </c>
      <c r="I76" s="88"/>
    </row>
    <row r="77" customFormat="false" ht="15" hidden="true" customHeight="false" outlineLevel="1" collapsed="false">
      <c r="A77" s="91" t="s">
        <v>84</v>
      </c>
      <c r="B77" s="91" t="s">
        <v>83</v>
      </c>
      <c r="C77" s="92" t="n">
        <v>46197</v>
      </c>
      <c r="D77" s="91" t="s">
        <v>38</v>
      </c>
      <c r="E77" s="93" t="n">
        <f aca="false">N('CAJAS REEMBOLSO '!J42)</f>
        <v>4.734</v>
      </c>
      <c r="F77" s="93" t="n">
        <f aca="false">N('CAJAS REEMBOLSO '!K42)</f>
        <v>0.2</v>
      </c>
      <c r="G77" s="93" t="n">
        <f aca="false">'CAJAS REEMBOLSO '!M42</f>
        <v>4.934</v>
      </c>
      <c r="H77" s="91" t="s">
        <v>146</v>
      </c>
      <c r="I77" s="91" t="n">
        <v>34</v>
      </c>
    </row>
    <row r="78" customFormat="false" ht="15" hidden="false" customHeight="false" outlineLevel="0" collapsed="false">
      <c r="A78" s="88" t="s">
        <v>42</v>
      </c>
      <c r="B78" s="89" t="n">
        <f aca="false">COUNTIFS('CAJAS REEMBOLSO '!$F$9:$F$80,A78)</f>
        <v>1</v>
      </c>
      <c r="C78" s="88"/>
      <c r="D78" s="88"/>
      <c r="E78" s="90" t="n">
        <f aca="false">SUMIFS('CAJAS REEMBOLSO '!$J$9:$J$80,'CAJAS REEMBOLSO '!$F$9:$F$80,$A78)</f>
        <v>9.68</v>
      </c>
      <c r="F78" s="90" t="n">
        <f aca="false">SUMIFS('CAJAS REEMBOLSO '!$K$9:$K$80,'CAJAS REEMBOLSO '!$F$9:$F$80,$A78)</f>
        <v>0.68</v>
      </c>
      <c r="G78" s="90" t="n">
        <f aca="false">SUMIFS('CAJAS REEMBOLSO '!$M$9:$M$80,'CAJAS REEMBOLSO '!$F$9:$F$80,$A78)</f>
        <v>10.36</v>
      </c>
      <c r="H78" s="88" t="s">
        <v>145</v>
      </c>
      <c r="I78" s="88"/>
    </row>
    <row r="79" customFormat="false" ht="15" hidden="true" customHeight="false" outlineLevel="1" collapsed="false">
      <c r="A79" s="91" t="s">
        <v>42</v>
      </c>
      <c r="B79" s="91" t="s">
        <v>41</v>
      </c>
      <c r="C79" s="92" t="n">
        <v>46233</v>
      </c>
      <c r="D79" s="91" t="s">
        <v>17</v>
      </c>
      <c r="E79" s="93" t="n">
        <f aca="false">N('CAJAS REEMBOLSO '!J17)</f>
        <v>9.68</v>
      </c>
      <c r="F79" s="93" t="n">
        <f aca="false">N('CAJAS REEMBOLSO '!K17)</f>
        <v>0.68</v>
      </c>
      <c r="G79" s="93" t="n">
        <f aca="false">'CAJAS REEMBOLSO '!M17</f>
        <v>10.36</v>
      </c>
      <c r="H79" s="91" t="s">
        <v>146</v>
      </c>
      <c r="I79" s="91" t="n">
        <v>9</v>
      </c>
    </row>
    <row r="80" customFormat="false" ht="15" hidden="false" customHeight="false" outlineLevel="0" collapsed="false">
      <c r="A80" s="88" t="s">
        <v>61</v>
      </c>
      <c r="B80" s="89" t="n">
        <f aca="false">COUNTIFS('CAJAS REEMBOLSO '!$F$9:$F$80,A80)</f>
        <v>1</v>
      </c>
      <c r="C80" s="88"/>
      <c r="D80" s="88"/>
      <c r="E80" s="90" t="n">
        <f aca="false">SUMIFS('CAJAS REEMBOLSO '!$J$9:$J$80,'CAJAS REEMBOLSO '!$F$9:$F$80,$A80)</f>
        <v>34.96</v>
      </c>
      <c r="F80" s="90" t="n">
        <f aca="false">SUMIFS('CAJAS REEMBOLSO '!$K$9:$K$80,'CAJAS REEMBOLSO '!$F$9:$F$80,$A80)</f>
        <v>2.17</v>
      </c>
      <c r="G80" s="90" t="n">
        <f aca="false">SUMIFS('CAJAS REEMBOLSO '!$M$9:$M$80,'CAJAS REEMBOLSO '!$F$9:$F$80,$A80)</f>
        <v>37.13</v>
      </c>
      <c r="H80" s="88" t="s">
        <v>145</v>
      </c>
      <c r="I80" s="88"/>
    </row>
    <row r="81" customFormat="false" ht="15" hidden="true" customHeight="false" outlineLevel="1" collapsed="false">
      <c r="A81" s="91" t="s">
        <v>61</v>
      </c>
      <c r="B81" s="91" t="s">
        <v>60</v>
      </c>
      <c r="C81" s="92" t="n">
        <v>46200</v>
      </c>
      <c r="D81" s="91" t="s">
        <v>38</v>
      </c>
      <c r="E81" s="93" t="n">
        <f aca="false">N('CAJAS REEMBOLSO '!J27)</f>
        <v>34.96</v>
      </c>
      <c r="F81" s="93" t="n">
        <f aca="false">N('CAJAS REEMBOLSO '!K27)</f>
        <v>2.17</v>
      </c>
      <c r="G81" s="93" t="n">
        <f aca="false">'CAJAS REEMBOLSO '!M27</f>
        <v>37.13</v>
      </c>
      <c r="H81" s="91" t="s">
        <v>146</v>
      </c>
      <c r="I81" s="91" t="n">
        <v>19</v>
      </c>
    </row>
    <row r="82" customFormat="false" ht="15" hidden="false" customHeight="false" outlineLevel="0" collapsed="false">
      <c r="A82" s="88" t="s">
        <v>24</v>
      </c>
      <c r="B82" s="89" t="n">
        <f aca="false">COUNTIFS('CAJAS REEMBOLSO '!$F$9:$F$80,A82)</f>
        <v>5</v>
      </c>
      <c r="C82" s="88"/>
      <c r="D82" s="88"/>
      <c r="E82" s="90" t="n">
        <f aca="false">SUMIFS('CAJAS REEMBOLSO '!$J$9:$J$80,'CAJAS REEMBOLSO '!$F$9:$F$80,$A82)</f>
        <v>522.52</v>
      </c>
      <c r="F82" s="90" t="n">
        <f aca="false">SUMIFS('CAJAS REEMBOLSO '!$K$9:$K$80,'CAJAS REEMBOLSO '!$F$9:$F$80,$A82)</f>
        <v>35.54</v>
      </c>
      <c r="G82" s="90" t="n">
        <f aca="false">SUMIFS('CAJAS REEMBOLSO '!$M$9:$M$80,'CAJAS REEMBOLSO '!$F$9:$F$80,$A82)</f>
        <v>558.06</v>
      </c>
      <c r="H82" s="88" t="s">
        <v>145</v>
      </c>
      <c r="I82" s="88"/>
    </row>
    <row r="83" customFormat="false" ht="15" hidden="true" customHeight="false" outlineLevel="1" collapsed="false">
      <c r="A83" s="91" t="s">
        <v>24</v>
      </c>
      <c r="B83" s="91" t="s">
        <v>152</v>
      </c>
      <c r="C83" s="92" t="n">
        <v>46211</v>
      </c>
      <c r="D83" s="91" t="s">
        <v>28</v>
      </c>
      <c r="E83" s="93" t="n">
        <f aca="false">N('CAJAS REEMBOLSO '!J12)</f>
        <v>249.36</v>
      </c>
      <c r="F83" s="93" t="n">
        <f aca="false">N('CAJAS REEMBOLSO '!K12)</f>
        <v>17.46</v>
      </c>
      <c r="G83" s="93" t="n">
        <f aca="false">'CAJAS REEMBOLSO '!M12</f>
        <v>266.82</v>
      </c>
      <c r="H83" s="91" t="s">
        <v>146</v>
      </c>
      <c r="I83" s="91" t="n">
        <v>4</v>
      </c>
    </row>
    <row r="84" customFormat="false" ht="15" hidden="true" customHeight="false" outlineLevel="1" collapsed="false">
      <c r="A84" s="91" t="s">
        <v>24</v>
      </c>
      <c r="B84" s="91" t="s">
        <v>78</v>
      </c>
      <c r="C84" s="92" t="n">
        <v>46212</v>
      </c>
      <c r="D84" s="91" t="s">
        <v>79</v>
      </c>
      <c r="E84" s="93" t="n">
        <f aca="false">N('CAJAS REEMBOLSO '!J39)</f>
        <v>38.2</v>
      </c>
      <c r="F84" s="93" t="n">
        <f aca="false">N('CAJAS REEMBOLSO '!K39)</f>
        <v>2.67</v>
      </c>
      <c r="G84" s="93" t="n">
        <f aca="false">'CAJAS REEMBOLSO '!M39</f>
        <v>40.87</v>
      </c>
      <c r="H84" s="91" t="s">
        <v>146</v>
      </c>
      <c r="I84" s="91" t="n">
        <v>31</v>
      </c>
    </row>
    <row r="85" customFormat="false" ht="15" hidden="true" customHeight="false" outlineLevel="1" collapsed="false">
      <c r="A85" s="91" t="s">
        <v>24</v>
      </c>
      <c r="B85" s="91" t="s">
        <v>68</v>
      </c>
      <c r="C85" s="92" t="n">
        <v>46213</v>
      </c>
      <c r="D85" s="91" t="s">
        <v>69</v>
      </c>
      <c r="E85" s="93" t="n">
        <f aca="false">N('CAJAS REEMBOLSO '!J32)</f>
        <v>31.8</v>
      </c>
      <c r="F85" s="93" t="n">
        <f aca="false">N('CAJAS REEMBOLSO '!K32)</f>
        <v>2.23</v>
      </c>
      <c r="G85" s="93" t="n">
        <f aca="false">'CAJAS REEMBOLSO '!M32</f>
        <v>34.03</v>
      </c>
      <c r="H85" s="91" t="s">
        <v>146</v>
      </c>
      <c r="I85" s="91" t="n">
        <v>24</v>
      </c>
    </row>
    <row r="86" customFormat="false" ht="15" hidden="true" customHeight="false" outlineLevel="1" collapsed="false">
      <c r="A86" s="91" t="s">
        <v>24</v>
      </c>
      <c r="B86" s="91" t="s">
        <v>70</v>
      </c>
      <c r="C86" s="92" t="n">
        <v>46213</v>
      </c>
      <c r="D86" s="91" t="s">
        <v>71</v>
      </c>
      <c r="E86" s="93" t="n">
        <f aca="false">N('CAJAS REEMBOLSO '!J33)</f>
        <v>40.32</v>
      </c>
      <c r="F86" s="93" t="n">
        <f aca="false">N('CAJAS REEMBOLSO '!K33)</f>
        <v>2.82</v>
      </c>
      <c r="G86" s="93" t="n">
        <f aca="false">'CAJAS REEMBOLSO '!M33</f>
        <v>43.14</v>
      </c>
      <c r="H86" s="91" t="s">
        <v>146</v>
      </c>
      <c r="I86" s="91" t="n">
        <v>25</v>
      </c>
    </row>
    <row r="87" customFormat="false" ht="15" hidden="true" customHeight="false" outlineLevel="1" collapsed="false">
      <c r="A87" s="91" t="s">
        <v>24</v>
      </c>
      <c r="B87" s="91" t="s">
        <v>22</v>
      </c>
      <c r="C87" s="92" t="n">
        <v>46220</v>
      </c>
      <c r="D87" s="91" t="s">
        <v>25</v>
      </c>
      <c r="E87" s="93" t="n">
        <f aca="false">N('CAJAS REEMBOLSO '!J11)</f>
        <v>162.84</v>
      </c>
      <c r="F87" s="93" t="n">
        <f aca="false">N('CAJAS REEMBOLSO '!K11)</f>
        <v>10.36</v>
      </c>
      <c r="G87" s="93" t="n">
        <f aca="false">'CAJAS REEMBOLSO '!M11</f>
        <v>173.2</v>
      </c>
      <c r="H87" s="91" t="s">
        <v>146</v>
      </c>
      <c r="I87" s="91" t="n">
        <v>3</v>
      </c>
    </row>
    <row r="88" customFormat="false" ht="15" hidden="false" customHeight="false" outlineLevel="0" collapsed="false">
      <c r="A88" s="88" t="s">
        <v>100</v>
      </c>
      <c r="B88" s="89" t="n">
        <f aca="false">COUNTIFS('CAJAS REEMBOLSO '!$F$9:$F$80,A88)</f>
        <v>1</v>
      </c>
      <c r="C88" s="88"/>
      <c r="D88" s="88"/>
      <c r="E88" s="90" t="n">
        <f aca="false">SUMIFS('CAJAS REEMBOLSO '!$J$9:$J$80,'CAJAS REEMBOLSO '!$F$9:$F$80,$A88)</f>
        <v>19.08</v>
      </c>
      <c r="F88" s="90" t="n">
        <f aca="false">SUMIFS('CAJAS REEMBOLSO '!$K$9:$K$80,'CAJAS REEMBOLSO '!$F$9:$F$80,$A88)</f>
        <v>1.34</v>
      </c>
      <c r="G88" s="90" t="n">
        <f aca="false">SUMIFS('CAJAS REEMBOLSO '!$M$9:$M$80,'CAJAS REEMBOLSO '!$F$9:$F$80,$A88)</f>
        <v>20.42</v>
      </c>
      <c r="H88" s="88" t="s">
        <v>145</v>
      </c>
      <c r="I88" s="88"/>
    </row>
    <row r="89" customFormat="false" ht="15" hidden="true" customHeight="false" outlineLevel="1" collapsed="false">
      <c r="A89" s="91" t="s">
        <v>100</v>
      </c>
      <c r="B89" s="91" t="s">
        <v>99</v>
      </c>
      <c r="C89" s="92" t="n">
        <v>46220</v>
      </c>
      <c r="D89" s="91" t="s">
        <v>17</v>
      </c>
      <c r="E89" s="93" t="n">
        <f aca="false">N('CAJAS REEMBOLSO '!J58)</f>
        <v>19.08</v>
      </c>
      <c r="F89" s="93" t="n">
        <f aca="false">N('CAJAS REEMBOLSO '!K58)</f>
        <v>1.34</v>
      </c>
      <c r="G89" s="93" t="n">
        <f aca="false">'CAJAS REEMBOLSO '!M58</f>
        <v>20.42</v>
      </c>
      <c r="H89" s="91" t="s">
        <v>146</v>
      </c>
      <c r="I89" s="91" t="n">
        <v>50</v>
      </c>
    </row>
    <row r="90" customFormat="false" ht="15" hidden="false" customHeight="false" outlineLevel="0" collapsed="false">
      <c r="A90" s="88" t="s">
        <v>49</v>
      </c>
      <c r="B90" s="89" t="n">
        <f aca="false">COUNTIFS('CAJAS REEMBOLSO '!$F$9:$F$80,A90)</f>
        <v>2</v>
      </c>
      <c r="C90" s="88"/>
      <c r="D90" s="88"/>
      <c r="E90" s="90" t="n">
        <f aca="false">SUMIFS('CAJAS REEMBOLSO '!$J$9:$J$80,'CAJAS REEMBOLSO '!$F$9:$F$80,$A90)</f>
        <v>23.93</v>
      </c>
      <c r="F90" s="90" t="n">
        <f aca="false">SUMIFS('CAJAS REEMBOLSO '!$K$9:$K$80,'CAJAS REEMBOLSO '!$F$9:$F$80,$A90)</f>
        <v>0</v>
      </c>
      <c r="G90" s="90" t="n">
        <f aca="false">SUMIFS('CAJAS REEMBOLSO '!$M$9:$M$80,'CAJAS REEMBOLSO '!$F$9:$F$80,$A90)</f>
        <v>23.93</v>
      </c>
      <c r="H90" s="88" t="s">
        <v>145</v>
      </c>
      <c r="I90" s="88"/>
    </row>
    <row r="91" customFormat="false" ht="15" hidden="true" customHeight="false" outlineLevel="1" collapsed="false">
      <c r="A91" s="91" t="s">
        <v>49</v>
      </c>
      <c r="B91" s="91" t="s">
        <v>48</v>
      </c>
      <c r="C91" s="92" t="n">
        <v>46221</v>
      </c>
      <c r="D91" s="91" t="s">
        <v>38</v>
      </c>
      <c r="E91" s="93" t="n">
        <f aca="false">N('CAJAS REEMBOLSO '!J20)</f>
        <v>12.27</v>
      </c>
      <c r="F91" s="93" t="n">
        <f aca="false">N('CAJAS REEMBOLSO '!K20)</f>
        <v>0</v>
      </c>
      <c r="G91" s="93" t="n">
        <f aca="false">'CAJAS REEMBOLSO '!M20</f>
        <v>12.27</v>
      </c>
      <c r="H91" s="91" t="s">
        <v>146</v>
      </c>
      <c r="I91" s="91" t="n">
        <v>12</v>
      </c>
    </row>
    <row r="92" customFormat="false" ht="15" hidden="true" customHeight="false" outlineLevel="1" collapsed="false">
      <c r="A92" s="91" t="s">
        <v>49</v>
      </c>
      <c r="B92" s="91" t="s">
        <v>106</v>
      </c>
      <c r="C92" s="92" t="n">
        <v>46224</v>
      </c>
      <c r="D92" s="91" t="s">
        <v>38</v>
      </c>
      <c r="E92" s="93" t="n">
        <f aca="false">N('CAJAS REEMBOLSO '!J64)</f>
        <v>11.66</v>
      </c>
      <c r="F92" s="93" t="n">
        <f aca="false">N('CAJAS REEMBOLSO '!K64)</f>
        <v>0</v>
      </c>
      <c r="G92" s="93" t="n">
        <f aca="false">'CAJAS REEMBOLSO '!M64</f>
        <v>11.66</v>
      </c>
      <c r="H92" s="91" t="s">
        <v>146</v>
      </c>
      <c r="I92" s="91" t="n">
        <v>56</v>
      </c>
    </row>
    <row r="93" customFormat="false" ht="15" hidden="false" customHeight="false" outlineLevel="0" collapsed="false">
      <c r="A93" s="88" t="s">
        <v>113</v>
      </c>
      <c r="B93" s="89" t="n">
        <f aca="false">COUNTIFS('CAJAS REEMBOLSO '!$F$9:$F$80,A93)</f>
        <v>1</v>
      </c>
      <c r="C93" s="88"/>
      <c r="D93" s="88"/>
      <c r="E93" s="90" t="n">
        <f aca="false">SUMIFS('CAJAS REEMBOLSO '!$J$9:$J$80,'CAJAS REEMBOLSO '!$F$9:$F$80,$A93)</f>
        <v>19.04</v>
      </c>
      <c r="F93" s="90" t="n">
        <f aca="false">SUMIFS('CAJAS REEMBOLSO '!$K$9:$K$80,'CAJAS REEMBOLSO '!$F$9:$F$80,$A93)</f>
        <v>0</v>
      </c>
      <c r="G93" s="90" t="n">
        <f aca="false">SUMIFS('CAJAS REEMBOLSO '!$M$9:$M$80,'CAJAS REEMBOLSO '!$F$9:$F$80,$A93)</f>
        <v>19.04</v>
      </c>
      <c r="H93" s="88" t="s">
        <v>145</v>
      </c>
      <c r="I93" s="88"/>
    </row>
    <row r="94" customFormat="false" ht="15" hidden="true" customHeight="false" outlineLevel="1" collapsed="false">
      <c r="A94" s="91" t="s">
        <v>113</v>
      </c>
      <c r="B94" s="91" t="s">
        <v>112</v>
      </c>
      <c r="C94" s="92" t="n">
        <v>46210</v>
      </c>
      <c r="D94" s="91" t="s">
        <v>17</v>
      </c>
      <c r="E94" s="93" t="n">
        <f aca="false">N('CAJAS REEMBOLSO '!J67)</f>
        <v>19.04</v>
      </c>
      <c r="F94" s="93" t="n">
        <f aca="false">N('CAJAS REEMBOLSO '!K67)</f>
        <v>0</v>
      </c>
      <c r="G94" s="93" t="n">
        <f aca="false">'CAJAS REEMBOLSO '!M67</f>
        <v>19.04</v>
      </c>
      <c r="H94" s="91" t="s">
        <v>146</v>
      </c>
      <c r="I94" s="91" t="n">
        <v>59</v>
      </c>
    </row>
    <row r="95" customFormat="false" ht="15" hidden="false" customHeight="false" outlineLevel="0" collapsed="false">
      <c r="A95" s="88" t="s">
        <v>108</v>
      </c>
      <c r="B95" s="89" t="n">
        <f aca="false">COUNTIFS('CAJAS REEMBOLSO '!$F$9:$F$80,A95)</f>
        <v>1</v>
      </c>
      <c r="C95" s="88"/>
      <c r="D95" s="88"/>
      <c r="E95" s="90" t="n">
        <f aca="false">SUMIFS('CAJAS REEMBOLSO '!$J$9:$J$80,'CAJAS REEMBOLSO '!$F$9:$F$80,$A95)</f>
        <v>5.29</v>
      </c>
      <c r="F95" s="90" t="n">
        <f aca="false">SUMIFS('CAJAS REEMBOLSO '!$K$9:$K$80,'CAJAS REEMBOLSO '!$F$9:$F$80,$A95)</f>
        <v>0</v>
      </c>
      <c r="G95" s="90" t="n">
        <f aca="false">SUMIFS('CAJAS REEMBOLSO '!$M$9:$M$80,'CAJAS REEMBOLSO '!$F$9:$F$80,$A95)</f>
        <v>5.29</v>
      </c>
      <c r="H95" s="88" t="s">
        <v>145</v>
      </c>
      <c r="I95" s="88"/>
    </row>
    <row r="96" customFormat="false" ht="15" hidden="true" customHeight="false" outlineLevel="1" collapsed="false">
      <c r="A96" s="91" t="s">
        <v>108</v>
      </c>
      <c r="B96" s="91" t="s">
        <v>107</v>
      </c>
      <c r="C96" s="92" t="n">
        <v>46222</v>
      </c>
      <c r="D96" s="91" t="s">
        <v>109</v>
      </c>
      <c r="E96" s="93" t="n">
        <f aca="false">N('CAJAS REEMBOLSO '!J65)</f>
        <v>5.29</v>
      </c>
      <c r="F96" s="93" t="n">
        <f aca="false">N('CAJAS REEMBOLSO '!K65)</f>
        <v>0</v>
      </c>
      <c r="G96" s="93" t="n">
        <f aca="false">'CAJAS REEMBOLSO '!M65</f>
        <v>5.29</v>
      </c>
      <c r="H96" s="91" t="s">
        <v>146</v>
      </c>
      <c r="I96" s="91" t="n">
        <v>57</v>
      </c>
    </row>
    <row r="97" customFormat="false" ht="15" hidden="false" customHeight="false" outlineLevel="0" collapsed="false">
      <c r="A97" s="88" t="s">
        <v>56</v>
      </c>
      <c r="B97" s="89" t="n">
        <f aca="false">COUNTIFS('CAJAS REEMBOLSO '!$F$9:$F$80,A97)</f>
        <v>5</v>
      </c>
      <c r="C97" s="88"/>
      <c r="D97" s="88"/>
      <c r="E97" s="90" t="n">
        <f aca="false">SUMIFS('CAJAS REEMBOLSO '!$J$9:$J$80,'CAJAS REEMBOLSO '!$F$9:$F$80,$A97)</f>
        <v>231.45</v>
      </c>
      <c r="F97" s="90" t="n">
        <f aca="false">SUMIFS('CAJAS REEMBOLSO '!$K$9:$K$80,'CAJAS REEMBOLSO '!$F$9:$F$80,$A97)</f>
        <v>5.46</v>
      </c>
      <c r="G97" s="90" t="n">
        <f aca="false">SUMIFS('CAJAS REEMBOLSO '!$M$9:$M$80,'CAJAS REEMBOLSO '!$F$9:$F$80,$A97)</f>
        <v>236.91</v>
      </c>
      <c r="H97" s="88" t="s">
        <v>145</v>
      </c>
      <c r="I97" s="88"/>
    </row>
    <row r="98" customFormat="false" ht="15" hidden="true" customHeight="false" outlineLevel="1" collapsed="false">
      <c r="A98" s="91" t="s">
        <v>56</v>
      </c>
      <c r="B98" s="91" t="s">
        <v>87</v>
      </c>
      <c r="C98" s="92" t="n">
        <v>46201</v>
      </c>
      <c r="D98" s="91" t="s">
        <v>17</v>
      </c>
      <c r="E98" s="93" t="n">
        <f aca="false">N('CAJAS REEMBOLSO '!J44)</f>
        <v>41.05</v>
      </c>
      <c r="F98" s="93" t="n">
        <f aca="false">N('CAJAS REEMBOLSO '!K44)</f>
        <v>2.22</v>
      </c>
      <c r="G98" s="93" t="n">
        <f aca="false">'CAJAS REEMBOLSO '!M44</f>
        <v>43.27</v>
      </c>
      <c r="H98" s="91" t="s">
        <v>146</v>
      </c>
      <c r="I98" s="91" t="n">
        <v>36</v>
      </c>
    </row>
    <row r="99" customFormat="false" ht="15" hidden="true" customHeight="false" outlineLevel="1" collapsed="false">
      <c r="A99" s="91" t="s">
        <v>56</v>
      </c>
      <c r="B99" s="91" t="s">
        <v>72</v>
      </c>
      <c r="C99" s="92" t="n">
        <v>46211</v>
      </c>
      <c r="D99" s="91" t="s">
        <v>38</v>
      </c>
      <c r="E99" s="93" t="n">
        <f aca="false">N('CAJAS REEMBOLSO '!J34)</f>
        <v>9.47</v>
      </c>
      <c r="F99" s="93" t="n">
        <f aca="false">N('CAJAS REEMBOLSO '!K34)</f>
        <v>0</v>
      </c>
      <c r="G99" s="93" t="n">
        <f aca="false">'CAJAS REEMBOLSO '!M34</f>
        <v>9.47</v>
      </c>
      <c r="H99" s="91" t="s">
        <v>146</v>
      </c>
      <c r="I99" s="91" t="n">
        <v>26</v>
      </c>
    </row>
    <row r="100" customFormat="false" ht="15" hidden="true" customHeight="false" outlineLevel="1" collapsed="false">
      <c r="A100" s="91" t="s">
        <v>56</v>
      </c>
      <c r="B100" s="91" t="s">
        <v>55</v>
      </c>
      <c r="C100" s="92" t="n">
        <v>46217</v>
      </c>
      <c r="D100" s="91" t="s">
        <v>38</v>
      </c>
      <c r="E100" s="93" t="n">
        <f aca="false">N('CAJAS REEMBOLSO '!J23)</f>
        <v>40.3</v>
      </c>
      <c r="F100" s="93" t="n">
        <f aca="false">N('CAJAS REEMBOLSO '!K23)</f>
        <v>0.8</v>
      </c>
      <c r="G100" s="93" t="n">
        <f aca="false">'CAJAS REEMBOLSO '!M23</f>
        <v>41.1</v>
      </c>
      <c r="H100" s="91" t="s">
        <v>146</v>
      </c>
      <c r="I100" s="91" t="n">
        <v>15</v>
      </c>
    </row>
    <row r="101" customFormat="false" ht="15" hidden="true" customHeight="false" outlineLevel="1" collapsed="false">
      <c r="A101" s="91" t="s">
        <v>56</v>
      </c>
      <c r="B101" s="91" t="s">
        <v>105</v>
      </c>
      <c r="C101" s="92" t="n">
        <v>46219</v>
      </c>
      <c r="D101" s="91" t="s">
        <v>38</v>
      </c>
      <c r="E101" s="93" t="n">
        <f aca="false">N('CAJAS REEMBOLSO '!J63)</f>
        <v>61.54</v>
      </c>
      <c r="F101" s="93" t="n">
        <f aca="false">N('CAJAS REEMBOLSO '!K63)</f>
        <v>0.67</v>
      </c>
      <c r="G101" s="93" t="n">
        <f aca="false">'CAJAS REEMBOLSO '!M63</f>
        <v>62.21</v>
      </c>
      <c r="H101" s="91" t="s">
        <v>146</v>
      </c>
      <c r="I101" s="91" t="n">
        <v>55</v>
      </c>
    </row>
    <row r="102" customFormat="false" ht="15" hidden="true" customHeight="false" outlineLevel="1" collapsed="false">
      <c r="A102" s="91" t="s">
        <v>56</v>
      </c>
      <c r="B102" s="91" t="s">
        <v>89</v>
      </c>
      <c r="C102" s="92" t="n">
        <v>46229</v>
      </c>
      <c r="D102" s="91" t="s">
        <v>38</v>
      </c>
      <c r="E102" s="93" t="n">
        <f aca="false">N('CAJAS REEMBOLSO '!J50)</f>
        <v>79.09</v>
      </c>
      <c r="F102" s="93" t="n">
        <f aca="false">N('CAJAS REEMBOLSO '!K50)</f>
        <v>1.77</v>
      </c>
      <c r="G102" s="93" t="n">
        <f aca="false">'CAJAS REEMBOLSO '!M50</f>
        <v>80.86</v>
      </c>
      <c r="H102" s="91" t="s">
        <v>146</v>
      </c>
      <c r="I102" s="91" t="n">
        <v>42</v>
      </c>
    </row>
    <row r="103" customFormat="false" ht="15" hidden="false" customHeight="false" outlineLevel="0" collapsed="false">
      <c r="A103" s="88" t="s">
        <v>82</v>
      </c>
      <c r="B103" s="89" t="n">
        <f aca="false">COUNTIFS('CAJAS REEMBOLSO '!$F$9:$F$80,A103)</f>
        <v>1</v>
      </c>
      <c r="C103" s="88"/>
      <c r="D103" s="88"/>
      <c r="E103" s="90" t="n">
        <f aca="false">SUMIFS('CAJAS REEMBOLSO '!$J$9:$J$80,'CAJAS REEMBOLSO '!$F$9:$F$80,$A103)</f>
        <v>8</v>
      </c>
      <c r="F103" s="90" t="n">
        <f aca="false">SUMIFS('CAJAS REEMBOLSO '!$K$9:$K$80,'CAJAS REEMBOLSO '!$F$9:$F$80,$A103)</f>
        <v>0.56</v>
      </c>
      <c r="G103" s="90" t="n">
        <f aca="false">SUMIFS('CAJAS REEMBOLSO '!$M$9:$M$80,'CAJAS REEMBOLSO '!$F$9:$F$80,$A103)</f>
        <v>8.56</v>
      </c>
      <c r="H103" s="88" t="s">
        <v>145</v>
      </c>
      <c r="I103" s="88"/>
    </row>
    <row r="104" customFormat="false" ht="15" hidden="true" customHeight="false" outlineLevel="1" collapsed="false">
      <c r="A104" s="91" t="s">
        <v>82</v>
      </c>
      <c r="B104" s="91" t="s">
        <v>81</v>
      </c>
      <c r="C104" s="92" t="n">
        <v>46232</v>
      </c>
      <c r="D104" s="91" t="s">
        <v>17</v>
      </c>
      <c r="E104" s="93" t="n">
        <f aca="false">N('CAJAS REEMBOLSO '!J41)</f>
        <v>8</v>
      </c>
      <c r="F104" s="93" t="n">
        <f aca="false">N('CAJAS REEMBOLSO '!K41)</f>
        <v>0.56</v>
      </c>
      <c r="G104" s="93" t="n">
        <f aca="false">'CAJAS REEMBOLSO '!M41</f>
        <v>8.56</v>
      </c>
      <c r="H104" s="91" t="s">
        <v>146</v>
      </c>
      <c r="I104" s="91" t="n">
        <v>33</v>
      </c>
    </row>
    <row r="105" customFormat="false" ht="15" hidden="false" customHeight="false" outlineLevel="0" collapsed="false">
      <c r="A105" s="88" t="s">
        <v>111</v>
      </c>
      <c r="B105" s="89" t="n">
        <f aca="false">COUNTIFS('CAJAS REEMBOLSO '!$F$9:$F$80,A105)</f>
        <v>1</v>
      </c>
      <c r="C105" s="88"/>
      <c r="D105" s="88"/>
      <c r="E105" s="90" t="n">
        <f aca="false">SUMIFS('CAJAS REEMBOLSO '!$J$9:$J$80,'CAJAS REEMBOLSO '!$F$9:$F$80,$A105)</f>
        <v>11.99</v>
      </c>
      <c r="F105" s="90" t="n">
        <f aca="false">SUMIFS('CAJAS REEMBOLSO '!$K$9:$K$80,'CAJAS REEMBOLSO '!$F$9:$F$80,$A105)</f>
        <v>0.84</v>
      </c>
      <c r="G105" s="90" t="n">
        <f aca="false">SUMIFS('CAJAS REEMBOLSO '!$M$9:$M$80,'CAJAS REEMBOLSO '!$F$9:$F$80,$A105)</f>
        <v>12.83</v>
      </c>
      <c r="H105" s="88" t="s">
        <v>145</v>
      </c>
      <c r="I105" s="88"/>
    </row>
    <row r="106" customFormat="false" ht="15" hidden="true" customHeight="false" outlineLevel="1" collapsed="false">
      <c r="A106" s="91" t="s">
        <v>111</v>
      </c>
      <c r="B106" s="91" t="s">
        <v>110</v>
      </c>
      <c r="C106" s="92" t="n">
        <v>46235</v>
      </c>
      <c r="D106" s="91" t="s">
        <v>17</v>
      </c>
      <c r="E106" s="93" t="n">
        <f aca="false">N('CAJAS REEMBOLSO '!J66)</f>
        <v>11.99</v>
      </c>
      <c r="F106" s="93" t="n">
        <f aca="false">N('CAJAS REEMBOLSO '!K66)</f>
        <v>0.84</v>
      </c>
      <c r="G106" s="93" t="n">
        <f aca="false">'CAJAS REEMBOLSO '!M66</f>
        <v>12.83</v>
      </c>
      <c r="H106" s="91" t="s">
        <v>146</v>
      </c>
      <c r="I106" s="91" t="n">
        <v>58</v>
      </c>
    </row>
  </sheetData>
  <autoFilter ref="A4:I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2023-05-21T00:39:26Z</dcterms:created>
  <dc:creator>Diego Armando Yepes</dc:creator>
  <dc:description/>
  <dc:language>en-US</dc:language>
  <cp:lastModifiedBy>Soporte IT</cp:lastModifiedBy>
  <cp:lastPrinted>2026-10-09T19:29:08Z</cp:lastPrinted>
  <dcterms:modified xsi:type="dcterms:W3CDTF">2026-10-26T16:14:56Z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