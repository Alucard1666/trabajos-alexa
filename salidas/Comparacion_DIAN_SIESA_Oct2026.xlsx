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ración unificada" sheetId="1" state="visible" r:id="rId3"/>
    <sheet name="Base" sheetId="2" state="visible" r:id="rId4"/>
  </sheets>
  <definedNames>
    <definedName function="false" hidden="true" localSheetId="0" name="_xlnm._FilterDatabase" vbProcedure="false">'Comparación unificada'!$A$4:$I$293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<sst xmlns="http://schemas.openxmlformats.org/spreadsheetml/2006/main" count="2755" uniqueCount="435">
  <si>
    <t xml:space="preserve">DIAN vs SIESA — una fila por tercero; use +/- (o botones 1/2) para ver los documentos; filtre "Estado" en la fila 4</t>
  </si>
  <si>
    <t xml:space="preserve">TOTAL GENERAL</t>
  </si>
  <si>
    <t xml:space="preserve">NIT</t>
  </si>
  <si>
    <t xml:space="preserve">Tercero</t>
  </si>
  <si>
    <t xml:space="preserve">Documento</t>
  </si>
  <si>
    <t xml:space="preserve">Tipo de documento</t>
  </si>
  <si>
    <t xml:space="preserve">Valor DIAN</t>
  </si>
  <si>
    <t xml:space="preserve">Valor SIESA</t>
  </si>
  <si>
    <t xml:space="preserve">Diferencia (DIAN − SIESA)</t>
  </si>
  <si>
    <t xml:space="preserve">Estado</t>
  </si>
  <si>
    <t xml:space="preserve">Fecha emisión</t>
  </si>
  <si>
    <t xml:space="preserve">805012421</t>
  </si>
  <si>
    <t xml:space="preserve">A.F.TROST HANSEN PRODUCTOS DANCALI SENC</t>
  </si>
  <si>
    <t xml:space="preserve">1 documento(s)</t>
  </si>
  <si>
    <t xml:space="preserve">TOTAL TERCERO</t>
  </si>
  <si>
    <t xml:space="preserve">Tercero solo en SIESA</t>
  </si>
  <si>
    <t xml:space="preserve">F20110389</t>
  </si>
  <si>
    <t xml:space="preserve">Factura (solo SIESA)</t>
  </si>
  <si>
    <t xml:space="preserve">Solo en SIESA</t>
  </si>
  <si>
    <t xml:space="preserve">805010086</t>
  </si>
  <si>
    <t xml:space="preserve">ADOCCIDENTE S.A.S.</t>
  </si>
  <si>
    <t xml:space="preserve">Coincide</t>
  </si>
  <si>
    <t xml:space="preserve">FE1062</t>
  </si>
  <si>
    <t xml:space="preserve">Factura electrónica</t>
  </si>
  <si>
    <t xml:space="preserve">890704196</t>
  </si>
  <si>
    <t xml:space="preserve">AEROVIAS DE INTEGRACION REGIONAL S.A.</t>
  </si>
  <si>
    <t xml:space="preserve">2 documento(s)</t>
  </si>
  <si>
    <t xml:space="preserve">Con diferencias</t>
  </si>
  <si>
    <t xml:space="preserve">EFCC4976394</t>
  </si>
  <si>
    <t xml:space="preserve">Documento equivalente - Transporte aéreo de pasajeros</t>
  </si>
  <si>
    <t xml:space="preserve">Solo en DIAN</t>
  </si>
  <si>
    <t xml:space="preserve">SPC45772</t>
  </si>
  <si>
    <t xml:space="preserve">860023024</t>
  </si>
  <si>
    <t xml:space="preserve">AGRICOLA AUTOMOTRIZ S.A.S.</t>
  </si>
  <si>
    <t xml:space="preserve">8004129026</t>
  </si>
  <si>
    <t xml:space="preserve">66807605</t>
  </si>
  <si>
    <t xml:space="preserve">AGUILAR PEREIRA HAYLEM</t>
  </si>
  <si>
    <t xml:space="preserve">Tercero solo en DIAN</t>
  </si>
  <si>
    <t xml:space="preserve">NDSE1761</t>
  </si>
  <si>
    <t xml:space="preserve">Documento soporte con no obligados</t>
  </si>
  <si>
    <t xml:space="preserve">16928075</t>
  </si>
  <si>
    <t xml:space="preserve">ALMEIDA BACCA EDWARD ALEXANDER</t>
  </si>
  <si>
    <t xml:space="preserve">3 documento(s)</t>
  </si>
  <si>
    <t xml:space="preserve">FE689</t>
  </si>
  <si>
    <t xml:space="preserve">NE31</t>
  </si>
  <si>
    <t xml:space="preserve">Nota de crédito electrónica</t>
  </si>
  <si>
    <t xml:space="preserve">FE697</t>
  </si>
  <si>
    <t xml:space="preserve">900210800</t>
  </si>
  <si>
    <t xml:space="preserve">ANDES SERVICIO DE CERTIFICACION DIGITAL SA</t>
  </si>
  <si>
    <t xml:space="preserve">FE178496</t>
  </si>
  <si>
    <t xml:space="preserve">7563061</t>
  </si>
  <si>
    <t xml:space="preserve">BERRIO ARIAS JUAN FERNANDO</t>
  </si>
  <si>
    <t xml:space="preserve">NDSE1745</t>
  </si>
  <si>
    <t xml:space="preserve">901281572</t>
  </si>
  <si>
    <t xml:space="preserve">BOLD.CO S.A.S</t>
  </si>
  <si>
    <t xml:space="preserve">FEC8813911</t>
  </si>
  <si>
    <t xml:space="preserve">901084440</t>
  </si>
  <si>
    <t xml:space="preserve">BRAHAM S.A.S.</t>
  </si>
  <si>
    <t xml:space="preserve">FELV7089</t>
  </si>
  <si>
    <t xml:space="preserve">1193142852</t>
  </si>
  <si>
    <t xml:space="preserve">BRAYAN DANILO CORDOBA PERAFAN</t>
  </si>
  <si>
    <t xml:space="preserve">DJ1763</t>
  </si>
  <si>
    <t xml:space="preserve">1113519268</t>
  </si>
  <si>
    <t xml:space="preserve">BUENO ALVAREZ WILLIAM ANDRES</t>
  </si>
  <si>
    <t xml:space="preserve">NDSE1750</t>
  </si>
  <si>
    <t xml:space="preserve">NDSE1751</t>
  </si>
  <si>
    <t xml:space="preserve">901219735</t>
  </si>
  <si>
    <t xml:space="preserve">CAMINOS CREATIVOS MARKETING Y PUBLICIDAD SAS</t>
  </si>
  <si>
    <t xml:space="preserve">FE2574</t>
  </si>
  <si>
    <t xml:space="preserve">890321151</t>
  </si>
  <si>
    <t xml:space="preserve">CARVAJAL TECNOLOGIA Y SERVICIOS S.A.S.</t>
  </si>
  <si>
    <t xml:space="preserve">CLOA105299392</t>
  </si>
  <si>
    <t xml:space="preserve">67008730</t>
  </si>
  <si>
    <t xml:space="preserve">CHACON MANZANO MARIA DEL CARMEN</t>
  </si>
  <si>
    <t xml:space="preserve">FEV3320</t>
  </si>
  <si>
    <t xml:space="preserve">1130588761</t>
  </si>
  <si>
    <t xml:space="preserve">CHRISTIAN CAMILO QUEVEDO OCHOA</t>
  </si>
  <si>
    <t xml:space="preserve">ETPC420</t>
  </si>
  <si>
    <t xml:space="preserve">890300521</t>
  </si>
  <si>
    <t xml:space="preserve">CLUB COLOMBIA</t>
  </si>
  <si>
    <t xml:space="preserve">FS561875</t>
  </si>
  <si>
    <t xml:space="preserve">FS562580</t>
  </si>
  <si>
    <t xml:space="preserve">RF129741</t>
  </si>
  <si>
    <t xml:space="preserve">890300225</t>
  </si>
  <si>
    <t xml:space="preserve">COEXITO S.A.S.</t>
  </si>
  <si>
    <t xml:space="preserve">129M77</t>
  </si>
  <si>
    <t xml:space="preserve">901528731</t>
  </si>
  <si>
    <t xml:space="preserve">COLMENA SEGUROS DE VIDA S.A.</t>
  </si>
  <si>
    <t xml:space="preserve">VT26386988</t>
  </si>
  <si>
    <t xml:space="preserve">830122566</t>
  </si>
  <si>
    <t xml:space="preserve">COLOMBIA TELECOMUNICACIONES S.A. E.S.P. BIC</t>
  </si>
  <si>
    <t xml:space="preserve">18 documento(s)</t>
  </si>
  <si>
    <t xml:space="preserve">BEC552441113</t>
  </si>
  <si>
    <t xml:space="preserve">BEC552442170</t>
  </si>
  <si>
    <t xml:space="preserve">BEC552442171</t>
  </si>
  <si>
    <t xml:space="preserve">BEC552443055</t>
  </si>
  <si>
    <t xml:space="preserve">BEC552443143</t>
  </si>
  <si>
    <t xml:space="preserve">BEC552443144</t>
  </si>
  <si>
    <t xml:space="preserve">BEC552443145</t>
  </si>
  <si>
    <t xml:space="preserve">BEC552443146</t>
  </si>
  <si>
    <t xml:space="preserve">BEC552443147</t>
  </si>
  <si>
    <t xml:space="preserve">BEC552443148</t>
  </si>
  <si>
    <t xml:space="preserve">BEC552443150</t>
  </si>
  <si>
    <t xml:space="preserve">BEC552443151</t>
  </si>
  <si>
    <t xml:space="preserve">BEC552500934</t>
  </si>
  <si>
    <t xml:space="preserve">BEC552500936</t>
  </si>
  <si>
    <t xml:space="preserve">BEC552500937</t>
  </si>
  <si>
    <t xml:space="preserve">BEC552500938</t>
  </si>
  <si>
    <t xml:space="preserve">BEC552501075</t>
  </si>
  <si>
    <t xml:space="preserve">BEC552443149</t>
  </si>
  <si>
    <t xml:space="preserve">800185306</t>
  </si>
  <si>
    <t xml:space="preserve">COLVANES S.A.S</t>
  </si>
  <si>
    <t xml:space="preserve">FE02173546</t>
  </si>
  <si>
    <t xml:space="preserve">FE02173622</t>
  </si>
  <si>
    <t xml:space="preserve">800153993</t>
  </si>
  <si>
    <t xml:space="preserve">COMUNICACION CELULAR S A  COMCEL S A</t>
  </si>
  <si>
    <t xml:space="preserve">3292766260</t>
  </si>
  <si>
    <t xml:space="preserve">891500277</t>
  </si>
  <si>
    <t xml:space="preserve">COOPERATIVA INTEGRAL DE TAXIS BELALCAZAR</t>
  </si>
  <si>
    <t xml:space="preserve">FTCA352764</t>
  </si>
  <si>
    <t xml:space="preserve">Documento equivalente - Transporte pasajeros terrestre</t>
  </si>
  <si>
    <t xml:space="preserve">FTPO639435</t>
  </si>
  <si>
    <t xml:space="preserve">890904713</t>
  </si>
  <si>
    <t xml:space="preserve">COORDINADORA MERCANTIL S.A.</t>
  </si>
  <si>
    <t xml:space="preserve">D03194002002</t>
  </si>
  <si>
    <t xml:space="preserve">1144176843</t>
  </si>
  <si>
    <t xml:space="preserve">CORREA MOLINA WILLIAM ANDRES</t>
  </si>
  <si>
    <t xml:space="preserve">FVE500</t>
  </si>
  <si>
    <t xml:space="preserve">891301773</t>
  </si>
  <si>
    <t xml:space="preserve">CUERPO DE BOMBEROS VOLUNTARIOS DEL CGTO DE ROZO MP PALMIRA</t>
  </si>
  <si>
    <t xml:space="preserve">FE3682</t>
  </si>
  <si>
    <t xml:space="preserve">900276962</t>
  </si>
  <si>
    <t xml:space="preserve">D1 S A S</t>
  </si>
  <si>
    <t xml:space="preserve">G8H1293754</t>
  </si>
  <si>
    <t xml:space="preserve">800095116</t>
  </si>
  <si>
    <t xml:space="preserve">DECORWID LIMITADA</t>
  </si>
  <si>
    <t xml:space="preserve">VSFE585777</t>
  </si>
  <si>
    <t xml:space="preserve">800078697</t>
  </si>
  <si>
    <t xml:space="preserve">DISTRIBUIDORA FARALLONES SAS</t>
  </si>
  <si>
    <t xml:space="preserve">E16269</t>
  </si>
  <si>
    <t xml:space="preserve">E16270</t>
  </si>
  <si>
    <t xml:space="preserve">800239989</t>
  </si>
  <si>
    <t xml:space="preserve">DISTRIBUIDORA MAYORISTA LIMITADA</t>
  </si>
  <si>
    <t xml:space="preserve">DMFE849</t>
  </si>
  <si>
    <t xml:space="preserve">800126903</t>
  </si>
  <si>
    <t xml:space="preserve">DROGUERIA ALONSO LTDA</t>
  </si>
  <si>
    <t xml:space="preserve">CENT1167</t>
  </si>
  <si>
    <t xml:space="preserve">901033735</t>
  </si>
  <si>
    <t xml:space="preserve">EASY PUNTO S.A.S.</t>
  </si>
  <si>
    <t xml:space="preserve">EIMB489341</t>
  </si>
  <si>
    <t xml:space="preserve">900727726</t>
  </si>
  <si>
    <t xml:space="preserve">ECOLDIET SAS</t>
  </si>
  <si>
    <t xml:space="preserve">602</t>
  </si>
  <si>
    <t xml:space="preserve">890323635</t>
  </si>
  <si>
    <t xml:space="preserve">EL COMERCIO ELECTRICO S.A.S.</t>
  </si>
  <si>
    <t xml:space="preserve">6 documento(s)</t>
  </si>
  <si>
    <t xml:space="preserve">NFFN33471</t>
  </si>
  <si>
    <t xml:space="preserve">NFFN34151</t>
  </si>
  <si>
    <t xml:space="preserve">NFFN34626</t>
  </si>
  <si>
    <t xml:space="preserve">NFFN35150</t>
  </si>
  <si>
    <t xml:space="preserve">NDSE1760</t>
  </si>
  <si>
    <t xml:space="preserve">NFFN36319</t>
  </si>
  <si>
    <t xml:space="preserve">890308111</t>
  </si>
  <si>
    <t xml:space="preserve">EL MOLINO EDUARDO MOLINARI PALACIN S.A.S</t>
  </si>
  <si>
    <t xml:space="preserve">2SEX7984</t>
  </si>
  <si>
    <t xml:space="preserve">901143158</t>
  </si>
  <si>
    <t xml:space="preserve">ELECTRONICA SAN NICOLAS S.A.S</t>
  </si>
  <si>
    <t xml:space="preserve">FCPE164633</t>
  </si>
  <si>
    <t xml:space="preserve">890399003</t>
  </si>
  <si>
    <t xml:space="preserve">EMPRESAS MUNICIPALES DE CALI E.I.C.E. E.S.P.</t>
  </si>
  <si>
    <t xml:space="preserve">10945561</t>
  </si>
  <si>
    <t xml:space="preserve">10946367</t>
  </si>
  <si>
    <t xml:space="preserve">10947163</t>
  </si>
  <si>
    <t xml:space="preserve">11009341</t>
  </si>
  <si>
    <t xml:space="preserve">19441339</t>
  </si>
  <si>
    <t xml:space="preserve">Documento equivalente - Servicios públicos domiciliarios</t>
  </si>
  <si>
    <t xml:space="preserve">19442954</t>
  </si>
  <si>
    <t xml:space="preserve">31886310</t>
  </si>
  <si>
    <t xml:space="preserve">FERNANDEZ CABAL GLORIA ISABEL</t>
  </si>
  <si>
    <t xml:space="preserve">NDSE1753</t>
  </si>
  <si>
    <t xml:space="preserve">1144095306</t>
  </si>
  <si>
    <t xml:space="preserve">GALVIS TASCON NATALIA</t>
  </si>
  <si>
    <t xml:space="preserve">NDSE1738</t>
  </si>
  <si>
    <t xml:space="preserve">NDSE1739</t>
  </si>
  <si>
    <t xml:space="preserve">900680284</t>
  </si>
  <si>
    <t xml:space="preserve">GRUPO AZC S.A.S.</t>
  </si>
  <si>
    <t xml:space="preserve">AZ104832</t>
  </si>
  <si>
    <t xml:space="preserve">902064140</t>
  </si>
  <si>
    <t xml:space="preserve">GRUPO BLINDADOS DE OCCIDENTE LTDA</t>
  </si>
  <si>
    <t xml:space="preserve">GBO12</t>
  </si>
  <si>
    <t xml:space="preserve">900702496</t>
  </si>
  <si>
    <t xml:space="preserve">GRUPO FMC SAS</t>
  </si>
  <si>
    <t xml:space="preserve">PTOE60080</t>
  </si>
  <si>
    <t xml:space="preserve">PTOE60085</t>
  </si>
  <si>
    <t xml:space="preserve">901177349</t>
  </si>
  <si>
    <t xml:space="preserve">GRUPO GESTIÓN PRODUCTIVA ORGANIZACIONAL S.A.S.</t>
  </si>
  <si>
    <t xml:space="preserve">FA1313</t>
  </si>
  <si>
    <t xml:space="preserve">16848018</t>
  </si>
  <si>
    <t xml:space="preserve">GUERRERO SPITTIA ANDRES JAVIER</t>
  </si>
  <si>
    <t xml:space="preserve">NDSE1758</t>
  </si>
  <si>
    <t xml:space="preserve">900486588</t>
  </si>
  <si>
    <t xml:space="preserve">HANGAR PARK S.A.S</t>
  </si>
  <si>
    <t xml:space="preserve">FEC2140859</t>
  </si>
  <si>
    <t xml:space="preserve">860039988</t>
  </si>
  <si>
    <t xml:space="preserve">HDI SEGUROS COLOMBIA S.A.</t>
  </si>
  <si>
    <t xml:space="preserve">FPO15168314</t>
  </si>
  <si>
    <t xml:space="preserve">NCFP2160856</t>
  </si>
  <si>
    <t xml:space="preserve">FPO15206840</t>
  </si>
  <si>
    <t xml:space="preserve">16740143</t>
  </si>
  <si>
    <t xml:space="preserve">HECTOR HUGO CHACUA JIMENEZ</t>
  </si>
  <si>
    <t xml:space="preserve">TCFV36134</t>
  </si>
  <si>
    <t xml:space="preserve">NC2600</t>
  </si>
  <si>
    <t xml:space="preserve">805027722</t>
  </si>
  <si>
    <t xml:space="preserve">IDEAS IMPRESIÓN Y DISEÑO S.A.S.</t>
  </si>
  <si>
    <t xml:space="preserve">FE1626</t>
  </si>
  <si>
    <t xml:space="preserve">901636923</t>
  </si>
  <si>
    <t xml:space="preserve">IMPOGRAFIK SAS</t>
  </si>
  <si>
    <t xml:space="preserve">FEV207</t>
  </si>
  <si>
    <t xml:space="preserve">900128172</t>
  </si>
  <si>
    <t xml:space="preserve">INDUSTRIAS L.H. S.A.S.</t>
  </si>
  <si>
    <t xml:space="preserve">PRAC54469</t>
  </si>
  <si>
    <t xml:space="preserve">10128057</t>
  </si>
  <si>
    <t xml:space="preserve">JAIRO DE JESUS RAMIREZ OSSA</t>
  </si>
  <si>
    <t xml:space="preserve">FVE4112</t>
  </si>
  <si>
    <t xml:space="preserve">1005874702</t>
  </si>
  <si>
    <t xml:space="preserve">JARAMILLO OSORIO VALERIA</t>
  </si>
  <si>
    <t xml:space="preserve">NDSE1743</t>
  </si>
  <si>
    <t xml:space="preserve">700001614</t>
  </si>
  <si>
    <t xml:space="preserve">JIANG  JIANPING</t>
  </si>
  <si>
    <t xml:space="preserve">NDSE1742</t>
  </si>
  <si>
    <t xml:space="preserve">NDSE1757</t>
  </si>
  <si>
    <t xml:space="preserve">6645873</t>
  </si>
  <si>
    <t xml:space="preserve">JOHNY EULALIO CABEZAS ORTIZ</t>
  </si>
  <si>
    <t xml:space="preserve">POSF17223</t>
  </si>
  <si>
    <t xml:space="preserve">POSF17373</t>
  </si>
  <si>
    <t xml:space="preserve">POSF17374</t>
  </si>
  <si>
    <t xml:space="preserve">901531447</t>
  </si>
  <si>
    <t xml:space="preserve">K RAMIREZ SAS</t>
  </si>
  <si>
    <t xml:space="preserve">BZ597561</t>
  </si>
  <si>
    <t xml:space="preserve">BZ598312</t>
  </si>
  <si>
    <t xml:space="preserve">800049104</t>
  </si>
  <si>
    <t xml:space="preserve">LABORATORIO CLINICO COLMEDICOS IPS SAS</t>
  </si>
  <si>
    <t xml:space="preserve">FCE53668</t>
  </si>
  <si>
    <t xml:space="preserve">31579867</t>
  </si>
  <si>
    <t xml:space="preserve">LOPEZ TORRES SULAY</t>
  </si>
  <si>
    <t xml:space="preserve">NDSE1746</t>
  </si>
  <si>
    <t xml:space="preserve">16591962</t>
  </si>
  <si>
    <t xml:space="preserve">LUIS FERNANDO MENA SALDARRIAGA</t>
  </si>
  <si>
    <t xml:space="preserve">FE57</t>
  </si>
  <si>
    <t xml:space="preserve">FE58</t>
  </si>
  <si>
    <t xml:space="preserve">FE59</t>
  </si>
  <si>
    <t xml:space="preserve">900434009</t>
  </si>
  <si>
    <t xml:space="preserve">MACROTICS S.A.S.</t>
  </si>
  <si>
    <t xml:space="preserve">213089</t>
  </si>
  <si>
    <t xml:space="preserve">900491889</t>
  </si>
  <si>
    <t xml:space="preserve">MASSER S A S</t>
  </si>
  <si>
    <t xml:space="preserve">KO51514645</t>
  </si>
  <si>
    <t xml:space="preserve">16601539</t>
  </si>
  <si>
    <t xml:space="preserve">MENA SALDARRIAGA CARLOS ALFONSO</t>
  </si>
  <si>
    <t xml:space="preserve">NDSE1752</t>
  </si>
  <si>
    <t xml:space="preserve">900061224</t>
  </si>
  <si>
    <t xml:space="preserve">MERCAMIO SA</t>
  </si>
  <si>
    <t xml:space="preserve">7YFE696360</t>
  </si>
  <si>
    <t xml:space="preserve">900872767</t>
  </si>
  <si>
    <t xml:space="preserve">MIGAN CAPITAL SAS</t>
  </si>
  <si>
    <t xml:space="preserve">16SX128698</t>
  </si>
  <si>
    <t xml:space="preserve">2SEX266581</t>
  </si>
  <si>
    <t xml:space="preserve">1014289714</t>
  </si>
  <si>
    <t xml:space="preserve">NEUTO NARANJO SARA MANUELA</t>
  </si>
  <si>
    <t xml:space="preserve">FPS1857</t>
  </si>
  <si>
    <t xml:space="preserve">Documento equivalente POS</t>
  </si>
  <si>
    <t xml:space="preserve">FPS1858</t>
  </si>
  <si>
    <t xml:space="preserve">FPS1859</t>
  </si>
  <si>
    <t xml:space="preserve">901635332</t>
  </si>
  <si>
    <t xml:space="preserve">NEXO REDES Y TECNOLOGÍA S.A.S.</t>
  </si>
  <si>
    <t xml:space="preserve">FENX3643</t>
  </si>
  <si>
    <t xml:space="preserve">6393602</t>
  </si>
  <si>
    <t xml:space="preserve">NIEVA FIGUEROA JUAN PABLO</t>
  </si>
  <si>
    <t xml:space="preserve">NDSE1759</t>
  </si>
  <si>
    <t xml:space="preserve">900156095</t>
  </si>
  <si>
    <t xml:space="preserve">OPERADORES DE ESTACIONES DE SERVICIO LTDA.</t>
  </si>
  <si>
    <t xml:space="preserve">EL018161</t>
  </si>
  <si>
    <t xml:space="preserve">EL018220</t>
  </si>
  <si>
    <t xml:space="preserve">1130674917</t>
  </si>
  <si>
    <t xml:space="preserve">ORDOÑEZ RODRIGUEZ ALEX FERNANDO</t>
  </si>
  <si>
    <t xml:space="preserve">FVAL1541</t>
  </si>
  <si>
    <t xml:space="preserve">16272512</t>
  </si>
  <si>
    <t xml:space="preserve">ORTIZ LEMOS JUAN CARLOS</t>
  </si>
  <si>
    <t xml:space="preserve">NDSE1744</t>
  </si>
  <si>
    <t xml:space="preserve">901572994</t>
  </si>
  <si>
    <t xml:space="preserve">OURO CONSULTORIA S.A.S</t>
  </si>
  <si>
    <t xml:space="preserve">OBI372</t>
  </si>
  <si>
    <t xml:space="preserve">11510149</t>
  </si>
  <si>
    <t xml:space="preserve">PAEZ MARTINEZ REMIGIO</t>
  </si>
  <si>
    <t xml:space="preserve">NDSE1748</t>
  </si>
  <si>
    <t xml:space="preserve">901294241</t>
  </si>
  <si>
    <t xml:space="preserve">PAGOS AUTOMATICOS DE COLOMBIA SAS</t>
  </si>
  <si>
    <t xml:space="preserve">9 documento(s)</t>
  </si>
  <si>
    <t xml:space="preserve">FEVH251188</t>
  </si>
  <si>
    <t xml:space="preserve">FVEW873678</t>
  </si>
  <si>
    <t xml:space="preserve">FVEW875689</t>
  </si>
  <si>
    <t xml:space="preserve">FVEW876695</t>
  </si>
  <si>
    <t xml:space="preserve">FVEW889169</t>
  </si>
  <si>
    <t xml:space="preserve">FEV113953377</t>
  </si>
  <si>
    <t xml:space="preserve">FEVH255775</t>
  </si>
  <si>
    <t xml:space="preserve">FEVH256147</t>
  </si>
  <si>
    <t xml:space="preserve">FVEW900777</t>
  </si>
  <si>
    <t xml:space="preserve">901160842</t>
  </si>
  <si>
    <t xml:space="preserve">PAPELERIA UNIVERSAL DISTRIBUIDORA SAS</t>
  </si>
  <si>
    <t xml:space="preserve">D6141905</t>
  </si>
  <si>
    <t xml:space="preserve">D6142136</t>
  </si>
  <si>
    <t xml:space="preserve">805005846</t>
  </si>
  <si>
    <t xml:space="preserve">PKF CABRERA INTERNACIONAL S.A. B.I.C</t>
  </si>
  <si>
    <t xml:space="preserve">FCAB8754</t>
  </si>
  <si>
    <t xml:space="preserve">16276763</t>
  </si>
  <si>
    <t xml:space="preserve">PORTOCARRERO PEÑA FRANKLIN</t>
  </si>
  <si>
    <t xml:space="preserve">NDSE1749</t>
  </si>
  <si>
    <t xml:space="preserve">1235240581</t>
  </si>
  <si>
    <t xml:space="preserve">PRADA RODRIGUEZ MARYNES CHIQUINQUIRA</t>
  </si>
  <si>
    <t xml:space="preserve">NDSE1755</t>
  </si>
  <si>
    <t xml:space="preserve">900474794</t>
  </si>
  <si>
    <t xml:space="preserve">PRICE RES S.A.S</t>
  </si>
  <si>
    <t xml:space="preserve">PTC61978377</t>
  </si>
  <si>
    <t xml:space="preserve">PTC61979334</t>
  </si>
  <si>
    <t xml:space="preserve">800011386</t>
  </si>
  <si>
    <t xml:space="preserve">PROROD CALI SAS</t>
  </si>
  <si>
    <t xml:space="preserve">FEV13406</t>
  </si>
  <si>
    <t xml:space="preserve">901223597</t>
  </si>
  <si>
    <t xml:space="preserve">PUERTO 125 SAS</t>
  </si>
  <si>
    <t xml:space="preserve">FMAR1508</t>
  </si>
  <si>
    <t xml:space="preserve">900183423</t>
  </si>
  <si>
    <t xml:space="preserve">QUALITY GROUP SERVICES SAS</t>
  </si>
  <si>
    <t xml:space="preserve">FEV42973</t>
  </si>
  <si>
    <t xml:space="preserve">14590630</t>
  </si>
  <si>
    <t xml:space="preserve">QUINTERO LOPEZ JORGE ANDRES</t>
  </si>
  <si>
    <t xml:space="preserve">NDSE1740</t>
  </si>
  <si>
    <t xml:space="preserve">NDSE1741</t>
  </si>
  <si>
    <t xml:space="preserve">NDSE1756</t>
  </si>
  <si>
    <t xml:space="preserve">901231302</t>
  </si>
  <si>
    <t xml:space="preserve">RIVERA MONTOYA SAS</t>
  </si>
  <si>
    <t xml:space="preserve">FA45784</t>
  </si>
  <si>
    <t xml:space="preserve">805023380</t>
  </si>
  <si>
    <t xml:space="preserve">SALUD SEMILLAS SAS</t>
  </si>
  <si>
    <t xml:space="preserve">SSFE478</t>
  </si>
  <si>
    <t xml:space="preserve">901186632</t>
  </si>
  <si>
    <t xml:space="preserve">SARANTO S.A.S</t>
  </si>
  <si>
    <t xml:space="preserve">5 documento(s)</t>
  </si>
  <si>
    <t xml:space="preserve">FE1I606899</t>
  </si>
  <si>
    <t xml:space="preserve">FE2I633862</t>
  </si>
  <si>
    <t xml:space="preserve">FE1I614368</t>
  </si>
  <si>
    <t xml:space="preserve">FE1I616873</t>
  </si>
  <si>
    <t xml:space="preserve">FE1I618625</t>
  </si>
  <si>
    <t xml:space="preserve">860037707</t>
  </si>
  <si>
    <t xml:space="preserve">SBS SEGUROS COLOMBIA S.A.</t>
  </si>
  <si>
    <t xml:space="preserve">FP1966661</t>
  </si>
  <si>
    <t xml:space="preserve">890312749</t>
  </si>
  <si>
    <t xml:space="preserve">SEGURIDAD ATLAS LTDA.</t>
  </si>
  <si>
    <t xml:space="preserve">NACL645723</t>
  </si>
  <si>
    <t xml:space="preserve">900472949</t>
  </si>
  <si>
    <t xml:space="preserve">SEGURIDAD INDUSTRIAL Y MEDICA S.A.S</t>
  </si>
  <si>
    <t xml:space="preserve">FEVS33014</t>
  </si>
  <si>
    <t xml:space="preserve">890903790</t>
  </si>
  <si>
    <t xml:space="preserve">SEGUROS DE VIDA  SURAMERICANA S.A</t>
  </si>
  <si>
    <t xml:space="preserve">20833774454</t>
  </si>
  <si>
    <t xml:space="preserve">1144211823</t>
  </si>
  <si>
    <t xml:space="preserve">SERGIO CABEZAS RONDON</t>
  </si>
  <si>
    <t xml:space="preserve">FE22239</t>
  </si>
  <si>
    <t xml:space="preserve">901142152</t>
  </si>
  <si>
    <t xml:space="preserve">SERVICENTRO PLAZA BOLIVAR SAS</t>
  </si>
  <si>
    <t xml:space="preserve">FE1707601</t>
  </si>
  <si>
    <t xml:space="preserve">860512330</t>
  </si>
  <si>
    <t xml:space="preserve">SERVIENTREGA S.A.</t>
  </si>
  <si>
    <t xml:space="preserve">D335111256</t>
  </si>
  <si>
    <t xml:space="preserve">1061716861</t>
  </si>
  <si>
    <t xml:space="preserve">SILVA PITO YESIKA TATIANA</t>
  </si>
  <si>
    <t xml:space="preserve">HFRP319</t>
  </si>
  <si>
    <t xml:space="preserve">890319193</t>
  </si>
  <si>
    <t xml:space="preserve">SISTEMAS DE INFORMACION EMPRESARIAL S.A.S.</t>
  </si>
  <si>
    <t xml:space="preserve">4 documento(s)</t>
  </si>
  <si>
    <t xml:space="preserve">01IE186475</t>
  </si>
  <si>
    <t xml:space="preserve">01IE186476</t>
  </si>
  <si>
    <t xml:space="preserve">01IE187730</t>
  </si>
  <si>
    <t xml:space="preserve">01IE188127</t>
  </si>
  <si>
    <t xml:space="preserve">800242106</t>
  </si>
  <si>
    <t xml:space="preserve">SODIMAC COLOMBIA S.A.</t>
  </si>
  <si>
    <t xml:space="preserve">3107100394201</t>
  </si>
  <si>
    <t xml:space="preserve">3109100485042</t>
  </si>
  <si>
    <t xml:space="preserve">900880380</t>
  </si>
  <si>
    <t xml:space="preserve">SOLOCINTAS Y ADHESIVOS S.A.S.</t>
  </si>
  <si>
    <t xml:space="preserve">SC10982</t>
  </si>
  <si>
    <t xml:space="preserve">901176966</t>
  </si>
  <si>
    <t xml:space="preserve">SOLUCIONES SOSTENIBLES DE COLOMBIA SAS</t>
  </si>
  <si>
    <t xml:space="preserve">FESC181</t>
  </si>
  <si>
    <t xml:space="preserve">890107487</t>
  </si>
  <si>
    <t xml:space="preserve">SUPERTIENDAS Y DROGUERIAS OLIMPICA S.A.</t>
  </si>
  <si>
    <t xml:space="preserve">06NO45689</t>
  </si>
  <si>
    <t xml:space="preserve">900943243</t>
  </si>
  <si>
    <t xml:space="preserve">SURAMERICA COMERCIAL S.A.S</t>
  </si>
  <si>
    <t xml:space="preserve">F0512074338</t>
  </si>
  <si>
    <t xml:space="preserve">901149951</t>
  </si>
  <si>
    <t xml:space="preserve">TECNOLOGIA INFORMATICA Y COMUNICACIONES SAS</t>
  </si>
  <si>
    <t xml:space="preserve">FE134820</t>
  </si>
  <si>
    <t xml:space="preserve">FE135099</t>
  </si>
  <si>
    <t xml:space="preserve">FE135175</t>
  </si>
  <si>
    <t xml:space="preserve">FE135492</t>
  </si>
  <si>
    <t xml:space="preserve">1130602799</t>
  </si>
  <si>
    <t xml:space="preserve">TORRES  LAURA MARCELA</t>
  </si>
  <si>
    <t xml:space="preserve">NDSE1754</t>
  </si>
  <si>
    <t xml:space="preserve">890301067</t>
  </si>
  <si>
    <t xml:space="preserve">TRANSPORTADORA LA PRENSA DEL VALLE S.A.S</t>
  </si>
  <si>
    <t xml:space="preserve">FED163972</t>
  </si>
  <si>
    <t xml:space="preserve">FED164914</t>
  </si>
  <si>
    <t xml:space="preserve">900972608</t>
  </si>
  <si>
    <t xml:space="preserve">VALENCIA ALARCON &amp; ASOCIADOS S.A.S</t>
  </si>
  <si>
    <t xml:space="preserve">FE398</t>
  </si>
  <si>
    <t xml:space="preserve">FE399</t>
  </si>
  <si>
    <t xml:space="preserve">NC17</t>
  </si>
  <si>
    <t xml:space="preserve">1113688126</t>
  </si>
  <si>
    <t xml:space="preserve">VALENTINA YEPES ABADIA</t>
  </si>
  <si>
    <t xml:space="preserve">FE71</t>
  </si>
  <si>
    <t xml:space="preserve">16736049</t>
  </si>
  <si>
    <t xml:space="preserve">VARGAS JIMENEZ JOSE ALBERTO</t>
  </si>
  <si>
    <t xml:space="preserve">NDSE1747</t>
  </si>
  <si>
    <t xml:space="preserve">901944570</t>
  </si>
  <si>
    <t xml:space="preserve">ZIGMA ECOOM SAS</t>
  </si>
  <si>
    <t xml:space="preserve">FEZ1780</t>
  </si>
  <si>
    <t xml:space="preserve">FEZ1786</t>
  </si>
  <si>
    <t xml:space="preserve">FEZ26</t>
  </si>
  <si>
    <t xml:space="preserve">Grupo DIAN</t>
  </si>
  <si>
    <t xml:space="preserve">Estado documento</t>
  </si>
  <si>
    <t xml:space="preserve">Diferencia</t>
  </si>
  <si>
    <t xml:space="preserve">Estado tercero</t>
  </si>
  <si>
    <t xml:space="preserve">No está en DIAN</t>
  </si>
  <si>
    <t xml:space="preserve">Recibido</t>
  </si>
  <si>
    <t xml:space="preserve">Emitido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</si>
</sst>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;[RED]\-#,##0.00"/>
    <numFmt numFmtId="166" formatCode="dd/mm/yy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8CBA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6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BaseComparacion" displayName="BaseComparacion" ref="A1:K185" headerRowCount="1" totalsRowCount="0" totalsRowShown="0">
  <autoFilter ref="A1:K185"/>
  <tableColumns count="11">
    <tableColumn id="1" name="NIT"/>
    <tableColumn id="2" name="Tercero"/>
    <tableColumn id="3" name="Documento"/>
    <tableColumn id="4" name="Tipo de documento"/>
    <tableColumn id="5" name="Grupo DIAN"/>
    <tableColumn id="6" name="Fecha emisión"/>
    <tableColumn id="7" name="Estado documento"/>
    <tableColumn id="8" name="Valor DIAN"/>
    <tableColumn id="9" name="Valor SIESA"/>
    <tableColumn id="10" name="Diferencia"/>
    <tableColumn id="11" name="Estado tercero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 summaryRight="1"/>
    <pageSetUpPr fitToPage="false"/>
  </sheetPr>
  <dimension ref="A1:I2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14"/>
    <col collapsed="false" customWidth="true" hidden="false" outlineLevel="0" max="2" min="2" style="0" width="46"/>
    <col collapsed="false" customWidth="true" hidden="false" outlineLevel="0" max="3" min="3" style="0" width="22"/>
    <col collapsed="false" customWidth="true" hidden="false" outlineLevel="0" max="4" min="4" style="0" width="44"/>
    <col collapsed="false" customWidth="true" hidden="false" outlineLevel="0" max="6" min="5" style="0" width="16"/>
    <col collapsed="false" customWidth="true" hidden="false" outlineLevel="0" max="7" min="7" style="0" width="20"/>
    <col collapsed="false" customWidth="true" hidden="false" outlineLevel="0" max="8" min="8" style="0" width="22"/>
    <col collapsed="false" customWidth="true" hidden="false" outlineLevel="0" max="9" min="9" style="0" width="13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  <c r="B2" s="2" t="s">
        <v>1</v>
      </c>
      <c r="C2" s="2"/>
      <c r="D2" s="2"/>
      <c r="E2" s="2" t="n">
        <f aca="false">SUMIF($D$5:$D$10000,"TOTAL TERCERO",E5:E10000)</f>
        <v>345549263.52</v>
      </c>
      <c r="F2" s="2" t="n">
        <f aca="false">SUMIF($D$5:$D$10000,"TOTAL TERCERO",F5:F10000)</f>
        <v>283038611</v>
      </c>
      <c r="G2" s="2" t="n">
        <f aca="false">E2-F2</f>
        <v>62510652.52</v>
      </c>
      <c r="H2" s="2"/>
      <c r="I2" s="2"/>
    </row>
    <row r="3" customFormat="false" ht="15" hidden="false" customHeight="false" outlineLevel="0" collapsed="false">
      <c r="E3" s="3"/>
      <c r="F3" s="3"/>
      <c r="G3" s="3"/>
    </row>
    <row r="4" customFormat="false" ht="26.8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5" t="s">
        <v>6</v>
      </c>
      <c r="F4" s="5" t="s">
        <v>7</v>
      </c>
      <c r="G4" s="5" t="s">
        <v>8</v>
      </c>
      <c r="H4" s="4" t="s">
        <v>9</v>
      </c>
      <c r="I4" s="4" t="s">
        <v>10</v>
      </c>
    </row>
    <row r="5" customFormat="false" ht="15" hidden="false" customHeight="false" outlineLevel="0" collapsed="false">
      <c r="A5" s="6" t="s">
        <v>11</v>
      </c>
      <c r="B5" s="6" t="s">
        <v>12</v>
      </c>
      <c r="C5" s="6" t="s">
        <v>13</v>
      </c>
      <c r="D5" s="6" t="s">
        <v>14</v>
      </c>
      <c r="E5" s="7" t="n">
        <f aca="false">SUMIFS(Base!$H:$H,Base!$A:$A,$A5)</f>
        <v>0</v>
      </c>
      <c r="F5" s="7" t="n">
        <f aca="false">SUMIFS(Base!$I:$I,Base!$A:$A,$A5)</f>
        <v>100600</v>
      </c>
      <c r="G5" s="7" t="n">
        <f aca="false">E5-F5</f>
        <v>-100600</v>
      </c>
      <c r="H5" s="8" t="s">
        <v>15</v>
      </c>
      <c r="I5" s="6"/>
    </row>
    <row r="6" customFormat="false" ht="15" hidden="true" customHeight="false" outlineLevel="1" collapsed="false">
      <c r="A6" s="9" t="s">
        <v>11</v>
      </c>
      <c r="B6" s="9" t="s">
        <v>12</v>
      </c>
      <c r="C6" s="9" t="s">
        <v>16</v>
      </c>
      <c r="D6" s="9" t="s">
        <v>17</v>
      </c>
      <c r="E6" s="10"/>
      <c r="F6" s="10" t="n">
        <v>100600</v>
      </c>
      <c r="G6" s="10" t="n">
        <f aca="false">N(E6)-N(F6)</f>
        <v>-100600</v>
      </c>
      <c r="H6" s="11" t="s">
        <v>18</v>
      </c>
      <c r="I6" s="12" t="n">
        <v>46318</v>
      </c>
    </row>
    <row r="7" customFormat="false" ht="15" hidden="false" customHeight="false" outlineLevel="0" collapsed="false">
      <c r="A7" s="6" t="s">
        <v>19</v>
      </c>
      <c r="B7" s="6" t="s">
        <v>20</v>
      </c>
      <c r="C7" s="6" t="s">
        <v>13</v>
      </c>
      <c r="D7" s="6" t="s">
        <v>14</v>
      </c>
      <c r="E7" s="7" t="n">
        <f aca="false">SUMIFS(Base!$H:$H,Base!$A:$A,$A7)</f>
        <v>14515620</v>
      </c>
      <c r="F7" s="7" t="n">
        <f aca="false">SUMIFS(Base!$I:$I,Base!$A:$A,$A7)</f>
        <v>14515620</v>
      </c>
      <c r="G7" s="7" t="n">
        <f aca="false">E7-F7</f>
        <v>0</v>
      </c>
      <c r="H7" s="6" t="s">
        <v>21</v>
      </c>
      <c r="I7" s="6"/>
    </row>
    <row r="8" customFormat="false" ht="15" hidden="true" customHeight="false" outlineLevel="1" collapsed="false">
      <c r="A8" s="9" t="s">
        <v>19</v>
      </c>
      <c r="B8" s="9" t="s">
        <v>20</v>
      </c>
      <c r="C8" s="9" t="s">
        <v>22</v>
      </c>
      <c r="D8" s="9" t="s">
        <v>23</v>
      </c>
      <c r="E8" s="10" t="n">
        <v>14515620</v>
      </c>
      <c r="F8" s="10" t="n">
        <v>14515620</v>
      </c>
      <c r="G8" s="10" t="n">
        <f aca="false">N(E8)-N(F8)</f>
        <v>0</v>
      </c>
      <c r="H8" s="9" t="s">
        <v>21</v>
      </c>
      <c r="I8" s="12" t="n">
        <v>46296</v>
      </c>
    </row>
    <row r="9" customFormat="false" ht="15" hidden="false" customHeight="false" outlineLevel="0" collapsed="false">
      <c r="A9" s="6" t="s">
        <v>24</v>
      </c>
      <c r="B9" s="6" t="s">
        <v>25</v>
      </c>
      <c r="C9" s="6" t="s">
        <v>26</v>
      </c>
      <c r="D9" s="6" t="s">
        <v>14</v>
      </c>
      <c r="E9" s="7" t="n">
        <f aca="false">SUMIFS(Base!$H:$H,Base!$A:$A,$A9)</f>
        <v>4972558</v>
      </c>
      <c r="F9" s="7" t="n">
        <f aca="false">SUMIFS(Base!$I:$I,Base!$A:$A,$A9)</f>
        <v>4450876</v>
      </c>
      <c r="G9" s="7" t="n">
        <f aca="false">E9-F9</f>
        <v>521682</v>
      </c>
      <c r="H9" s="13" t="s">
        <v>27</v>
      </c>
      <c r="I9" s="6"/>
    </row>
    <row r="10" customFormat="false" ht="15" hidden="true" customHeight="false" outlineLevel="1" collapsed="false">
      <c r="A10" s="9" t="s">
        <v>24</v>
      </c>
      <c r="B10" s="9" t="s">
        <v>25</v>
      </c>
      <c r="C10" s="9" t="s">
        <v>28</v>
      </c>
      <c r="D10" s="9" t="s">
        <v>29</v>
      </c>
      <c r="E10" s="10" t="n">
        <v>521682</v>
      </c>
      <c r="F10" s="10"/>
      <c r="G10" s="10" t="n">
        <f aca="false">N(E10)-N(F10)</f>
        <v>521682</v>
      </c>
      <c r="H10" s="11" t="s">
        <v>30</v>
      </c>
      <c r="I10" s="12" t="n">
        <v>46296</v>
      </c>
    </row>
    <row r="11" customFormat="false" ht="15" hidden="true" customHeight="false" outlineLevel="1" collapsed="false">
      <c r="A11" s="9" t="s">
        <v>24</v>
      </c>
      <c r="B11" s="9" t="s">
        <v>25</v>
      </c>
      <c r="C11" s="9" t="s">
        <v>31</v>
      </c>
      <c r="D11" s="9" t="s">
        <v>23</v>
      </c>
      <c r="E11" s="10" t="n">
        <v>4450876</v>
      </c>
      <c r="F11" s="10" t="n">
        <v>4450876</v>
      </c>
      <c r="G11" s="10" t="n">
        <f aca="false">N(E11)-N(F11)</f>
        <v>0</v>
      </c>
      <c r="H11" s="9" t="s">
        <v>21</v>
      </c>
      <c r="I11" s="12" t="n">
        <v>46310</v>
      </c>
    </row>
    <row r="12" customFormat="false" ht="15" hidden="false" customHeight="false" outlineLevel="0" collapsed="false">
      <c r="A12" s="6" t="s">
        <v>32</v>
      </c>
      <c r="B12" s="6" t="s">
        <v>33</v>
      </c>
      <c r="C12" s="6" t="s">
        <v>13</v>
      </c>
      <c r="D12" s="6" t="s">
        <v>14</v>
      </c>
      <c r="E12" s="7" t="n">
        <f aca="false">SUMIFS(Base!$H:$H,Base!$A:$A,$A12)</f>
        <v>2399877.76</v>
      </c>
      <c r="F12" s="7" t="n">
        <f aca="false">SUMIFS(Base!$I:$I,Base!$A:$A,$A12)</f>
        <v>2399877.76</v>
      </c>
      <c r="G12" s="7" t="n">
        <f aca="false">E12-F12</f>
        <v>0</v>
      </c>
      <c r="H12" s="6" t="s">
        <v>21</v>
      </c>
      <c r="I12" s="6"/>
    </row>
    <row r="13" customFormat="false" ht="15" hidden="true" customHeight="false" outlineLevel="1" collapsed="false">
      <c r="A13" s="9" t="s">
        <v>32</v>
      </c>
      <c r="B13" s="9" t="s">
        <v>33</v>
      </c>
      <c r="C13" s="9" t="s">
        <v>34</v>
      </c>
      <c r="D13" s="9" t="s">
        <v>23</v>
      </c>
      <c r="E13" s="10" t="n">
        <v>2399877.76</v>
      </c>
      <c r="F13" s="10" t="n">
        <v>2399877.76</v>
      </c>
      <c r="G13" s="10" t="n">
        <f aca="false">N(E13)-N(F13)</f>
        <v>0</v>
      </c>
      <c r="H13" s="9" t="s">
        <v>21</v>
      </c>
      <c r="I13" s="12" t="n">
        <v>46300</v>
      </c>
    </row>
    <row r="14" customFormat="false" ht="15" hidden="false" customHeight="false" outlineLevel="0" collapsed="false">
      <c r="A14" s="6" t="s">
        <v>35</v>
      </c>
      <c r="B14" s="6" t="s">
        <v>36</v>
      </c>
      <c r="C14" s="6" t="s">
        <v>13</v>
      </c>
      <c r="D14" s="6" t="s">
        <v>14</v>
      </c>
      <c r="E14" s="7" t="n">
        <f aca="false">SUMIFS(Base!$H:$H,Base!$A:$A,$A14)</f>
        <v>350000</v>
      </c>
      <c r="F14" s="7" t="n">
        <f aca="false">SUMIFS(Base!$I:$I,Base!$A:$A,$A14)</f>
        <v>0</v>
      </c>
      <c r="G14" s="7" t="n">
        <f aca="false">E14-F14</f>
        <v>350000</v>
      </c>
      <c r="H14" s="8" t="s">
        <v>37</v>
      </c>
      <c r="I14" s="6"/>
    </row>
    <row r="15" customFormat="false" ht="15" hidden="true" customHeight="false" outlineLevel="1" collapsed="false">
      <c r="A15" s="9" t="s">
        <v>35</v>
      </c>
      <c r="B15" s="9" t="s">
        <v>36</v>
      </c>
      <c r="C15" s="9" t="s">
        <v>38</v>
      </c>
      <c r="D15" s="9" t="s">
        <v>39</v>
      </c>
      <c r="E15" s="10" t="n">
        <v>350000</v>
      </c>
      <c r="F15" s="10"/>
      <c r="G15" s="10" t="n">
        <f aca="false">N(E15)-N(F15)</f>
        <v>350000</v>
      </c>
      <c r="H15" s="11" t="s">
        <v>30</v>
      </c>
      <c r="I15" s="12" t="n">
        <v>46317</v>
      </c>
    </row>
    <row r="16" customFormat="false" ht="15" hidden="false" customHeight="false" outlineLevel="0" collapsed="false">
      <c r="A16" s="6" t="s">
        <v>40</v>
      </c>
      <c r="B16" s="6" t="s">
        <v>41</v>
      </c>
      <c r="C16" s="6" t="s">
        <v>42</v>
      </c>
      <c r="D16" s="6" t="s">
        <v>14</v>
      </c>
      <c r="E16" s="7" t="n">
        <f aca="false">SUMIFS(Base!$H:$H,Base!$A:$A,$A16)</f>
        <v>602986.09</v>
      </c>
      <c r="F16" s="7" t="n">
        <f aca="false">SUMIFS(Base!$I:$I,Base!$A:$A,$A16)</f>
        <v>1205969.8</v>
      </c>
      <c r="G16" s="7" t="n">
        <f aca="false">E16-F16</f>
        <v>-602983.71</v>
      </c>
      <c r="H16" s="13" t="s">
        <v>27</v>
      </c>
      <c r="I16" s="6"/>
    </row>
    <row r="17" customFormat="false" ht="15" hidden="true" customHeight="false" outlineLevel="1" collapsed="false">
      <c r="A17" s="9" t="s">
        <v>40</v>
      </c>
      <c r="B17" s="9" t="s">
        <v>41</v>
      </c>
      <c r="C17" s="9" t="s">
        <v>43</v>
      </c>
      <c r="D17" s="9" t="s">
        <v>23</v>
      </c>
      <c r="E17" s="10" t="n">
        <v>598985.31</v>
      </c>
      <c r="F17" s="10" t="n">
        <v>598985.31</v>
      </c>
      <c r="G17" s="10" t="n">
        <f aca="false">N(E17)-N(F17)</f>
        <v>0</v>
      </c>
      <c r="H17" s="9" t="s">
        <v>21</v>
      </c>
      <c r="I17" s="12" t="n">
        <v>46301</v>
      </c>
    </row>
    <row r="18" customFormat="false" ht="15" hidden="true" customHeight="false" outlineLevel="1" collapsed="false">
      <c r="A18" s="9" t="s">
        <v>40</v>
      </c>
      <c r="B18" s="9" t="s">
        <v>41</v>
      </c>
      <c r="C18" s="9" t="s">
        <v>44</v>
      </c>
      <c r="D18" s="9" t="s">
        <v>45</v>
      </c>
      <c r="E18" s="10" t="n">
        <v>-602983.71</v>
      </c>
      <c r="F18" s="10"/>
      <c r="G18" s="10" t="n">
        <f aca="false">N(E18)-N(F18)</f>
        <v>-602983.71</v>
      </c>
      <c r="H18" s="11" t="s">
        <v>30</v>
      </c>
      <c r="I18" s="12" t="n">
        <v>46301</v>
      </c>
    </row>
    <row r="19" customFormat="false" ht="15" hidden="true" customHeight="false" outlineLevel="1" collapsed="false">
      <c r="A19" s="9" t="s">
        <v>40</v>
      </c>
      <c r="B19" s="9" t="s">
        <v>41</v>
      </c>
      <c r="C19" s="9" t="s">
        <v>46</v>
      </c>
      <c r="D19" s="9" t="s">
        <v>23</v>
      </c>
      <c r="E19" s="10" t="n">
        <v>606984.49</v>
      </c>
      <c r="F19" s="10" t="n">
        <v>606984.49</v>
      </c>
      <c r="G19" s="10" t="n">
        <f aca="false">N(E19)-N(F19)</f>
        <v>0</v>
      </c>
      <c r="H19" s="9" t="s">
        <v>21</v>
      </c>
      <c r="I19" s="12" t="n">
        <v>46303</v>
      </c>
    </row>
    <row r="20" customFormat="false" ht="15" hidden="false" customHeight="false" outlineLevel="0" collapsed="false">
      <c r="A20" s="6" t="s">
        <v>47</v>
      </c>
      <c r="B20" s="6" t="s">
        <v>48</v>
      </c>
      <c r="C20" s="6" t="s">
        <v>13</v>
      </c>
      <c r="D20" s="6" t="s">
        <v>14</v>
      </c>
      <c r="E20" s="7" t="n">
        <f aca="false">SUMIFS(Base!$H:$H,Base!$A:$A,$A20)</f>
        <v>130900</v>
      </c>
      <c r="F20" s="7" t="n">
        <f aca="false">SUMIFS(Base!$I:$I,Base!$A:$A,$A20)</f>
        <v>130900</v>
      </c>
      <c r="G20" s="7" t="n">
        <f aca="false">E20-F20</f>
        <v>0</v>
      </c>
      <c r="H20" s="6" t="s">
        <v>21</v>
      </c>
      <c r="I20" s="6"/>
    </row>
    <row r="21" customFormat="false" ht="15" hidden="true" customHeight="false" outlineLevel="1" collapsed="false">
      <c r="A21" s="9" t="s">
        <v>47</v>
      </c>
      <c r="B21" s="9" t="s">
        <v>48</v>
      </c>
      <c r="C21" s="9" t="s">
        <v>49</v>
      </c>
      <c r="D21" s="9" t="s">
        <v>23</v>
      </c>
      <c r="E21" s="10" t="n">
        <v>130900</v>
      </c>
      <c r="F21" s="10" t="n">
        <v>130900</v>
      </c>
      <c r="G21" s="10" t="n">
        <f aca="false">N(E21)-N(F21)</f>
        <v>0</v>
      </c>
      <c r="H21" s="9" t="s">
        <v>21</v>
      </c>
      <c r="I21" s="12" t="n">
        <v>46316</v>
      </c>
    </row>
    <row r="22" customFormat="false" ht="15" hidden="false" customHeight="false" outlineLevel="0" collapsed="false">
      <c r="A22" s="6" t="s">
        <v>50</v>
      </c>
      <c r="B22" s="6" t="s">
        <v>51</v>
      </c>
      <c r="C22" s="6" t="s">
        <v>13</v>
      </c>
      <c r="D22" s="6" t="s">
        <v>14</v>
      </c>
      <c r="E22" s="7" t="n">
        <f aca="false">SUMIFS(Base!$H:$H,Base!$A:$A,$A22)</f>
        <v>300000</v>
      </c>
      <c r="F22" s="7" t="n">
        <f aca="false">SUMIFS(Base!$I:$I,Base!$A:$A,$A22)</f>
        <v>0</v>
      </c>
      <c r="G22" s="7" t="n">
        <f aca="false">E22-F22</f>
        <v>300000</v>
      </c>
      <c r="H22" s="8" t="s">
        <v>37</v>
      </c>
      <c r="I22" s="6"/>
    </row>
    <row r="23" customFormat="false" ht="15" hidden="true" customHeight="false" outlineLevel="1" collapsed="false">
      <c r="A23" s="9" t="s">
        <v>50</v>
      </c>
      <c r="B23" s="9" t="s">
        <v>51</v>
      </c>
      <c r="C23" s="9" t="s">
        <v>52</v>
      </c>
      <c r="D23" s="9" t="s">
        <v>39</v>
      </c>
      <c r="E23" s="10" t="n">
        <v>300000</v>
      </c>
      <c r="F23" s="10"/>
      <c r="G23" s="10" t="n">
        <f aca="false">N(E23)-N(F23)</f>
        <v>300000</v>
      </c>
      <c r="H23" s="11" t="s">
        <v>30</v>
      </c>
      <c r="I23" s="12" t="n">
        <v>46302</v>
      </c>
    </row>
    <row r="24" customFormat="false" ht="15" hidden="false" customHeight="false" outlineLevel="0" collapsed="false">
      <c r="A24" s="6" t="s">
        <v>53</v>
      </c>
      <c r="B24" s="6" t="s">
        <v>54</v>
      </c>
      <c r="C24" s="6" t="s">
        <v>13</v>
      </c>
      <c r="D24" s="6" t="s">
        <v>14</v>
      </c>
      <c r="E24" s="7" t="n">
        <f aca="false">SUMIFS(Base!$H:$H,Base!$A:$A,$A24)</f>
        <v>210011.46</v>
      </c>
      <c r="F24" s="7" t="n">
        <f aca="false">SUMIFS(Base!$I:$I,Base!$A:$A,$A24)</f>
        <v>0</v>
      </c>
      <c r="G24" s="7" t="n">
        <f aca="false">E24-F24</f>
        <v>210011.46</v>
      </c>
      <c r="H24" s="8" t="s">
        <v>37</v>
      </c>
      <c r="I24" s="6"/>
    </row>
    <row r="25" customFormat="false" ht="15" hidden="true" customHeight="false" outlineLevel="1" collapsed="false">
      <c r="A25" s="9" t="s">
        <v>53</v>
      </c>
      <c r="B25" s="9" t="s">
        <v>54</v>
      </c>
      <c r="C25" s="9" t="s">
        <v>55</v>
      </c>
      <c r="D25" s="9" t="s">
        <v>23</v>
      </c>
      <c r="E25" s="10" t="n">
        <v>210011.46</v>
      </c>
      <c r="F25" s="10"/>
      <c r="G25" s="10" t="n">
        <f aca="false">N(E25)-N(F25)</f>
        <v>210011.46</v>
      </c>
      <c r="H25" s="11" t="s">
        <v>30</v>
      </c>
      <c r="I25" s="12" t="n">
        <v>46307</v>
      </c>
    </row>
    <row r="26" customFormat="false" ht="15" hidden="false" customHeight="false" outlineLevel="0" collapsed="false">
      <c r="A26" s="6" t="s">
        <v>56</v>
      </c>
      <c r="B26" s="6" t="s">
        <v>57</v>
      </c>
      <c r="C26" s="6" t="s">
        <v>13</v>
      </c>
      <c r="D26" s="6" t="s">
        <v>14</v>
      </c>
      <c r="E26" s="7" t="n">
        <f aca="false">SUMIFS(Base!$H:$H,Base!$A:$A,$A26)</f>
        <v>100000</v>
      </c>
      <c r="F26" s="7" t="n">
        <f aca="false">SUMIFS(Base!$I:$I,Base!$A:$A,$A26)</f>
        <v>100000</v>
      </c>
      <c r="G26" s="7" t="n">
        <f aca="false">E26-F26</f>
        <v>0</v>
      </c>
      <c r="H26" s="6" t="s">
        <v>21</v>
      </c>
      <c r="I26" s="6"/>
    </row>
    <row r="27" customFormat="false" ht="15" hidden="true" customHeight="false" outlineLevel="1" collapsed="false">
      <c r="A27" s="9" t="s">
        <v>56</v>
      </c>
      <c r="B27" s="9" t="s">
        <v>57</v>
      </c>
      <c r="C27" s="9" t="s">
        <v>58</v>
      </c>
      <c r="D27" s="9" t="s">
        <v>23</v>
      </c>
      <c r="E27" s="10" t="n">
        <v>100000</v>
      </c>
      <c r="F27" s="10" t="n">
        <v>100000</v>
      </c>
      <c r="G27" s="10" t="n">
        <f aca="false">N(E27)-N(F27)</f>
        <v>0</v>
      </c>
      <c r="H27" s="9" t="s">
        <v>21</v>
      </c>
      <c r="I27" s="12" t="n">
        <v>46316</v>
      </c>
    </row>
    <row r="28" customFormat="false" ht="15" hidden="false" customHeight="false" outlineLevel="0" collapsed="false">
      <c r="A28" s="6" t="s">
        <v>59</v>
      </c>
      <c r="B28" s="6" t="s">
        <v>60</v>
      </c>
      <c r="C28" s="6" t="s">
        <v>13</v>
      </c>
      <c r="D28" s="6" t="s">
        <v>14</v>
      </c>
      <c r="E28" s="7" t="n">
        <f aca="false">SUMIFS(Base!$H:$H,Base!$A:$A,$A28)</f>
        <v>25000</v>
      </c>
      <c r="F28" s="7" t="n">
        <f aca="false">SUMIFS(Base!$I:$I,Base!$A:$A,$A28)</f>
        <v>0</v>
      </c>
      <c r="G28" s="7" t="n">
        <f aca="false">E28-F28</f>
        <v>25000</v>
      </c>
      <c r="H28" s="8" t="s">
        <v>37</v>
      </c>
      <c r="I28" s="6"/>
    </row>
    <row r="29" customFormat="false" ht="15" hidden="true" customHeight="false" outlineLevel="1" collapsed="false">
      <c r="A29" s="9" t="s">
        <v>59</v>
      </c>
      <c r="B29" s="9" t="s">
        <v>60</v>
      </c>
      <c r="C29" s="9" t="s">
        <v>61</v>
      </c>
      <c r="D29" s="9" t="s">
        <v>23</v>
      </c>
      <c r="E29" s="10" t="n">
        <v>25000</v>
      </c>
      <c r="F29" s="10"/>
      <c r="G29" s="10" t="n">
        <f aca="false">N(E29)-N(F29)</f>
        <v>25000</v>
      </c>
      <c r="H29" s="11" t="s">
        <v>30</v>
      </c>
      <c r="I29" s="12" t="n">
        <v>46314</v>
      </c>
    </row>
    <row r="30" customFormat="false" ht="15" hidden="false" customHeight="false" outlineLevel="0" collapsed="false">
      <c r="A30" s="6" t="s">
        <v>62</v>
      </c>
      <c r="B30" s="6" t="s">
        <v>63</v>
      </c>
      <c r="C30" s="6" t="s">
        <v>26</v>
      </c>
      <c r="D30" s="6" t="s">
        <v>14</v>
      </c>
      <c r="E30" s="7" t="n">
        <f aca="false">SUMIFS(Base!$H:$H,Base!$A:$A,$A30)</f>
        <v>2628000</v>
      </c>
      <c r="F30" s="7" t="n">
        <f aca="false">SUMIFS(Base!$I:$I,Base!$A:$A,$A30)</f>
        <v>0</v>
      </c>
      <c r="G30" s="7" t="n">
        <f aca="false">E30-F30</f>
        <v>2628000</v>
      </c>
      <c r="H30" s="8" t="s">
        <v>37</v>
      </c>
      <c r="I30" s="6"/>
    </row>
    <row r="31" customFormat="false" ht="15" hidden="true" customHeight="false" outlineLevel="1" collapsed="false">
      <c r="A31" s="9" t="s">
        <v>62</v>
      </c>
      <c r="B31" s="9" t="s">
        <v>63</v>
      </c>
      <c r="C31" s="9" t="s">
        <v>64</v>
      </c>
      <c r="D31" s="9" t="s">
        <v>39</v>
      </c>
      <c r="E31" s="10" t="n">
        <v>1428000</v>
      </c>
      <c r="F31" s="10"/>
      <c r="G31" s="10" t="n">
        <f aca="false">N(E31)-N(F31)</f>
        <v>1428000</v>
      </c>
      <c r="H31" s="11" t="s">
        <v>30</v>
      </c>
      <c r="I31" s="12" t="n">
        <v>46314</v>
      </c>
    </row>
    <row r="32" customFormat="false" ht="15" hidden="true" customHeight="false" outlineLevel="1" collapsed="false">
      <c r="A32" s="9" t="s">
        <v>62</v>
      </c>
      <c r="B32" s="9" t="s">
        <v>63</v>
      </c>
      <c r="C32" s="9" t="s">
        <v>65</v>
      </c>
      <c r="D32" s="9" t="s">
        <v>39</v>
      </c>
      <c r="E32" s="10" t="n">
        <v>1200000</v>
      </c>
      <c r="F32" s="10"/>
      <c r="G32" s="10" t="n">
        <f aca="false">N(E32)-N(F32)</f>
        <v>1200000</v>
      </c>
      <c r="H32" s="11" t="s">
        <v>30</v>
      </c>
      <c r="I32" s="12" t="n">
        <v>46314</v>
      </c>
    </row>
    <row r="33" customFormat="false" ht="15" hidden="false" customHeight="false" outlineLevel="0" collapsed="false">
      <c r="A33" s="6" t="s">
        <v>66</v>
      </c>
      <c r="B33" s="6" t="s">
        <v>67</v>
      </c>
      <c r="C33" s="6" t="s">
        <v>13</v>
      </c>
      <c r="D33" s="6" t="s">
        <v>14</v>
      </c>
      <c r="E33" s="7" t="n">
        <f aca="false">SUMIFS(Base!$H:$H,Base!$A:$A,$A33)</f>
        <v>4462500</v>
      </c>
      <c r="F33" s="7" t="n">
        <f aca="false">SUMIFS(Base!$I:$I,Base!$A:$A,$A33)</f>
        <v>4462500</v>
      </c>
      <c r="G33" s="7" t="n">
        <f aca="false">E33-F33</f>
        <v>0</v>
      </c>
      <c r="H33" s="6" t="s">
        <v>21</v>
      </c>
      <c r="I33" s="6"/>
    </row>
    <row r="34" customFormat="false" ht="15" hidden="true" customHeight="false" outlineLevel="1" collapsed="false">
      <c r="A34" s="9" t="s">
        <v>66</v>
      </c>
      <c r="B34" s="9" t="s">
        <v>67</v>
      </c>
      <c r="C34" s="9" t="s">
        <v>68</v>
      </c>
      <c r="D34" s="9" t="s">
        <v>23</v>
      </c>
      <c r="E34" s="10" t="n">
        <v>4462500</v>
      </c>
      <c r="F34" s="10" t="n">
        <v>4462500</v>
      </c>
      <c r="G34" s="10" t="n">
        <f aca="false">N(E34)-N(F34)</f>
        <v>0</v>
      </c>
      <c r="H34" s="9" t="s">
        <v>21</v>
      </c>
      <c r="I34" s="12" t="n">
        <v>46301</v>
      </c>
    </row>
    <row r="35" customFormat="false" ht="15" hidden="false" customHeight="false" outlineLevel="0" collapsed="false">
      <c r="A35" s="6" t="s">
        <v>69</v>
      </c>
      <c r="B35" s="6" t="s">
        <v>70</v>
      </c>
      <c r="C35" s="6" t="s">
        <v>13</v>
      </c>
      <c r="D35" s="6" t="s">
        <v>14</v>
      </c>
      <c r="E35" s="7" t="n">
        <f aca="false">SUMIFS(Base!$H:$H,Base!$A:$A,$A35)</f>
        <v>136776.22</v>
      </c>
      <c r="F35" s="7" t="n">
        <f aca="false">SUMIFS(Base!$I:$I,Base!$A:$A,$A35)</f>
        <v>136776.22</v>
      </c>
      <c r="G35" s="7" t="n">
        <f aca="false">E35-F35</f>
        <v>0</v>
      </c>
      <c r="H35" s="6" t="s">
        <v>21</v>
      </c>
      <c r="I35" s="6"/>
    </row>
    <row r="36" customFormat="false" ht="15" hidden="true" customHeight="false" outlineLevel="1" collapsed="false">
      <c r="A36" s="9" t="s">
        <v>69</v>
      </c>
      <c r="B36" s="9" t="s">
        <v>70</v>
      </c>
      <c r="C36" s="9" t="s">
        <v>71</v>
      </c>
      <c r="D36" s="9" t="s">
        <v>23</v>
      </c>
      <c r="E36" s="10" t="n">
        <v>136776.22</v>
      </c>
      <c r="F36" s="10" t="n">
        <v>136776.22</v>
      </c>
      <c r="G36" s="10" t="n">
        <f aca="false">N(E36)-N(F36)</f>
        <v>0</v>
      </c>
      <c r="H36" s="9" t="s">
        <v>21</v>
      </c>
      <c r="I36" s="12" t="n">
        <v>46300</v>
      </c>
    </row>
    <row r="37" customFormat="false" ht="15" hidden="false" customHeight="false" outlineLevel="0" collapsed="false">
      <c r="A37" s="6" t="s">
        <v>72</v>
      </c>
      <c r="B37" s="6" t="s">
        <v>73</v>
      </c>
      <c r="C37" s="6" t="s">
        <v>13</v>
      </c>
      <c r="D37" s="6" t="s">
        <v>14</v>
      </c>
      <c r="E37" s="7" t="n">
        <f aca="false">SUMIFS(Base!$H:$H,Base!$A:$A,$A37)</f>
        <v>168000</v>
      </c>
      <c r="F37" s="7" t="n">
        <f aca="false">SUMIFS(Base!$I:$I,Base!$A:$A,$A37)</f>
        <v>168000</v>
      </c>
      <c r="G37" s="7" t="n">
        <f aca="false">E37-F37</f>
        <v>0</v>
      </c>
      <c r="H37" s="6" t="s">
        <v>21</v>
      </c>
      <c r="I37" s="6"/>
    </row>
    <row r="38" customFormat="false" ht="15" hidden="true" customHeight="false" outlineLevel="1" collapsed="false">
      <c r="A38" s="9" t="s">
        <v>72</v>
      </c>
      <c r="B38" s="9" t="s">
        <v>73</v>
      </c>
      <c r="C38" s="9" t="s">
        <v>74</v>
      </c>
      <c r="D38" s="9" t="s">
        <v>23</v>
      </c>
      <c r="E38" s="10" t="n">
        <v>168000</v>
      </c>
      <c r="F38" s="10" t="n">
        <v>168000</v>
      </c>
      <c r="G38" s="10" t="n">
        <f aca="false">N(E38)-N(F38)</f>
        <v>0</v>
      </c>
      <c r="H38" s="9" t="s">
        <v>21</v>
      </c>
      <c r="I38" s="12" t="n">
        <v>46301</v>
      </c>
    </row>
    <row r="39" customFormat="false" ht="15" hidden="false" customHeight="false" outlineLevel="0" collapsed="false">
      <c r="A39" s="6" t="s">
        <v>75</v>
      </c>
      <c r="B39" s="6" t="s">
        <v>76</v>
      </c>
      <c r="C39" s="6" t="s">
        <v>13</v>
      </c>
      <c r="D39" s="6" t="s">
        <v>14</v>
      </c>
      <c r="E39" s="7" t="n">
        <f aca="false">SUMIFS(Base!$H:$H,Base!$A:$A,$A39)</f>
        <v>19000</v>
      </c>
      <c r="F39" s="7" t="n">
        <f aca="false">SUMIFS(Base!$I:$I,Base!$A:$A,$A39)</f>
        <v>19000</v>
      </c>
      <c r="G39" s="7" t="n">
        <f aca="false">E39-F39</f>
        <v>0</v>
      </c>
      <c r="H39" s="6" t="s">
        <v>21</v>
      </c>
      <c r="I39" s="6"/>
    </row>
    <row r="40" customFormat="false" ht="15" hidden="true" customHeight="false" outlineLevel="1" collapsed="false">
      <c r="A40" s="9" t="s">
        <v>75</v>
      </c>
      <c r="B40" s="9" t="s">
        <v>76</v>
      </c>
      <c r="C40" s="9" t="s">
        <v>77</v>
      </c>
      <c r="D40" s="9" t="s">
        <v>23</v>
      </c>
      <c r="E40" s="10" t="n">
        <v>19000</v>
      </c>
      <c r="F40" s="10" t="n">
        <v>19000</v>
      </c>
      <c r="G40" s="10" t="n">
        <f aca="false">N(E40)-N(F40)</f>
        <v>0</v>
      </c>
      <c r="H40" s="9" t="s">
        <v>21</v>
      </c>
      <c r="I40" s="12" t="n">
        <v>46298</v>
      </c>
    </row>
    <row r="41" customFormat="false" ht="15" hidden="false" customHeight="false" outlineLevel="0" collapsed="false">
      <c r="A41" s="6" t="s">
        <v>78</v>
      </c>
      <c r="B41" s="6" t="s">
        <v>79</v>
      </c>
      <c r="C41" s="6" t="s">
        <v>42</v>
      </c>
      <c r="D41" s="6" t="s">
        <v>14</v>
      </c>
      <c r="E41" s="7" t="n">
        <f aca="false">SUMIFS(Base!$H:$H,Base!$A:$A,$A41)</f>
        <v>1053750</v>
      </c>
      <c r="F41" s="7" t="n">
        <f aca="false">SUMIFS(Base!$I:$I,Base!$A:$A,$A41)</f>
        <v>1263750</v>
      </c>
      <c r="G41" s="7" t="n">
        <f aca="false">E41-F41</f>
        <v>-210000</v>
      </c>
      <c r="H41" s="13" t="s">
        <v>27</v>
      </c>
      <c r="I41" s="6"/>
    </row>
    <row r="42" customFormat="false" ht="15" hidden="true" customHeight="false" outlineLevel="1" collapsed="false">
      <c r="A42" s="9" t="s">
        <v>78</v>
      </c>
      <c r="B42" s="9" t="s">
        <v>79</v>
      </c>
      <c r="C42" s="9" t="s">
        <v>80</v>
      </c>
      <c r="D42" s="9" t="s">
        <v>23</v>
      </c>
      <c r="E42" s="10" t="n">
        <v>310000</v>
      </c>
      <c r="F42" s="10" t="n">
        <v>310000</v>
      </c>
      <c r="G42" s="10" t="n">
        <f aca="false">N(E42)-N(F42)</f>
        <v>0</v>
      </c>
      <c r="H42" s="9" t="s">
        <v>21</v>
      </c>
      <c r="I42" s="12" t="n">
        <v>46297</v>
      </c>
    </row>
    <row r="43" customFormat="false" ht="15" hidden="true" customHeight="false" outlineLevel="1" collapsed="false">
      <c r="A43" s="9" t="s">
        <v>78</v>
      </c>
      <c r="B43" s="9" t="s">
        <v>79</v>
      </c>
      <c r="C43" s="9" t="s">
        <v>81</v>
      </c>
      <c r="D43" s="9" t="s">
        <v>23</v>
      </c>
      <c r="E43" s="10" t="n">
        <v>743750</v>
      </c>
      <c r="F43" s="10" t="n">
        <v>743750</v>
      </c>
      <c r="G43" s="10" t="n">
        <f aca="false">N(E43)-N(F43)</f>
        <v>0</v>
      </c>
      <c r="H43" s="9" t="s">
        <v>21</v>
      </c>
      <c r="I43" s="12" t="n">
        <v>46303</v>
      </c>
    </row>
    <row r="44" customFormat="false" ht="15" hidden="true" customHeight="false" outlineLevel="1" collapsed="false">
      <c r="A44" s="9" t="s">
        <v>78</v>
      </c>
      <c r="B44" s="9" t="s">
        <v>79</v>
      </c>
      <c r="C44" s="9" t="s">
        <v>82</v>
      </c>
      <c r="D44" s="9" t="s">
        <v>17</v>
      </c>
      <c r="E44" s="10"/>
      <c r="F44" s="10" t="n">
        <v>210000</v>
      </c>
      <c r="G44" s="10" t="n">
        <f aca="false">N(E44)-N(F44)</f>
        <v>-210000</v>
      </c>
      <c r="H44" s="11" t="s">
        <v>18</v>
      </c>
      <c r="I44" s="12" t="n">
        <v>46318</v>
      </c>
    </row>
    <row r="45" customFormat="false" ht="15" hidden="false" customHeight="false" outlineLevel="0" collapsed="false">
      <c r="A45" s="6" t="s">
        <v>83</v>
      </c>
      <c r="B45" s="6" t="s">
        <v>84</v>
      </c>
      <c r="C45" s="6" t="s">
        <v>13</v>
      </c>
      <c r="D45" s="6" t="s">
        <v>14</v>
      </c>
      <c r="E45" s="7" t="n">
        <f aca="false">SUMIFS(Base!$H:$H,Base!$A:$A,$A45)</f>
        <v>15000</v>
      </c>
      <c r="F45" s="7" t="n">
        <f aca="false">SUMIFS(Base!$I:$I,Base!$A:$A,$A45)</f>
        <v>15000</v>
      </c>
      <c r="G45" s="7" t="n">
        <f aca="false">E45-F45</f>
        <v>0</v>
      </c>
      <c r="H45" s="6" t="s">
        <v>21</v>
      </c>
      <c r="I45" s="6"/>
    </row>
    <row r="46" customFormat="false" ht="15" hidden="true" customHeight="false" outlineLevel="1" collapsed="false">
      <c r="A46" s="9" t="s">
        <v>83</v>
      </c>
      <c r="B46" s="9" t="s">
        <v>84</v>
      </c>
      <c r="C46" s="9" t="s">
        <v>85</v>
      </c>
      <c r="D46" s="9" t="s">
        <v>23</v>
      </c>
      <c r="E46" s="10" t="n">
        <v>15000</v>
      </c>
      <c r="F46" s="10" t="n">
        <v>15000</v>
      </c>
      <c r="G46" s="10" t="n">
        <f aca="false">N(E46)-N(F46)</f>
        <v>0</v>
      </c>
      <c r="H46" s="9" t="s">
        <v>21</v>
      </c>
      <c r="I46" s="12" t="n">
        <v>46296</v>
      </c>
    </row>
    <row r="47" customFormat="false" ht="15" hidden="false" customHeight="false" outlineLevel="0" collapsed="false">
      <c r="A47" s="6" t="s">
        <v>86</v>
      </c>
      <c r="B47" s="6" t="s">
        <v>87</v>
      </c>
      <c r="C47" s="6" t="s">
        <v>13</v>
      </c>
      <c r="D47" s="6" t="s">
        <v>14</v>
      </c>
      <c r="E47" s="7" t="n">
        <f aca="false">SUMIFS(Base!$H:$H,Base!$A:$A,$A47)</f>
        <v>374594.27</v>
      </c>
      <c r="F47" s="7" t="n">
        <f aca="false">SUMIFS(Base!$I:$I,Base!$A:$A,$A47)</f>
        <v>374594.27</v>
      </c>
      <c r="G47" s="7" t="n">
        <f aca="false">E47-F47</f>
        <v>0</v>
      </c>
      <c r="H47" s="6" t="s">
        <v>21</v>
      </c>
      <c r="I47" s="6"/>
    </row>
    <row r="48" customFormat="false" ht="15" hidden="true" customHeight="false" outlineLevel="1" collapsed="false">
      <c r="A48" s="9" t="s">
        <v>86</v>
      </c>
      <c r="B48" s="9" t="s">
        <v>87</v>
      </c>
      <c r="C48" s="9" t="s">
        <v>88</v>
      </c>
      <c r="D48" s="9" t="s">
        <v>23</v>
      </c>
      <c r="E48" s="10" t="n">
        <v>374594.27</v>
      </c>
      <c r="F48" s="10" t="n">
        <v>374594.27</v>
      </c>
      <c r="G48" s="10" t="n">
        <f aca="false">N(E48)-N(F48)</f>
        <v>0</v>
      </c>
      <c r="H48" s="9" t="s">
        <v>21</v>
      </c>
      <c r="I48" s="12" t="n">
        <v>46308</v>
      </c>
    </row>
    <row r="49" customFormat="false" ht="15" hidden="false" customHeight="false" outlineLevel="0" collapsed="false">
      <c r="A49" s="6" t="s">
        <v>89</v>
      </c>
      <c r="B49" s="6" t="s">
        <v>90</v>
      </c>
      <c r="C49" s="6" t="s">
        <v>91</v>
      </c>
      <c r="D49" s="6" t="s">
        <v>14</v>
      </c>
      <c r="E49" s="7" t="n">
        <f aca="false">SUMIFS(Base!$H:$H,Base!$A:$A,$A49)</f>
        <v>675146</v>
      </c>
      <c r="F49" s="7" t="n">
        <f aca="false">SUMIFS(Base!$I:$I,Base!$A:$A,$A49)</f>
        <v>675146</v>
      </c>
      <c r="G49" s="7" t="n">
        <f aca="false">E49-F49</f>
        <v>0</v>
      </c>
      <c r="H49" s="6" t="s">
        <v>21</v>
      </c>
      <c r="I49" s="6"/>
    </row>
    <row r="50" customFormat="false" ht="15" hidden="true" customHeight="false" outlineLevel="1" collapsed="false">
      <c r="A50" s="9" t="s">
        <v>89</v>
      </c>
      <c r="B50" s="9" t="s">
        <v>90</v>
      </c>
      <c r="C50" s="9" t="s">
        <v>92</v>
      </c>
      <c r="D50" s="9" t="s">
        <v>23</v>
      </c>
      <c r="E50" s="10" t="n">
        <v>21995</v>
      </c>
      <c r="F50" s="10" t="n">
        <v>21995</v>
      </c>
      <c r="G50" s="10" t="n">
        <f aca="false">N(E50)-N(F50)</f>
        <v>0</v>
      </c>
      <c r="H50" s="9" t="s">
        <v>21</v>
      </c>
      <c r="I50" s="12" t="n">
        <v>46306</v>
      </c>
    </row>
    <row r="51" customFormat="false" ht="15" hidden="true" customHeight="false" outlineLevel="1" collapsed="false">
      <c r="A51" s="9" t="s">
        <v>89</v>
      </c>
      <c r="B51" s="9" t="s">
        <v>90</v>
      </c>
      <c r="C51" s="9" t="s">
        <v>93</v>
      </c>
      <c r="D51" s="9" t="s">
        <v>23</v>
      </c>
      <c r="E51" s="10" t="n">
        <v>53293</v>
      </c>
      <c r="F51" s="10" t="n">
        <v>53293</v>
      </c>
      <c r="G51" s="10" t="n">
        <f aca="false">N(E51)-N(F51)</f>
        <v>0</v>
      </c>
      <c r="H51" s="9" t="s">
        <v>21</v>
      </c>
      <c r="I51" s="12" t="n">
        <v>46306</v>
      </c>
    </row>
    <row r="52" customFormat="false" ht="15" hidden="true" customHeight="false" outlineLevel="1" collapsed="false">
      <c r="A52" s="9" t="s">
        <v>89</v>
      </c>
      <c r="B52" s="9" t="s">
        <v>90</v>
      </c>
      <c r="C52" s="9" t="s">
        <v>94</v>
      </c>
      <c r="D52" s="9" t="s">
        <v>23</v>
      </c>
      <c r="E52" s="10" t="n">
        <v>44875</v>
      </c>
      <c r="F52" s="10" t="n">
        <v>44875</v>
      </c>
      <c r="G52" s="10" t="n">
        <f aca="false">N(E52)-N(F52)</f>
        <v>0</v>
      </c>
      <c r="H52" s="9" t="s">
        <v>21</v>
      </c>
      <c r="I52" s="12" t="n">
        <v>46306</v>
      </c>
    </row>
    <row r="53" customFormat="false" ht="15" hidden="true" customHeight="false" outlineLevel="1" collapsed="false">
      <c r="A53" s="9" t="s">
        <v>89</v>
      </c>
      <c r="B53" s="9" t="s">
        <v>90</v>
      </c>
      <c r="C53" s="9" t="s">
        <v>95</v>
      </c>
      <c r="D53" s="9" t="s">
        <v>23</v>
      </c>
      <c r="E53" s="10" t="n">
        <v>12000</v>
      </c>
      <c r="F53" s="10" t="n">
        <v>12000</v>
      </c>
      <c r="G53" s="10" t="n">
        <f aca="false">N(E53)-N(F53)</f>
        <v>0</v>
      </c>
      <c r="H53" s="9" t="s">
        <v>21</v>
      </c>
      <c r="I53" s="12" t="n">
        <v>46306</v>
      </c>
    </row>
    <row r="54" customFormat="false" ht="15" hidden="true" customHeight="false" outlineLevel="1" collapsed="false">
      <c r="A54" s="9" t="s">
        <v>89</v>
      </c>
      <c r="B54" s="9" t="s">
        <v>90</v>
      </c>
      <c r="C54" s="9" t="s">
        <v>96</v>
      </c>
      <c r="D54" s="9" t="s">
        <v>23</v>
      </c>
      <c r="E54" s="10" t="n">
        <v>21995</v>
      </c>
      <c r="F54" s="10" t="n">
        <v>21995</v>
      </c>
      <c r="G54" s="10" t="n">
        <f aca="false">N(E54)-N(F54)</f>
        <v>0</v>
      </c>
      <c r="H54" s="9" t="s">
        <v>21</v>
      </c>
      <c r="I54" s="12" t="n">
        <v>46306</v>
      </c>
    </row>
    <row r="55" customFormat="false" ht="15" hidden="true" customHeight="false" outlineLevel="1" collapsed="false">
      <c r="A55" s="9" t="s">
        <v>89</v>
      </c>
      <c r="B55" s="9" t="s">
        <v>90</v>
      </c>
      <c r="C55" s="9" t="s">
        <v>97</v>
      </c>
      <c r="D55" s="9" t="s">
        <v>23</v>
      </c>
      <c r="E55" s="10" t="n">
        <v>66348</v>
      </c>
      <c r="F55" s="10" t="n">
        <v>66348</v>
      </c>
      <c r="G55" s="10" t="n">
        <f aca="false">N(E55)-N(F55)</f>
        <v>0</v>
      </c>
      <c r="H55" s="9" t="s">
        <v>21</v>
      </c>
      <c r="I55" s="12" t="n">
        <v>46306</v>
      </c>
    </row>
    <row r="56" customFormat="false" ht="15" hidden="true" customHeight="false" outlineLevel="1" collapsed="false">
      <c r="A56" s="9" t="s">
        <v>89</v>
      </c>
      <c r="B56" s="9" t="s">
        <v>90</v>
      </c>
      <c r="C56" s="9" t="s">
        <v>98</v>
      </c>
      <c r="D56" s="9" t="s">
        <v>23</v>
      </c>
      <c r="E56" s="10" t="n">
        <v>21995</v>
      </c>
      <c r="F56" s="10" t="n">
        <v>21995</v>
      </c>
      <c r="G56" s="10" t="n">
        <f aca="false">N(E56)-N(F56)</f>
        <v>0</v>
      </c>
      <c r="H56" s="9" t="s">
        <v>21</v>
      </c>
      <c r="I56" s="12" t="n">
        <v>46306</v>
      </c>
    </row>
    <row r="57" customFormat="false" ht="15" hidden="true" customHeight="false" outlineLevel="1" collapsed="false">
      <c r="A57" s="9" t="s">
        <v>89</v>
      </c>
      <c r="B57" s="9" t="s">
        <v>90</v>
      </c>
      <c r="C57" s="9" t="s">
        <v>99</v>
      </c>
      <c r="D57" s="9" t="s">
        <v>23</v>
      </c>
      <c r="E57" s="10" t="n">
        <v>66348</v>
      </c>
      <c r="F57" s="10" t="n">
        <v>66348</v>
      </c>
      <c r="G57" s="10" t="n">
        <f aca="false">N(E57)-N(F57)</f>
        <v>0</v>
      </c>
      <c r="H57" s="9" t="s">
        <v>21</v>
      </c>
      <c r="I57" s="12" t="n">
        <v>46306</v>
      </c>
    </row>
    <row r="58" customFormat="false" ht="15" hidden="true" customHeight="false" outlineLevel="1" collapsed="false">
      <c r="A58" s="9" t="s">
        <v>89</v>
      </c>
      <c r="B58" s="9" t="s">
        <v>90</v>
      </c>
      <c r="C58" s="9" t="s">
        <v>100</v>
      </c>
      <c r="D58" s="9" t="s">
        <v>23</v>
      </c>
      <c r="E58" s="10" t="n">
        <v>21995</v>
      </c>
      <c r="F58" s="10" t="n">
        <v>21995</v>
      </c>
      <c r="G58" s="10" t="n">
        <f aca="false">N(E58)-N(F58)</f>
        <v>0</v>
      </c>
      <c r="H58" s="9" t="s">
        <v>21</v>
      </c>
      <c r="I58" s="12" t="n">
        <v>46306</v>
      </c>
    </row>
    <row r="59" customFormat="false" ht="15" hidden="true" customHeight="false" outlineLevel="1" collapsed="false">
      <c r="A59" s="9" t="s">
        <v>89</v>
      </c>
      <c r="B59" s="9" t="s">
        <v>90</v>
      </c>
      <c r="C59" s="9" t="s">
        <v>101</v>
      </c>
      <c r="D59" s="9" t="s">
        <v>23</v>
      </c>
      <c r="E59" s="10" t="n">
        <v>44875</v>
      </c>
      <c r="F59" s="10" t="n">
        <v>44875</v>
      </c>
      <c r="G59" s="10" t="n">
        <f aca="false">N(E59)-N(F59)</f>
        <v>0</v>
      </c>
      <c r="H59" s="9" t="s">
        <v>21</v>
      </c>
      <c r="I59" s="12" t="n">
        <v>46306</v>
      </c>
    </row>
    <row r="60" customFormat="false" ht="15" hidden="true" customHeight="false" outlineLevel="1" collapsed="false">
      <c r="A60" s="9" t="s">
        <v>89</v>
      </c>
      <c r="B60" s="9" t="s">
        <v>90</v>
      </c>
      <c r="C60" s="9" t="s">
        <v>102</v>
      </c>
      <c r="D60" s="9" t="s">
        <v>23</v>
      </c>
      <c r="E60" s="10" t="n">
        <v>21995</v>
      </c>
      <c r="F60" s="10" t="n">
        <v>21995</v>
      </c>
      <c r="G60" s="10" t="n">
        <f aca="false">N(E60)-N(F60)</f>
        <v>0</v>
      </c>
      <c r="H60" s="9" t="s">
        <v>21</v>
      </c>
      <c r="I60" s="12" t="n">
        <v>46306</v>
      </c>
    </row>
    <row r="61" customFormat="false" ht="15" hidden="true" customHeight="false" outlineLevel="1" collapsed="false">
      <c r="A61" s="9" t="s">
        <v>89</v>
      </c>
      <c r="B61" s="9" t="s">
        <v>90</v>
      </c>
      <c r="C61" s="9" t="s">
        <v>103</v>
      </c>
      <c r="D61" s="9" t="s">
        <v>23</v>
      </c>
      <c r="E61" s="10" t="n">
        <v>44875</v>
      </c>
      <c r="F61" s="10" t="n">
        <v>44875</v>
      </c>
      <c r="G61" s="10" t="n">
        <f aca="false">N(E61)-N(F61)</f>
        <v>0</v>
      </c>
      <c r="H61" s="9" t="s">
        <v>21</v>
      </c>
      <c r="I61" s="12" t="n">
        <v>46306</v>
      </c>
    </row>
    <row r="62" customFormat="false" ht="15" hidden="true" customHeight="false" outlineLevel="1" collapsed="false">
      <c r="A62" s="9" t="s">
        <v>89</v>
      </c>
      <c r="B62" s="9" t="s">
        <v>90</v>
      </c>
      <c r="C62" s="9" t="s">
        <v>104</v>
      </c>
      <c r="D62" s="9" t="s">
        <v>23</v>
      </c>
      <c r="E62" s="10" t="n">
        <v>21995</v>
      </c>
      <c r="F62" s="10" t="n">
        <v>21995</v>
      </c>
      <c r="G62" s="10" t="n">
        <f aca="false">N(E62)-N(F62)</f>
        <v>0</v>
      </c>
      <c r="H62" s="9" t="s">
        <v>21</v>
      </c>
      <c r="I62" s="12" t="n">
        <v>46306</v>
      </c>
    </row>
    <row r="63" customFormat="false" ht="15" hidden="true" customHeight="false" outlineLevel="1" collapsed="false">
      <c r="A63" s="9" t="s">
        <v>89</v>
      </c>
      <c r="B63" s="9" t="s">
        <v>90</v>
      </c>
      <c r="C63" s="9" t="s">
        <v>105</v>
      </c>
      <c r="D63" s="9" t="s">
        <v>23</v>
      </c>
      <c r="E63" s="10" t="n">
        <v>44875</v>
      </c>
      <c r="F63" s="10" t="n">
        <v>44875</v>
      </c>
      <c r="G63" s="10" t="n">
        <f aca="false">N(E63)-N(F63)</f>
        <v>0</v>
      </c>
      <c r="H63" s="9" t="s">
        <v>21</v>
      </c>
      <c r="I63" s="12" t="n">
        <v>46306</v>
      </c>
    </row>
    <row r="64" customFormat="false" ht="15" hidden="true" customHeight="false" outlineLevel="1" collapsed="false">
      <c r="A64" s="9" t="s">
        <v>89</v>
      </c>
      <c r="B64" s="9" t="s">
        <v>90</v>
      </c>
      <c r="C64" s="9" t="s">
        <v>106</v>
      </c>
      <c r="D64" s="9" t="s">
        <v>23</v>
      </c>
      <c r="E64" s="10" t="n">
        <v>21995</v>
      </c>
      <c r="F64" s="10" t="n">
        <v>21995</v>
      </c>
      <c r="G64" s="10" t="n">
        <f aca="false">N(E64)-N(F64)</f>
        <v>0</v>
      </c>
      <c r="H64" s="9" t="s">
        <v>21</v>
      </c>
      <c r="I64" s="12" t="n">
        <v>46306</v>
      </c>
    </row>
    <row r="65" customFormat="false" ht="15" hidden="true" customHeight="false" outlineLevel="1" collapsed="false">
      <c r="A65" s="9" t="s">
        <v>89</v>
      </c>
      <c r="B65" s="9" t="s">
        <v>90</v>
      </c>
      <c r="C65" s="9" t="s">
        <v>107</v>
      </c>
      <c r="D65" s="9" t="s">
        <v>23</v>
      </c>
      <c r="E65" s="10" t="n">
        <v>66348</v>
      </c>
      <c r="F65" s="10" t="n">
        <v>66348</v>
      </c>
      <c r="G65" s="10" t="n">
        <f aca="false">N(E65)-N(F65)</f>
        <v>0</v>
      </c>
      <c r="H65" s="9" t="s">
        <v>21</v>
      </c>
      <c r="I65" s="12" t="n">
        <v>46306</v>
      </c>
    </row>
    <row r="66" customFormat="false" ht="15" hidden="true" customHeight="false" outlineLevel="1" collapsed="false">
      <c r="A66" s="9" t="s">
        <v>89</v>
      </c>
      <c r="B66" s="9" t="s">
        <v>90</v>
      </c>
      <c r="C66" s="9" t="s">
        <v>108</v>
      </c>
      <c r="D66" s="9" t="s">
        <v>23</v>
      </c>
      <c r="E66" s="10" t="n">
        <v>10996</v>
      </c>
      <c r="F66" s="10" t="n">
        <v>10996</v>
      </c>
      <c r="G66" s="10" t="n">
        <f aca="false">N(E66)-N(F66)</f>
        <v>0</v>
      </c>
      <c r="H66" s="9" t="s">
        <v>21</v>
      </c>
      <c r="I66" s="12" t="n">
        <v>46306</v>
      </c>
    </row>
    <row r="67" customFormat="false" ht="15" hidden="true" customHeight="false" outlineLevel="1" collapsed="false">
      <c r="A67" s="9" t="s">
        <v>89</v>
      </c>
      <c r="B67" s="9" t="s">
        <v>90</v>
      </c>
      <c r="C67" s="9" t="s">
        <v>109</v>
      </c>
      <c r="D67" s="9" t="s">
        <v>23</v>
      </c>
      <c r="E67" s="10" t="n">
        <v>66348</v>
      </c>
      <c r="F67" s="10" t="n">
        <v>66348</v>
      </c>
      <c r="G67" s="10" t="n">
        <f aca="false">N(E67)-N(F67)</f>
        <v>0</v>
      </c>
      <c r="H67" s="9" t="s">
        <v>21</v>
      </c>
      <c r="I67" s="12" t="n">
        <v>46307</v>
      </c>
    </row>
    <row r="68" customFormat="false" ht="15" hidden="false" customHeight="false" outlineLevel="0" collapsed="false">
      <c r="A68" s="6" t="s">
        <v>110</v>
      </c>
      <c r="B68" s="6" t="s">
        <v>111</v>
      </c>
      <c r="C68" s="6" t="s">
        <v>26</v>
      </c>
      <c r="D68" s="6" t="s">
        <v>14</v>
      </c>
      <c r="E68" s="7" t="n">
        <f aca="false">SUMIFS(Base!$H:$H,Base!$A:$A,$A68)</f>
        <v>7831384</v>
      </c>
      <c r="F68" s="7" t="n">
        <f aca="false">SUMIFS(Base!$I:$I,Base!$A:$A,$A68)</f>
        <v>7831384</v>
      </c>
      <c r="G68" s="7" t="n">
        <f aca="false">E68-F68</f>
        <v>0</v>
      </c>
      <c r="H68" s="6" t="s">
        <v>21</v>
      </c>
      <c r="I68" s="6"/>
    </row>
    <row r="69" customFormat="false" ht="15" hidden="true" customHeight="false" outlineLevel="1" collapsed="false">
      <c r="A69" s="9" t="s">
        <v>110</v>
      </c>
      <c r="B69" s="9" t="s">
        <v>111</v>
      </c>
      <c r="C69" s="9" t="s">
        <v>112</v>
      </c>
      <c r="D69" s="9" t="s">
        <v>23</v>
      </c>
      <c r="E69" s="10" t="n">
        <v>295304</v>
      </c>
      <c r="F69" s="10" t="n">
        <v>295304</v>
      </c>
      <c r="G69" s="10" t="n">
        <f aca="false">N(E69)-N(F69)</f>
        <v>0</v>
      </c>
      <c r="H69" s="9" t="s">
        <v>21</v>
      </c>
      <c r="I69" s="12" t="n">
        <v>46310</v>
      </c>
    </row>
    <row r="70" customFormat="false" ht="15" hidden="true" customHeight="false" outlineLevel="1" collapsed="false">
      <c r="A70" s="9" t="s">
        <v>110</v>
      </c>
      <c r="B70" s="9" t="s">
        <v>111</v>
      </c>
      <c r="C70" s="9" t="s">
        <v>113</v>
      </c>
      <c r="D70" s="9" t="s">
        <v>23</v>
      </c>
      <c r="E70" s="10" t="n">
        <v>7536080</v>
      </c>
      <c r="F70" s="10" t="n">
        <v>7536080</v>
      </c>
      <c r="G70" s="10" t="n">
        <f aca="false">N(E70)-N(F70)</f>
        <v>0</v>
      </c>
      <c r="H70" s="9" t="s">
        <v>21</v>
      </c>
      <c r="I70" s="12" t="n">
        <v>46310</v>
      </c>
    </row>
    <row r="71" customFormat="false" ht="15" hidden="false" customHeight="false" outlineLevel="0" collapsed="false">
      <c r="A71" s="6" t="s">
        <v>114</v>
      </c>
      <c r="B71" s="6" t="s">
        <v>115</v>
      </c>
      <c r="C71" s="6" t="s">
        <v>13</v>
      </c>
      <c r="D71" s="6" t="s">
        <v>14</v>
      </c>
      <c r="E71" s="7" t="n">
        <f aca="false">SUMIFS(Base!$H:$H,Base!$A:$A,$A71)</f>
        <v>408700</v>
      </c>
      <c r="F71" s="7" t="n">
        <f aca="false">SUMIFS(Base!$I:$I,Base!$A:$A,$A71)</f>
        <v>408700</v>
      </c>
      <c r="G71" s="7" t="n">
        <f aca="false">E71-F71</f>
        <v>0</v>
      </c>
      <c r="H71" s="6" t="s">
        <v>21</v>
      </c>
      <c r="I71" s="6"/>
    </row>
    <row r="72" customFormat="false" ht="15" hidden="true" customHeight="false" outlineLevel="1" collapsed="false">
      <c r="A72" s="9" t="s">
        <v>114</v>
      </c>
      <c r="B72" s="9" t="s">
        <v>115</v>
      </c>
      <c r="C72" s="9" t="s">
        <v>116</v>
      </c>
      <c r="D72" s="9" t="s">
        <v>23</v>
      </c>
      <c r="E72" s="10" t="n">
        <v>408700</v>
      </c>
      <c r="F72" s="10" t="n">
        <v>408700</v>
      </c>
      <c r="G72" s="10" t="n">
        <f aca="false">N(E72)-N(F72)</f>
        <v>0</v>
      </c>
      <c r="H72" s="9" t="s">
        <v>21</v>
      </c>
      <c r="I72" s="12" t="n">
        <v>46296</v>
      </c>
    </row>
    <row r="73" customFormat="false" ht="15" hidden="false" customHeight="false" outlineLevel="0" collapsed="false">
      <c r="A73" s="6" t="s">
        <v>117</v>
      </c>
      <c r="B73" s="6" t="s">
        <v>118</v>
      </c>
      <c r="C73" s="6" t="s">
        <v>26</v>
      </c>
      <c r="D73" s="6" t="s">
        <v>14</v>
      </c>
      <c r="E73" s="7" t="n">
        <f aca="false">SUMIFS(Base!$H:$H,Base!$A:$A,$A73)</f>
        <v>66000</v>
      </c>
      <c r="F73" s="7" t="n">
        <f aca="false">SUMIFS(Base!$I:$I,Base!$A:$A,$A73)</f>
        <v>0</v>
      </c>
      <c r="G73" s="7" t="n">
        <f aca="false">E73-F73</f>
        <v>66000</v>
      </c>
      <c r="H73" s="8" t="s">
        <v>37</v>
      </c>
      <c r="I73" s="6"/>
    </row>
    <row r="74" customFormat="false" ht="15" hidden="true" customHeight="false" outlineLevel="1" collapsed="false">
      <c r="A74" s="9" t="s">
        <v>117</v>
      </c>
      <c r="B74" s="9" t="s">
        <v>118</v>
      </c>
      <c r="C74" s="9" t="s">
        <v>119</v>
      </c>
      <c r="D74" s="9" t="s">
        <v>120</v>
      </c>
      <c r="E74" s="10" t="n">
        <v>33000</v>
      </c>
      <c r="F74" s="10"/>
      <c r="G74" s="10" t="n">
        <f aca="false">N(E74)-N(F74)</f>
        <v>33000</v>
      </c>
      <c r="H74" s="11" t="s">
        <v>30</v>
      </c>
      <c r="I74" s="12" t="n">
        <v>46314</v>
      </c>
    </row>
    <row r="75" customFormat="false" ht="15" hidden="true" customHeight="false" outlineLevel="1" collapsed="false">
      <c r="A75" s="9" t="s">
        <v>117</v>
      </c>
      <c r="B75" s="9" t="s">
        <v>118</v>
      </c>
      <c r="C75" s="9" t="s">
        <v>121</v>
      </c>
      <c r="D75" s="9" t="s">
        <v>120</v>
      </c>
      <c r="E75" s="10" t="n">
        <v>33000</v>
      </c>
      <c r="F75" s="10"/>
      <c r="G75" s="10" t="n">
        <f aca="false">N(E75)-N(F75)</f>
        <v>33000</v>
      </c>
      <c r="H75" s="11" t="s">
        <v>30</v>
      </c>
      <c r="I75" s="12" t="n">
        <v>46316</v>
      </c>
    </row>
    <row r="76" customFormat="false" ht="15" hidden="false" customHeight="false" outlineLevel="0" collapsed="false">
      <c r="A76" s="6" t="s">
        <v>122</v>
      </c>
      <c r="B76" s="6" t="s">
        <v>123</v>
      </c>
      <c r="C76" s="6" t="s">
        <v>13</v>
      </c>
      <c r="D76" s="6" t="s">
        <v>14</v>
      </c>
      <c r="E76" s="7" t="n">
        <f aca="false">SUMIFS(Base!$H:$H,Base!$A:$A,$A76)</f>
        <v>89720</v>
      </c>
      <c r="F76" s="7" t="n">
        <f aca="false">SUMIFS(Base!$I:$I,Base!$A:$A,$A76)</f>
        <v>89720</v>
      </c>
      <c r="G76" s="7" t="n">
        <f aca="false">E76-F76</f>
        <v>0</v>
      </c>
      <c r="H76" s="6" t="s">
        <v>21</v>
      </c>
      <c r="I76" s="6"/>
    </row>
    <row r="77" customFormat="false" ht="15" hidden="true" customHeight="false" outlineLevel="1" collapsed="false">
      <c r="A77" s="9" t="s">
        <v>122</v>
      </c>
      <c r="B77" s="9" t="s">
        <v>123</v>
      </c>
      <c r="C77" s="9" t="s">
        <v>124</v>
      </c>
      <c r="D77" s="9" t="s">
        <v>23</v>
      </c>
      <c r="E77" s="10" t="n">
        <v>89720</v>
      </c>
      <c r="F77" s="10" t="n">
        <v>89720</v>
      </c>
      <c r="G77" s="10" t="n">
        <f aca="false">N(E77)-N(F77)</f>
        <v>0</v>
      </c>
      <c r="H77" s="9" t="s">
        <v>21</v>
      </c>
      <c r="I77" s="12" t="n">
        <v>46316</v>
      </c>
    </row>
    <row r="78" customFormat="false" ht="15" hidden="false" customHeight="false" outlineLevel="0" collapsed="false">
      <c r="A78" s="6" t="s">
        <v>125</v>
      </c>
      <c r="B78" s="6" t="s">
        <v>126</v>
      </c>
      <c r="C78" s="6" t="s">
        <v>13</v>
      </c>
      <c r="D78" s="6" t="s">
        <v>14</v>
      </c>
      <c r="E78" s="7" t="n">
        <f aca="false">SUMIFS(Base!$H:$H,Base!$A:$A,$A78)</f>
        <v>390000</v>
      </c>
      <c r="F78" s="7" t="n">
        <f aca="false">SUMIFS(Base!$I:$I,Base!$A:$A,$A78)</f>
        <v>390000</v>
      </c>
      <c r="G78" s="7" t="n">
        <f aca="false">E78-F78</f>
        <v>0</v>
      </c>
      <c r="H78" s="6" t="s">
        <v>21</v>
      </c>
      <c r="I78" s="6"/>
    </row>
    <row r="79" customFormat="false" ht="15" hidden="true" customHeight="false" outlineLevel="1" collapsed="false">
      <c r="A79" s="9" t="s">
        <v>125</v>
      </c>
      <c r="B79" s="9" t="s">
        <v>126</v>
      </c>
      <c r="C79" s="9" t="s">
        <v>127</v>
      </c>
      <c r="D79" s="9" t="s">
        <v>23</v>
      </c>
      <c r="E79" s="10" t="n">
        <v>390000</v>
      </c>
      <c r="F79" s="10" t="n">
        <v>390000</v>
      </c>
      <c r="G79" s="10" t="n">
        <f aca="false">N(E79)-N(F79)</f>
        <v>0</v>
      </c>
      <c r="H79" s="9" t="s">
        <v>21</v>
      </c>
      <c r="I79" s="12" t="n">
        <v>46301</v>
      </c>
    </row>
    <row r="80" customFormat="false" ht="15" hidden="false" customHeight="false" outlineLevel="0" collapsed="false">
      <c r="A80" s="6" t="s">
        <v>128</v>
      </c>
      <c r="B80" s="6" t="s">
        <v>129</v>
      </c>
      <c r="C80" s="6" t="s">
        <v>13</v>
      </c>
      <c r="D80" s="6" t="s">
        <v>14</v>
      </c>
      <c r="E80" s="7" t="n">
        <f aca="false">SUMIFS(Base!$H:$H,Base!$A:$A,$A80)</f>
        <v>46001.83</v>
      </c>
      <c r="F80" s="7" t="n">
        <f aca="false">SUMIFS(Base!$I:$I,Base!$A:$A,$A80)</f>
        <v>46001.83</v>
      </c>
      <c r="G80" s="7" t="n">
        <f aca="false">E80-F80</f>
        <v>0</v>
      </c>
      <c r="H80" s="6" t="s">
        <v>21</v>
      </c>
      <c r="I80" s="6"/>
    </row>
    <row r="81" customFormat="false" ht="15" hidden="true" customHeight="false" outlineLevel="1" collapsed="false">
      <c r="A81" s="9" t="s">
        <v>128</v>
      </c>
      <c r="B81" s="9" t="s">
        <v>129</v>
      </c>
      <c r="C81" s="9" t="s">
        <v>130</v>
      </c>
      <c r="D81" s="9" t="s">
        <v>23</v>
      </c>
      <c r="E81" s="10" t="n">
        <v>46001.83</v>
      </c>
      <c r="F81" s="10" t="n">
        <v>46001.83</v>
      </c>
      <c r="G81" s="10" t="n">
        <f aca="false">N(E81)-N(F81)</f>
        <v>0</v>
      </c>
      <c r="H81" s="9" t="s">
        <v>21</v>
      </c>
      <c r="I81" s="12" t="n">
        <v>46311</v>
      </c>
    </row>
    <row r="82" customFormat="false" ht="15" hidden="false" customHeight="false" outlineLevel="0" collapsed="false">
      <c r="A82" s="6" t="s">
        <v>131</v>
      </c>
      <c r="B82" s="6" t="s">
        <v>132</v>
      </c>
      <c r="C82" s="6" t="s">
        <v>13</v>
      </c>
      <c r="D82" s="6" t="s">
        <v>14</v>
      </c>
      <c r="E82" s="7" t="n">
        <f aca="false">SUMIFS(Base!$H:$H,Base!$A:$A,$A82)</f>
        <v>114609.99</v>
      </c>
      <c r="F82" s="7" t="n">
        <f aca="false">SUMIFS(Base!$I:$I,Base!$A:$A,$A82)</f>
        <v>114609.99</v>
      </c>
      <c r="G82" s="7" t="n">
        <f aca="false">E82-F82</f>
        <v>0</v>
      </c>
      <c r="H82" s="6" t="s">
        <v>21</v>
      </c>
      <c r="I82" s="6"/>
    </row>
    <row r="83" customFormat="false" ht="15" hidden="true" customHeight="false" outlineLevel="1" collapsed="false">
      <c r="A83" s="9" t="s">
        <v>131</v>
      </c>
      <c r="B83" s="9" t="s">
        <v>132</v>
      </c>
      <c r="C83" s="9" t="s">
        <v>133</v>
      </c>
      <c r="D83" s="9" t="s">
        <v>23</v>
      </c>
      <c r="E83" s="10" t="n">
        <v>114609.99</v>
      </c>
      <c r="F83" s="10" t="n">
        <v>114609.99</v>
      </c>
      <c r="G83" s="10" t="n">
        <f aca="false">N(E83)-N(F83)</f>
        <v>0</v>
      </c>
      <c r="H83" s="9" t="s">
        <v>21</v>
      </c>
      <c r="I83" s="12" t="n">
        <v>46302</v>
      </c>
    </row>
    <row r="84" customFormat="false" ht="15" hidden="false" customHeight="false" outlineLevel="0" collapsed="false">
      <c r="A84" s="6" t="s">
        <v>134</v>
      </c>
      <c r="B84" s="6" t="s">
        <v>135</v>
      </c>
      <c r="C84" s="6" t="s">
        <v>13</v>
      </c>
      <c r="D84" s="6" t="s">
        <v>14</v>
      </c>
      <c r="E84" s="7" t="n">
        <f aca="false">SUMIFS(Base!$H:$H,Base!$A:$A,$A84)</f>
        <v>104000</v>
      </c>
      <c r="F84" s="7" t="n">
        <f aca="false">SUMIFS(Base!$I:$I,Base!$A:$A,$A84)</f>
        <v>104000</v>
      </c>
      <c r="G84" s="7" t="n">
        <f aca="false">E84-F84</f>
        <v>0</v>
      </c>
      <c r="H84" s="6" t="s">
        <v>21</v>
      </c>
      <c r="I84" s="6"/>
    </row>
    <row r="85" customFormat="false" ht="15" hidden="true" customHeight="false" outlineLevel="1" collapsed="false">
      <c r="A85" s="9" t="s">
        <v>134</v>
      </c>
      <c r="B85" s="9" t="s">
        <v>135</v>
      </c>
      <c r="C85" s="9" t="s">
        <v>136</v>
      </c>
      <c r="D85" s="9" t="s">
        <v>23</v>
      </c>
      <c r="E85" s="10" t="n">
        <v>104000</v>
      </c>
      <c r="F85" s="10" t="n">
        <v>104000</v>
      </c>
      <c r="G85" s="10" t="n">
        <f aca="false">N(E85)-N(F85)</f>
        <v>0</v>
      </c>
      <c r="H85" s="9" t="s">
        <v>21</v>
      </c>
      <c r="I85" s="12" t="n">
        <v>46310</v>
      </c>
    </row>
    <row r="86" customFormat="false" ht="15" hidden="false" customHeight="false" outlineLevel="0" collapsed="false">
      <c r="A86" s="6" t="s">
        <v>137</v>
      </c>
      <c r="B86" s="6" t="s">
        <v>138</v>
      </c>
      <c r="C86" s="6" t="s">
        <v>26</v>
      </c>
      <c r="D86" s="6" t="s">
        <v>14</v>
      </c>
      <c r="E86" s="7" t="n">
        <f aca="false">SUMIFS(Base!$H:$H,Base!$A:$A,$A86)</f>
        <v>582743</v>
      </c>
      <c r="F86" s="7" t="n">
        <f aca="false">SUMIFS(Base!$I:$I,Base!$A:$A,$A86)</f>
        <v>582743</v>
      </c>
      <c r="G86" s="7" t="n">
        <f aca="false">E86-F86</f>
        <v>0</v>
      </c>
      <c r="H86" s="6" t="s">
        <v>21</v>
      </c>
      <c r="I86" s="6"/>
    </row>
    <row r="87" customFormat="false" ht="15" hidden="true" customHeight="false" outlineLevel="1" collapsed="false">
      <c r="A87" s="9" t="s">
        <v>137</v>
      </c>
      <c r="B87" s="9" t="s">
        <v>138</v>
      </c>
      <c r="C87" s="9" t="s">
        <v>139</v>
      </c>
      <c r="D87" s="9" t="s">
        <v>23</v>
      </c>
      <c r="E87" s="10" t="n">
        <v>214200</v>
      </c>
      <c r="F87" s="10" t="n">
        <v>214200</v>
      </c>
      <c r="G87" s="10" t="n">
        <f aca="false">N(E87)-N(F87)</f>
        <v>0</v>
      </c>
      <c r="H87" s="9" t="s">
        <v>21</v>
      </c>
      <c r="I87" s="12" t="n">
        <v>46300</v>
      </c>
    </row>
    <row r="88" customFormat="false" ht="15" hidden="true" customHeight="false" outlineLevel="1" collapsed="false">
      <c r="A88" s="9" t="s">
        <v>137</v>
      </c>
      <c r="B88" s="9" t="s">
        <v>138</v>
      </c>
      <c r="C88" s="9" t="s">
        <v>140</v>
      </c>
      <c r="D88" s="9" t="s">
        <v>23</v>
      </c>
      <c r="E88" s="10" t="n">
        <v>368543</v>
      </c>
      <c r="F88" s="10" t="n">
        <v>368543</v>
      </c>
      <c r="G88" s="10" t="n">
        <f aca="false">N(E88)-N(F88)</f>
        <v>0</v>
      </c>
      <c r="H88" s="9" t="s">
        <v>21</v>
      </c>
      <c r="I88" s="12" t="n">
        <v>46300</v>
      </c>
    </row>
    <row r="89" customFormat="false" ht="15" hidden="false" customHeight="false" outlineLevel="0" collapsed="false">
      <c r="A89" s="6" t="s">
        <v>141</v>
      </c>
      <c r="B89" s="6" t="s">
        <v>142</v>
      </c>
      <c r="C89" s="6" t="s">
        <v>13</v>
      </c>
      <c r="D89" s="6" t="s">
        <v>14</v>
      </c>
      <c r="E89" s="7" t="n">
        <f aca="false">SUMIFS(Base!$H:$H,Base!$A:$A,$A89)</f>
        <v>1120500</v>
      </c>
      <c r="F89" s="7" t="n">
        <f aca="false">SUMIFS(Base!$I:$I,Base!$A:$A,$A89)</f>
        <v>1120500</v>
      </c>
      <c r="G89" s="7" t="n">
        <f aca="false">E89-F89</f>
        <v>0</v>
      </c>
      <c r="H89" s="6" t="s">
        <v>21</v>
      </c>
      <c r="I89" s="6"/>
    </row>
    <row r="90" customFormat="false" ht="15" hidden="true" customHeight="false" outlineLevel="1" collapsed="false">
      <c r="A90" s="9" t="s">
        <v>141</v>
      </c>
      <c r="B90" s="9" t="s">
        <v>142</v>
      </c>
      <c r="C90" s="9" t="s">
        <v>143</v>
      </c>
      <c r="D90" s="9" t="s">
        <v>23</v>
      </c>
      <c r="E90" s="10" t="n">
        <v>1120500</v>
      </c>
      <c r="F90" s="10" t="n">
        <v>1120500</v>
      </c>
      <c r="G90" s="10" t="n">
        <f aca="false">N(E90)-N(F90)</f>
        <v>0</v>
      </c>
      <c r="H90" s="9" t="s">
        <v>21</v>
      </c>
      <c r="I90" s="12" t="n">
        <v>46302</v>
      </c>
    </row>
    <row r="91" customFormat="false" ht="15" hidden="false" customHeight="false" outlineLevel="0" collapsed="false">
      <c r="A91" s="6" t="s">
        <v>144</v>
      </c>
      <c r="B91" s="6" t="s">
        <v>145</v>
      </c>
      <c r="C91" s="6" t="s">
        <v>13</v>
      </c>
      <c r="D91" s="6" t="s">
        <v>14</v>
      </c>
      <c r="E91" s="7" t="n">
        <f aca="false">SUMIFS(Base!$H:$H,Base!$A:$A,$A91)</f>
        <v>954751.28</v>
      </c>
      <c r="F91" s="7" t="n">
        <f aca="false">SUMIFS(Base!$I:$I,Base!$A:$A,$A91)</f>
        <v>954751.28</v>
      </c>
      <c r="G91" s="7" t="n">
        <f aca="false">E91-F91</f>
        <v>0</v>
      </c>
      <c r="H91" s="6" t="s">
        <v>21</v>
      </c>
      <c r="I91" s="6"/>
    </row>
    <row r="92" customFormat="false" ht="15" hidden="true" customHeight="false" outlineLevel="1" collapsed="false">
      <c r="A92" s="9" t="s">
        <v>144</v>
      </c>
      <c r="B92" s="9" t="s">
        <v>145</v>
      </c>
      <c r="C92" s="9" t="s">
        <v>146</v>
      </c>
      <c r="D92" s="9" t="s">
        <v>23</v>
      </c>
      <c r="E92" s="10" t="n">
        <v>954751.28</v>
      </c>
      <c r="F92" s="10" t="n">
        <v>954751.28</v>
      </c>
      <c r="G92" s="10" t="n">
        <f aca="false">N(E92)-N(F92)</f>
        <v>0</v>
      </c>
      <c r="H92" s="9" t="s">
        <v>21</v>
      </c>
      <c r="I92" s="12" t="n">
        <v>46308</v>
      </c>
    </row>
    <row r="93" customFormat="false" ht="15" hidden="false" customHeight="false" outlineLevel="0" collapsed="false">
      <c r="A93" s="6" t="s">
        <v>147</v>
      </c>
      <c r="B93" s="6" t="s">
        <v>148</v>
      </c>
      <c r="C93" s="6" t="s">
        <v>13</v>
      </c>
      <c r="D93" s="6" t="s">
        <v>14</v>
      </c>
      <c r="E93" s="7" t="n">
        <f aca="false">SUMIFS(Base!$H:$H,Base!$A:$A,$A93)</f>
        <v>2400</v>
      </c>
      <c r="F93" s="7" t="n">
        <f aca="false">SUMIFS(Base!$I:$I,Base!$A:$A,$A93)</f>
        <v>0</v>
      </c>
      <c r="G93" s="7" t="n">
        <f aca="false">E93-F93</f>
        <v>2400</v>
      </c>
      <c r="H93" s="8" t="s">
        <v>37</v>
      </c>
      <c r="I93" s="6"/>
    </row>
    <row r="94" customFormat="false" ht="15" hidden="true" customHeight="false" outlineLevel="1" collapsed="false">
      <c r="A94" s="9" t="s">
        <v>147</v>
      </c>
      <c r="B94" s="9" t="s">
        <v>148</v>
      </c>
      <c r="C94" s="9" t="s">
        <v>149</v>
      </c>
      <c r="D94" s="9" t="s">
        <v>23</v>
      </c>
      <c r="E94" s="10" t="n">
        <v>2400</v>
      </c>
      <c r="F94" s="10"/>
      <c r="G94" s="10" t="n">
        <f aca="false">N(E94)-N(F94)</f>
        <v>2400</v>
      </c>
      <c r="H94" s="11" t="s">
        <v>30</v>
      </c>
      <c r="I94" s="12" t="n">
        <v>46315</v>
      </c>
    </row>
    <row r="95" customFormat="false" ht="15" hidden="false" customHeight="false" outlineLevel="0" collapsed="false">
      <c r="A95" s="6" t="s">
        <v>150</v>
      </c>
      <c r="B95" s="6" t="s">
        <v>151</v>
      </c>
      <c r="C95" s="6" t="s">
        <v>13</v>
      </c>
      <c r="D95" s="6" t="s">
        <v>14</v>
      </c>
      <c r="E95" s="7" t="n">
        <f aca="false">SUMIFS(Base!$H:$H,Base!$A:$A,$A95)</f>
        <v>8806000</v>
      </c>
      <c r="F95" s="7" t="n">
        <f aca="false">SUMIFS(Base!$I:$I,Base!$A:$A,$A95)</f>
        <v>8806000</v>
      </c>
      <c r="G95" s="7" t="n">
        <f aca="false">E95-F95</f>
        <v>0</v>
      </c>
      <c r="H95" s="6" t="s">
        <v>21</v>
      </c>
      <c r="I95" s="6"/>
    </row>
    <row r="96" customFormat="false" ht="15" hidden="true" customHeight="false" outlineLevel="1" collapsed="false">
      <c r="A96" s="9" t="s">
        <v>150</v>
      </c>
      <c r="B96" s="9" t="s">
        <v>151</v>
      </c>
      <c r="C96" s="9" t="s">
        <v>152</v>
      </c>
      <c r="D96" s="9" t="s">
        <v>23</v>
      </c>
      <c r="E96" s="10" t="n">
        <v>8806000</v>
      </c>
      <c r="F96" s="10" t="n">
        <v>8806000</v>
      </c>
      <c r="G96" s="10" t="n">
        <f aca="false">N(E96)-N(F96)</f>
        <v>0</v>
      </c>
      <c r="H96" s="9" t="s">
        <v>21</v>
      </c>
      <c r="I96" s="12" t="n">
        <v>46308</v>
      </c>
    </row>
    <row r="97" customFormat="false" ht="15" hidden="false" customHeight="false" outlineLevel="0" collapsed="false">
      <c r="A97" s="6" t="s">
        <v>153</v>
      </c>
      <c r="B97" s="6" t="s">
        <v>154</v>
      </c>
      <c r="C97" s="6" t="s">
        <v>155</v>
      </c>
      <c r="D97" s="6" t="s">
        <v>14</v>
      </c>
      <c r="E97" s="7" t="n">
        <f aca="false">SUMIFS(Base!$H:$H,Base!$A:$A,$A97)</f>
        <v>1160342.56</v>
      </c>
      <c r="F97" s="7" t="n">
        <f aca="false">SUMIFS(Base!$I:$I,Base!$A:$A,$A97)</f>
        <v>1059980.56</v>
      </c>
      <c r="G97" s="7" t="n">
        <f aca="false">E97-F97</f>
        <v>100362</v>
      </c>
      <c r="H97" s="13" t="s">
        <v>27</v>
      </c>
      <c r="I97" s="6"/>
    </row>
    <row r="98" customFormat="false" ht="15" hidden="true" customHeight="false" outlineLevel="1" collapsed="false">
      <c r="A98" s="9" t="s">
        <v>153</v>
      </c>
      <c r="B98" s="9" t="s">
        <v>154</v>
      </c>
      <c r="C98" s="9" t="s">
        <v>156</v>
      </c>
      <c r="D98" s="9" t="s">
        <v>23</v>
      </c>
      <c r="E98" s="10" t="n">
        <v>100361.63</v>
      </c>
      <c r="F98" s="10" t="n">
        <v>100361.63</v>
      </c>
      <c r="G98" s="10" t="n">
        <f aca="false">N(E98)-N(F98)</f>
        <v>0</v>
      </c>
      <c r="H98" s="9" t="s">
        <v>21</v>
      </c>
      <c r="I98" s="12" t="n">
        <v>46296</v>
      </c>
    </row>
    <row r="99" customFormat="false" ht="15" hidden="true" customHeight="false" outlineLevel="1" collapsed="false">
      <c r="A99" s="9" t="s">
        <v>153</v>
      </c>
      <c r="B99" s="9" t="s">
        <v>154</v>
      </c>
      <c r="C99" s="9" t="s">
        <v>157</v>
      </c>
      <c r="D99" s="9" t="s">
        <v>23</v>
      </c>
      <c r="E99" s="10" t="n">
        <v>15083.25</v>
      </c>
      <c r="F99" s="10" t="n">
        <v>15083.25</v>
      </c>
      <c r="G99" s="10" t="n">
        <f aca="false">N(E99)-N(F99)</f>
        <v>0</v>
      </c>
      <c r="H99" s="9" t="s">
        <v>21</v>
      </c>
      <c r="I99" s="12" t="n">
        <v>46301</v>
      </c>
    </row>
    <row r="100" customFormat="false" ht="15" hidden="true" customHeight="false" outlineLevel="1" collapsed="false">
      <c r="A100" s="9" t="s">
        <v>153</v>
      </c>
      <c r="B100" s="9" t="s">
        <v>154</v>
      </c>
      <c r="C100" s="9" t="s">
        <v>158</v>
      </c>
      <c r="D100" s="9" t="s">
        <v>23</v>
      </c>
      <c r="E100" s="10" t="n">
        <v>211785.79</v>
      </c>
      <c r="F100" s="10" t="n">
        <v>211785.79</v>
      </c>
      <c r="G100" s="10" t="n">
        <f aca="false">N(E100)-N(F100)</f>
        <v>0</v>
      </c>
      <c r="H100" s="9" t="s">
        <v>21</v>
      </c>
      <c r="I100" s="12" t="n">
        <v>46304</v>
      </c>
    </row>
    <row r="101" customFormat="false" ht="15" hidden="true" customHeight="false" outlineLevel="1" collapsed="false">
      <c r="A101" s="9" t="s">
        <v>153</v>
      </c>
      <c r="B101" s="9" t="s">
        <v>154</v>
      </c>
      <c r="C101" s="9" t="s">
        <v>159</v>
      </c>
      <c r="D101" s="9" t="s">
        <v>23</v>
      </c>
      <c r="E101" s="10" t="n">
        <v>681832.76</v>
      </c>
      <c r="F101" s="10" t="n">
        <v>681832.76</v>
      </c>
      <c r="G101" s="10" t="n">
        <f aca="false">N(E101)-N(F101)</f>
        <v>0</v>
      </c>
      <c r="H101" s="9" t="s">
        <v>21</v>
      </c>
      <c r="I101" s="12" t="n">
        <v>46309</v>
      </c>
    </row>
    <row r="102" customFormat="false" ht="15" hidden="true" customHeight="false" outlineLevel="1" collapsed="false">
      <c r="A102" s="9" t="s">
        <v>153</v>
      </c>
      <c r="B102" s="9" t="s">
        <v>154</v>
      </c>
      <c r="C102" s="9" t="s">
        <v>160</v>
      </c>
      <c r="D102" s="9" t="s">
        <v>39</v>
      </c>
      <c r="E102" s="10" t="n">
        <v>100362</v>
      </c>
      <c r="F102" s="10"/>
      <c r="G102" s="10" t="n">
        <f aca="false">N(E102)-N(F102)</f>
        <v>100362</v>
      </c>
      <c r="H102" s="11" t="s">
        <v>30</v>
      </c>
      <c r="I102" s="12" t="n">
        <v>46317</v>
      </c>
    </row>
    <row r="103" customFormat="false" ht="15" hidden="true" customHeight="false" outlineLevel="1" collapsed="false">
      <c r="A103" s="9" t="s">
        <v>153</v>
      </c>
      <c r="B103" s="9" t="s">
        <v>154</v>
      </c>
      <c r="C103" s="9" t="s">
        <v>161</v>
      </c>
      <c r="D103" s="9" t="s">
        <v>23</v>
      </c>
      <c r="E103" s="10" t="n">
        <v>50917.13</v>
      </c>
      <c r="F103" s="10" t="n">
        <v>50917.13</v>
      </c>
      <c r="G103" s="10" t="n">
        <f aca="false">N(E103)-N(F103)</f>
        <v>0</v>
      </c>
      <c r="H103" s="9" t="s">
        <v>21</v>
      </c>
      <c r="I103" s="12" t="n">
        <v>46317</v>
      </c>
    </row>
    <row r="104" customFormat="false" ht="15" hidden="false" customHeight="false" outlineLevel="0" collapsed="false">
      <c r="A104" s="6" t="s">
        <v>162</v>
      </c>
      <c r="B104" s="6" t="s">
        <v>163</v>
      </c>
      <c r="C104" s="6" t="s">
        <v>13</v>
      </c>
      <c r="D104" s="6" t="s">
        <v>14</v>
      </c>
      <c r="E104" s="7" t="n">
        <f aca="false">SUMIFS(Base!$H:$H,Base!$A:$A,$A104)</f>
        <v>14900</v>
      </c>
      <c r="F104" s="7" t="n">
        <f aca="false">SUMIFS(Base!$I:$I,Base!$A:$A,$A104)</f>
        <v>14900</v>
      </c>
      <c r="G104" s="7" t="n">
        <f aca="false">E104-F104</f>
        <v>0</v>
      </c>
      <c r="H104" s="6" t="s">
        <v>21</v>
      </c>
      <c r="I104" s="6"/>
    </row>
    <row r="105" customFormat="false" ht="15" hidden="true" customHeight="false" outlineLevel="1" collapsed="false">
      <c r="A105" s="9" t="s">
        <v>162</v>
      </c>
      <c r="B105" s="9" t="s">
        <v>163</v>
      </c>
      <c r="C105" s="9" t="s">
        <v>164</v>
      </c>
      <c r="D105" s="9" t="s">
        <v>23</v>
      </c>
      <c r="E105" s="10" t="n">
        <v>14900</v>
      </c>
      <c r="F105" s="10" t="n">
        <v>14900</v>
      </c>
      <c r="G105" s="10" t="n">
        <f aca="false">N(E105)-N(F105)</f>
        <v>0</v>
      </c>
      <c r="H105" s="9" t="s">
        <v>21</v>
      </c>
      <c r="I105" s="12" t="n">
        <v>46304</v>
      </c>
    </row>
    <row r="106" customFormat="false" ht="15" hidden="false" customHeight="false" outlineLevel="0" collapsed="false">
      <c r="A106" s="6" t="s">
        <v>165</v>
      </c>
      <c r="B106" s="6" t="s">
        <v>166</v>
      </c>
      <c r="C106" s="6" t="s">
        <v>13</v>
      </c>
      <c r="D106" s="6" t="s">
        <v>14</v>
      </c>
      <c r="E106" s="7" t="n">
        <f aca="false">SUMIFS(Base!$H:$H,Base!$A:$A,$A106)</f>
        <v>111472.99</v>
      </c>
      <c r="F106" s="7" t="n">
        <f aca="false">SUMIFS(Base!$I:$I,Base!$A:$A,$A106)</f>
        <v>0</v>
      </c>
      <c r="G106" s="7" t="n">
        <f aca="false">E106-F106</f>
        <v>111472.99</v>
      </c>
      <c r="H106" s="8" t="s">
        <v>37</v>
      </c>
      <c r="I106" s="6"/>
    </row>
    <row r="107" customFormat="false" ht="15" hidden="true" customHeight="false" outlineLevel="1" collapsed="false">
      <c r="A107" s="9" t="s">
        <v>165</v>
      </c>
      <c r="B107" s="9" t="s">
        <v>166</v>
      </c>
      <c r="C107" s="9" t="s">
        <v>167</v>
      </c>
      <c r="D107" s="9" t="s">
        <v>23</v>
      </c>
      <c r="E107" s="10" t="n">
        <v>111472.99</v>
      </c>
      <c r="F107" s="10"/>
      <c r="G107" s="10" t="n">
        <f aca="false">N(E107)-N(F107)</f>
        <v>111472.99</v>
      </c>
      <c r="H107" s="11" t="s">
        <v>30</v>
      </c>
      <c r="I107" s="12" t="n">
        <v>46309</v>
      </c>
    </row>
    <row r="108" customFormat="false" ht="15" hidden="false" customHeight="false" outlineLevel="0" collapsed="false">
      <c r="A108" s="6" t="s">
        <v>168</v>
      </c>
      <c r="B108" s="6" t="s">
        <v>169</v>
      </c>
      <c r="C108" s="6" t="s">
        <v>155</v>
      </c>
      <c r="D108" s="6" t="s">
        <v>14</v>
      </c>
      <c r="E108" s="7" t="n">
        <f aca="false">SUMIFS(Base!$H:$H,Base!$A:$A,$A108)</f>
        <v>5292004</v>
      </c>
      <c r="F108" s="7" t="n">
        <f aca="false">SUMIFS(Base!$I:$I,Base!$A:$A,$A108)</f>
        <v>0</v>
      </c>
      <c r="G108" s="7" t="n">
        <f aca="false">E108-F108</f>
        <v>5292004</v>
      </c>
      <c r="H108" s="8" t="s">
        <v>37</v>
      </c>
      <c r="I108" s="6"/>
    </row>
    <row r="109" customFormat="false" ht="15" hidden="true" customHeight="false" outlineLevel="1" collapsed="false">
      <c r="A109" s="9" t="s">
        <v>168</v>
      </c>
      <c r="B109" s="9" t="s">
        <v>169</v>
      </c>
      <c r="C109" s="9" t="s">
        <v>170</v>
      </c>
      <c r="D109" s="9" t="s">
        <v>23</v>
      </c>
      <c r="E109" s="10" t="n">
        <v>16387</v>
      </c>
      <c r="F109" s="10"/>
      <c r="G109" s="10" t="n">
        <f aca="false">N(E109)-N(F109)</f>
        <v>16387</v>
      </c>
      <c r="H109" s="11" t="s">
        <v>30</v>
      </c>
      <c r="I109" s="12" t="n">
        <v>46300</v>
      </c>
    </row>
    <row r="110" customFormat="false" ht="15" hidden="true" customHeight="false" outlineLevel="1" collapsed="false">
      <c r="A110" s="9" t="s">
        <v>168</v>
      </c>
      <c r="B110" s="9" t="s">
        <v>169</v>
      </c>
      <c r="C110" s="9" t="s">
        <v>171</v>
      </c>
      <c r="D110" s="9" t="s">
        <v>23</v>
      </c>
      <c r="E110" s="10" t="n">
        <v>428400</v>
      </c>
      <c r="F110" s="10"/>
      <c r="G110" s="10" t="n">
        <f aca="false">N(E110)-N(F110)</f>
        <v>428400</v>
      </c>
      <c r="H110" s="11" t="s">
        <v>30</v>
      </c>
      <c r="I110" s="12" t="n">
        <v>46300</v>
      </c>
    </row>
    <row r="111" customFormat="false" ht="15" hidden="true" customHeight="false" outlineLevel="1" collapsed="false">
      <c r="A111" s="9" t="s">
        <v>168</v>
      </c>
      <c r="B111" s="9" t="s">
        <v>169</v>
      </c>
      <c r="C111" s="9" t="s">
        <v>172</v>
      </c>
      <c r="D111" s="9" t="s">
        <v>23</v>
      </c>
      <c r="E111" s="10" t="n">
        <v>189867</v>
      </c>
      <c r="F111" s="10"/>
      <c r="G111" s="10" t="n">
        <f aca="false">N(E111)-N(F111)</f>
        <v>189867</v>
      </c>
      <c r="H111" s="11" t="s">
        <v>30</v>
      </c>
      <c r="I111" s="12" t="n">
        <v>46300</v>
      </c>
    </row>
    <row r="112" customFormat="false" ht="15" hidden="true" customHeight="false" outlineLevel="1" collapsed="false">
      <c r="A112" s="9" t="s">
        <v>168</v>
      </c>
      <c r="B112" s="9" t="s">
        <v>169</v>
      </c>
      <c r="C112" s="9" t="s">
        <v>173</v>
      </c>
      <c r="D112" s="9" t="s">
        <v>23</v>
      </c>
      <c r="E112" s="10" t="n">
        <v>968223</v>
      </c>
      <c r="F112" s="10"/>
      <c r="G112" s="10" t="n">
        <f aca="false">N(E112)-N(F112)</f>
        <v>968223</v>
      </c>
      <c r="H112" s="11" t="s">
        <v>30</v>
      </c>
      <c r="I112" s="12" t="n">
        <v>46303</v>
      </c>
    </row>
    <row r="113" customFormat="false" ht="15" hidden="true" customHeight="false" outlineLevel="1" collapsed="false">
      <c r="A113" s="9" t="s">
        <v>168</v>
      </c>
      <c r="B113" s="9" t="s">
        <v>169</v>
      </c>
      <c r="C113" s="9" t="s">
        <v>174</v>
      </c>
      <c r="D113" s="9" t="s">
        <v>175</v>
      </c>
      <c r="E113" s="10" t="n">
        <v>3076676</v>
      </c>
      <c r="F113" s="10"/>
      <c r="G113" s="10" t="n">
        <f aca="false">N(E113)-N(F113)</f>
        <v>3076676</v>
      </c>
      <c r="H113" s="11" t="s">
        <v>30</v>
      </c>
      <c r="I113" s="12" t="n">
        <v>46308</v>
      </c>
    </row>
    <row r="114" customFormat="false" ht="15" hidden="true" customHeight="false" outlineLevel="1" collapsed="false">
      <c r="A114" s="9" t="s">
        <v>168</v>
      </c>
      <c r="B114" s="9" t="s">
        <v>169</v>
      </c>
      <c r="C114" s="9" t="s">
        <v>176</v>
      </c>
      <c r="D114" s="9" t="s">
        <v>175</v>
      </c>
      <c r="E114" s="10" t="n">
        <v>612451</v>
      </c>
      <c r="F114" s="10"/>
      <c r="G114" s="10" t="n">
        <f aca="false">N(E114)-N(F114)</f>
        <v>612451</v>
      </c>
      <c r="H114" s="11" t="s">
        <v>30</v>
      </c>
      <c r="I114" s="12" t="n">
        <v>46308</v>
      </c>
    </row>
    <row r="115" customFormat="false" ht="15" hidden="false" customHeight="false" outlineLevel="0" collapsed="false">
      <c r="A115" s="6" t="s">
        <v>177</v>
      </c>
      <c r="B115" s="6" t="s">
        <v>178</v>
      </c>
      <c r="C115" s="6" t="s">
        <v>13</v>
      </c>
      <c r="D115" s="6" t="s">
        <v>14</v>
      </c>
      <c r="E115" s="7" t="n">
        <f aca="false">SUMIFS(Base!$H:$H,Base!$A:$A,$A115)</f>
        <v>9898594</v>
      </c>
      <c r="F115" s="7" t="n">
        <f aca="false">SUMIFS(Base!$I:$I,Base!$A:$A,$A115)</f>
        <v>0</v>
      </c>
      <c r="G115" s="7" t="n">
        <f aca="false">E115-F115</f>
        <v>9898594</v>
      </c>
      <c r="H115" s="8" t="s">
        <v>37</v>
      </c>
      <c r="I115" s="6"/>
    </row>
    <row r="116" customFormat="false" ht="15" hidden="true" customHeight="false" outlineLevel="1" collapsed="false">
      <c r="A116" s="9" t="s">
        <v>177</v>
      </c>
      <c r="B116" s="9" t="s">
        <v>178</v>
      </c>
      <c r="C116" s="9" t="s">
        <v>179</v>
      </c>
      <c r="D116" s="9" t="s">
        <v>39</v>
      </c>
      <c r="E116" s="10" t="n">
        <v>9898594</v>
      </c>
      <c r="F116" s="10"/>
      <c r="G116" s="10" t="n">
        <f aca="false">N(E116)-N(F116)</f>
        <v>9898594</v>
      </c>
      <c r="H116" s="11" t="s">
        <v>30</v>
      </c>
      <c r="I116" s="12" t="n">
        <v>46316</v>
      </c>
    </row>
    <row r="117" customFormat="false" ht="15" hidden="false" customHeight="false" outlineLevel="0" collapsed="false">
      <c r="A117" s="6" t="s">
        <v>180</v>
      </c>
      <c r="B117" s="6" t="s">
        <v>181</v>
      </c>
      <c r="C117" s="6" t="s">
        <v>26</v>
      </c>
      <c r="D117" s="6" t="s">
        <v>14</v>
      </c>
      <c r="E117" s="7" t="n">
        <f aca="false">SUMIFS(Base!$H:$H,Base!$A:$A,$A117)</f>
        <v>55150</v>
      </c>
      <c r="F117" s="7" t="n">
        <f aca="false">SUMIFS(Base!$I:$I,Base!$A:$A,$A117)</f>
        <v>0</v>
      </c>
      <c r="G117" s="7" t="n">
        <f aca="false">E117-F117</f>
        <v>55150</v>
      </c>
      <c r="H117" s="8" t="s">
        <v>37</v>
      </c>
      <c r="I117" s="6"/>
    </row>
    <row r="118" customFormat="false" ht="15" hidden="true" customHeight="false" outlineLevel="1" collapsed="false">
      <c r="A118" s="9" t="s">
        <v>180</v>
      </c>
      <c r="B118" s="9" t="s">
        <v>181</v>
      </c>
      <c r="C118" s="9" t="s">
        <v>182</v>
      </c>
      <c r="D118" s="9" t="s">
        <v>39</v>
      </c>
      <c r="E118" s="10" t="n">
        <v>25250</v>
      </c>
      <c r="F118" s="10"/>
      <c r="G118" s="10" t="n">
        <f aca="false">N(E118)-N(F118)</f>
        <v>25250</v>
      </c>
      <c r="H118" s="11" t="s">
        <v>30</v>
      </c>
      <c r="I118" s="12" t="n">
        <v>46302</v>
      </c>
    </row>
    <row r="119" customFormat="false" ht="15" hidden="true" customHeight="false" outlineLevel="1" collapsed="false">
      <c r="A119" s="9" t="s">
        <v>180</v>
      </c>
      <c r="B119" s="9" t="s">
        <v>181</v>
      </c>
      <c r="C119" s="9" t="s">
        <v>183</v>
      </c>
      <c r="D119" s="9" t="s">
        <v>39</v>
      </c>
      <c r="E119" s="10" t="n">
        <v>29900</v>
      </c>
      <c r="F119" s="10"/>
      <c r="G119" s="10" t="n">
        <f aca="false">N(E119)-N(F119)</f>
        <v>29900</v>
      </c>
      <c r="H119" s="11" t="s">
        <v>30</v>
      </c>
      <c r="I119" s="12" t="n">
        <v>46302</v>
      </c>
    </row>
    <row r="120" customFormat="false" ht="15" hidden="false" customHeight="false" outlineLevel="0" collapsed="false">
      <c r="A120" s="6" t="s">
        <v>184</v>
      </c>
      <c r="B120" s="6" t="s">
        <v>185</v>
      </c>
      <c r="C120" s="6" t="s">
        <v>13</v>
      </c>
      <c r="D120" s="6" t="s">
        <v>14</v>
      </c>
      <c r="E120" s="7" t="n">
        <f aca="false">SUMIFS(Base!$H:$H,Base!$A:$A,$A120)</f>
        <v>4042161.06</v>
      </c>
      <c r="F120" s="7" t="n">
        <f aca="false">SUMIFS(Base!$I:$I,Base!$A:$A,$A120)</f>
        <v>4042161.06</v>
      </c>
      <c r="G120" s="7" t="n">
        <f aca="false">E120-F120</f>
        <v>0</v>
      </c>
      <c r="H120" s="6" t="s">
        <v>21</v>
      </c>
      <c r="I120" s="6"/>
    </row>
    <row r="121" customFormat="false" ht="15" hidden="true" customHeight="false" outlineLevel="1" collapsed="false">
      <c r="A121" s="9" t="s">
        <v>184</v>
      </c>
      <c r="B121" s="9" t="s">
        <v>185</v>
      </c>
      <c r="C121" s="9" t="s">
        <v>186</v>
      </c>
      <c r="D121" s="9" t="s">
        <v>23</v>
      </c>
      <c r="E121" s="10" t="n">
        <v>4042161.06</v>
      </c>
      <c r="F121" s="10" t="n">
        <v>4042161.06</v>
      </c>
      <c r="G121" s="10" t="n">
        <f aca="false">N(E121)-N(F121)</f>
        <v>0</v>
      </c>
      <c r="H121" s="9" t="s">
        <v>21</v>
      </c>
      <c r="I121" s="12" t="n">
        <v>46297</v>
      </c>
    </row>
    <row r="122" customFormat="false" ht="15" hidden="false" customHeight="false" outlineLevel="0" collapsed="false">
      <c r="A122" s="6" t="s">
        <v>187</v>
      </c>
      <c r="B122" s="6" t="s">
        <v>188</v>
      </c>
      <c r="C122" s="6" t="s">
        <v>13</v>
      </c>
      <c r="D122" s="6" t="s">
        <v>14</v>
      </c>
      <c r="E122" s="7" t="n">
        <f aca="false">SUMIFS(Base!$H:$H,Base!$A:$A,$A122)</f>
        <v>63070000</v>
      </c>
      <c r="F122" s="7" t="n">
        <f aca="false">SUMIFS(Base!$I:$I,Base!$A:$A,$A122)</f>
        <v>63070000</v>
      </c>
      <c r="G122" s="7" t="n">
        <f aca="false">E122-F122</f>
        <v>0</v>
      </c>
      <c r="H122" s="6" t="s">
        <v>21</v>
      </c>
      <c r="I122" s="6"/>
    </row>
    <row r="123" customFormat="false" ht="15" hidden="true" customHeight="false" outlineLevel="1" collapsed="false">
      <c r="A123" s="9" t="s">
        <v>187</v>
      </c>
      <c r="B123" s="9" t="s">
        <v>188</v>
      </c>
      <c r="C123" s="9" t="s">
        <v>189</v>
      </c>
      <c r="D123" s="9" t="s">
        <v>23</v>
      </c>
      <c r="E123" s="10" t="n">
        <v>63070000</v>
      </c>
      <c r="F123" s="10" t="n">
        <v>63070000</v>
      </c>
      <c r="G123" s="10" t="n">
        <f aca="false">N(E123)-N(F123)</f>
        <v>0</v>
      </c>
      <c r="H123" s="9" t="s">
        <v>21</v>
      </c>
      <c r="I123" s="12" t="n">
        <v>46296</v>
      </c>
    </row>
    <row r="124" customFormat="false" ht="15" hidden="false" customHeight="false" outlineLevel="0" collapsed="false">
      <c r="A124" s="6" t="s">
        <v>190</v>
      </c>
      <c r="B124" s="6" t="s">
        <v>191</v>
      </c>
      <c r="C124" s="6" t="s">
        <v>26</v>
      </c>
      <c r="D124" s="6" t="s">
        <v>14</v>
      </c>
      <c r="E124" s="7" t="n">
        <f aca="false">SUMIFS(Base!$H:$H,Base!$A:$A,$A124)</f>
        <v>0</v>
      </c>
      <c r="F124" s="7" t="n">
        <f aca="false">SUMIFS(Base!$I:$I,Base!$A:$A,$A124)</f>
        <v>148931</v>
      </c>
      <c r="G124" s="7" t="n">
        <f aca="false">E124-F124</f>
        <v>-148931</v>
      </c>
      <c r="H124" s="8" t="s">
        <v>15</v>
      </c>
      <c r="I124" s="6"/>
    </row>
    <row r="125" customFormat="false" ht="15" hidden="true" customHeight="false" outlineLevel="1" collapsed="false">
      <c r="A125" s="9" t="s">
        <v>190</v>
      </c>
      <c r="B125" s="9" t="s">
        <v>191</v>
      </c>
      <c r="C125" s="9" t="s">
        <v>192</v>
      </c>
      <c r="D125" s="9" t="s">
        <v>17</v>
      </c>
      <c r="E125" s="10"/>
      <c r="F125" s="10" t="n">
        <v>91238</v>
      </c>
      <c r="G125" s="10" t="n">
        <f aca="false">N(E125)-N(F125)</f>
        <v>-91238</v>
      </c>
      <c r="H125" s="11" t="s">
        <v>18</v>
      </c>
      <c r="I125" s="12" t="n">
        <v>46296</v>
      </c>
    </row>
    <row r="126" customFormat="false" ht="15" hidden="true" customHeight="false" outlineLevel="1" collapsed="false">
      <c r="A126" s="9" t="s">
        <v>190</v>
      </c>
      <c r="B126" s="9" t="s">
        <v>191</v>
      </c>
      <c r="C126" s="9" t="s">
        <v>193</v>
      </c>
      <c r="D126" s="9" t="s">
        <v>17</v>
      </c>
      <c r="E126" s="10"/>
      <c r="F126" s="10" t="n">
        <v>57693</v>
      </c>
      <c r="G126" s="10" t="n">
        <f aca="false">N(E126)-N(F126)</f>
        <v>-57693</v>
      </c>
      <c r="H126" s="11" t="s">
        <v>18</v>
      </c>
      <c r="I126" s="12" t="n">
        <v>46296</v>
      </c>
    </row>
    <row r="127" customFormat="false" ht="15" hidden="false" customHeight="false" outlineLevel="0" collapsed="false">
      <c r="A127" s="6" t="s">
        <v>194</v>
      </c>
      <c r="B127" s="6" t="s">
        <v>195</v>
      </c>
      <c r="C127" s="6" t="s">
        <v>13</v>
      </c>
      <c r="D127" s="6" t="s">
        <v>14</v>
      </c>
      <c r="E127" s="7" t="n">
        <f aca="false">SUMIFS(Base!$H:$H,Base!$A:$A,$A127)</f>
        <v>1666000</v>
      </c>
      <c r="F127" s="7" t="n">
        <f aca="false">SUMIFS(Base!$I:$I,Base!$A:$A,$A127)</f>
        <v>1666000</v>
      </c>
      <c r="G127" s="7" t="n">
        <f aca="false">E127-F127</f>
        <v>0</v>
      </c>
      <c r="H127" s="6" t="s">
        <v>21</v>
      </c>
      <c r="I127" s="6"/>
    </row>
    <row r="128" customFormat="false" ht="15" hidden="true" customHeight="false" outlineLevel="1" collapsed="false">
      <c r="A128" s="9" t="s">
        <v>194</v>
      </c>
      <c r="B128" s="9" t="s">
        <v>195</v>
      </c>
      <c r="C128" s="9" t="s">
        <v>196</v>
      </c>
      <c r="D128" s="9" t="s">
        <v>23</v>
      </c>
      <c r="E128" s="10" t="n">
        <v>1666000</v>
      </c>
      <c r="F128" s="10" t="n">
        <v>1666000</v>
      </c>
      <c r="G128" s="10" t="n">
        <f aca="false">N(E128)-N(F128)</f>
        <v>0</v>
      </c>
      <c r="H128" s="9" t="s">
        <v>21</v>
      </c>
      <c r="I128" s="12" t="n">
        <v>46302</v>
      </c>
    </row>
    <row r="129" customFormat="false" ht="15" hidden="false" customHeight="false" outlineLevel="0" collapsed="false">
      <c r="A129" s="6" t="s">
        <v>197</v>
      </c>
      <c r="B129" s="6" t="s">
        <v>198</v>
      </c>
      <c r="C129" s="6" t="s">
        <v>13</v>
      </c>
      <c r="D129" s="6" t="s">
        <v>14</v>
      </c>
      <c r="E129" s="7" t="n">
        <f aca="false">SUMIFS(Base!$H:$H,Base!$A:$A,$A129)</f>
        <v>15000</v>
      </c>
      <c r="F129" s="7" t="n">
        <f aca="false">SUMIFS(Base!$I:$I,Base!$A:$A,$A129)</f>
        <v>0</v>
      </c>
      <c r="G129" s="7" t="n">
        <f aca="false">E129-F129</f>
        <v>15000</v>
      </c>
      <c r="H129" s="8" t="s">
        <v>37</v>
      </c>
      <c r="I129" s="6"/>
    </row>
    <row r="130" customFormat="false" ht="15" hidden="true" customHeight="false" outlineLevel="1" collapsed="false">
      <c r="A130" s="9" t="s">
        <v>197</v>
      </c>
      <c r="B130" s="9" t="s">
        <v>198</v>
      </c>
      <c r="C130" s="9" t="s">
        <v>199</v>
      </c>
      <c r="D130" s="9" t="s">
        <v>39</v>
      </c>
      <c r="E130" s="10" t="n">
        <v>15000</v>
      </c>
      <c r="F130" s="10"/>
      <c r="G130" s="10" t="n">
        <f aca="false">N(E130)-N(F130)</f>
        <v>15000</v>
      </c>
      <c r="H130" s="11" t="s">
        <v>30</v>
      </c>
      <c r="I130" s="12" t="n">
        <v>46317</v>
      </c>
    </row>
    <row r="131" customFormat="false" ht="15" hidden="false" customHeight="false" outlineLevel="0" collapsed="false">
      <c r="A131" s="6" t="s">
        <v>200</v>
      </c>
      <c r="B131" s="6" t="s">
        <v>201</v>
      </c>
      <c r="C131" s="6" t="s">
        <v>13</v>
      </c>
      <c r="D131" s="6" t="s">
        <v>14</v>
      </c>
      <c r="E131" s="7" t="n">
        <f aca="false">SUMIFS(Base!$H:$H,Base!$A:$A,$A131)</f>
        <v>19000</v>
      </c>
      <c r="F131" s="7" t="n">
        <f aca="false">SUMIFS(Base!$I:$I,Base!$A:$A,$A131)</f>
        <v>19000</v>
      </c>
      <c r="G131" s="7" t="n">
        <f aca="false">E131-F131</f>
        <v>0</v>
      </c>
      <c r="H131" s="6" t="s">
        <v>21</v>
      </c>
      <c r="I131" s="6"/>
    </row>
    <row r="132" customFormat="false" ht="15" hidden="true" customHeight="false" outlineLevel="1" collapsed="false">
      <c r="A132" s="9" t="s">
        <v>200</v>
      </c>
      <c r="B132" s="9" t="s">
        <v>201</v>
      </c>
      <c r="C132" s="9" t="s">
        <v>202</v>
      </c>
      <c r="D132" s="9" t="s">
        <v>23</v>
      </c>
      <c r="E132" s="10" t="n">
        <v>19000</v>
      </c>
      <c r="F132" s="10" t="n">
        <v>19000</v>
      </c>
      <c r="G132" s="10" t="n">
        <f aca="false">N(E132)-N(F132)</f>
        <v>0</v>
      </c>
      <c r="H132" s="9" t="s">
        <v>21</v>
      </c>
      <c r="I132" s="12" t="n">
        <v>46316</v>
      </c>
    </row>
    <row r="133" customFormat="false" ht="15" hidden="false" customHeight="false" outlineLevel="0" collapsed="false">
      <c r="A133" s="6" t="s">
        <v>203</v>
      </c>
      <c r="B133" s="6" t="s">
        <v>204</v>
      </c>
      <c r="C133" s="6" t="s">
        <v>42</v>
      </c>
      <c r="D133" s="6" t="s">
        <v>14</v>
      </c>
      <c r="E133" s="7" t="n">
        <f aca="false">SUMIFS(Base!$H:$H,Base!$A:$A,$A133)</f>
        <v>3451341</v>
      </c>
      <c r="F133" s="7" t="n">
        <f aca="false">SUMIFS(Base!$I:$I,Base!$A:$A,$A133)</f>
        <v>3566693</v>
      </c>
      <c r="G133" s="7" t="n">
        <f aca="false">E133-F133</f>
        <v>-115352</v>
      </c>
      <c r="H133" s="13" t="s">
        <v>27</v>
      </c>
      <c r="I133" s="6"/>
    </row>
    <row r="134" customFormat="false" ht="15" hidden="true" customHeight="false" outlineLevel="1" collapsed="false">
      <c r="A134" s="9" t="s">
        <v>203</v>
      </c>
      <c r="B134" s="9" t="s">
        <v>204</v>
      </c>
      <c r="C134" s="9" t="s">
        <v>205</v>
      </c>
      <c r="D134" s="9" t="s">
        <v>23</v>
      </c>
      <c r="E134" s="10" t="n">
        <v>3276502</v>
      </c>
      <c r="F134" s="10" t="n">
        <v>3276502</v>
      </c>
      <c r="G134" s="10" t="n">
        <f aca="false">N(E134)-N(F134)</f>
        <v>0</v>
      </c>
      <c r="H134" s="9" t="s">
        <v>21</v>
      </c>
      <c r="I134" s="12" t="n">
        <v>46298</v>
      </c>
    </row>
    <row r="135" customFormat="false" ht="15" hidden="true" customHeight="false" outlineLevel="1" collapsed="false">
      <c r="A135" s="9" t="s">
        <v>203</v>
      </c>
      <c r="B135" s="9" t="s">
        <v>204</v>
      </c>
      <c r="C135" s="9" t="s">
        <v>206</v>
      </c>
      <c r="D135" s="9" t="s">
        <v>45</v>
      </c>
      <c r="E135" s="10" t="n">
        <v>-115352</v>
      </c>
      <c r="F135" s="10"/>
      <c r="G135" s="10" t="n">
        <f aca="false">N(E135)-N(F135)</f>
        <v>-115352</v>
      </c>
      <c r="H135" s="11" t="s">
        <v>30</v>
      </c>
      <c r="I135" s="12" t="n">
        <v>46302</v>
      </c>
    </row>
    <row r="136" customFormat="false" ht="15" hidden="true" customHeight="false" outlineLevel="1" collapsed="false">
      <c r="A136" s="9" t="s">
        <v>203</v>
      </c>
      <c r="B136" s="9" t="s">
        <v>204</v>
      </c>
      <c r="C136" s="9" t="s">
        <v>207</v>
      </c>
      <c r="D136" s="9" t="s">
        <v>23</v>
      </c>
      <c r="E136" s="10" t="n">
        <v>290191</v>
      </c>
      <c r="F136" s="10" t="n">
        <v>290191</v>
      </c>
      <c r="G136" s="10" t="n">
        <f aca="false">N(E136)-N(F136)</f>
        <v>0</v>
      </c>
      <c r="H136" s="9" t="s">
        <v>21</v>
      </c>
      <c r="I136" s="12" t="n">
        <v>46303</v>
      </c>
    </row>
    <row r="137" customFormat="false" ht="15" hidden="false" customHeight="false" outlineLevel="0" collapsed="false">
      <c r="A137" s="6" t="s">
        <v>208</v>
      </c>
      <c r="B137" s="6" t="s">
        <v>209</v>
      </c>
      <c r="C137" s="6" t="s">
        <v>26</v>
      </c>
      <c r="D137" s="6" t="s">
        <v>14</v>
      </c>
      <c r="E137" s="7" t="n">
        <f aca="false">SUMIFS(Base!$H:$H,Base!$A:$A,$A137)</f>
        <v>0</v>
      </c>
      <c r="F137" s="7" t="n">
        <f aca="false">SUMIFS(Base!$I:$I,Base!$A:$A,$A137)</f>
        <v>168000</v>
      </c>
      <c r="G137" s="7" t="n">
        <f aca="false">E137-F137</f>
        <v>-168000</v>
      </c>
      <c r="H137" s="13" t="s">
        <v>27</v>
      </c>
      <c r="I137" s="6"/>
    </row>
    <row r="138" customFormat="false" ht="15" hidden="true" customHeight="false" outlineLevel="1" collapsed="false">
      <c r="A138" s="9" t="s">
        <v>208</v>
      </c>
      <c r="B138" s="9" t="s">
        <v>209</v>
      </c>
      <c r="C138" s="9" t="s">
        <v>210</v>
      </c>
      <c r="D138" s="9" t="s">
        <v>23</v>
      </c>
      <c r="E138" s="10" t="n">
        <v>168000</v>
      </c>
      <c r="F138" s="10" t="n">
        <v>168000</v>
      </c>
      <c r="G138" s="10" t="n">
        <f aca="false">N(E138)-N(F138)</f>
        <v>0</v>
      </c>
      <c r="H138" s="9" t="s">
        <v>21</v>
      </c>
      <c r="I138" s="12" t="n">
        <v>46297</v>
      </c>
    </row>
    <row r="139" customFormat="false" ht="15" hidden="true" customHeight="false" outlineLevel="1" collapsed="false">
      <c r="A139" s="9" t="s">
        <v>208</v>
      </c>
      <c r="B139" s="9" t="s">
        <v>209</v>
      </c>
      <c r="C139" s="9" t="s">
        <v>211</v>
      </c>
      <c r="D139" s="9" t="s">
        <v>45</v>
      </c>
      <c r="E139" s="10" t="n">
        <v>-168000</v>
      </c>
      <c r="F139" s="10"/>
      <c r="G139" s="10" t="n">
        <f aca="false">N(E139)-N(F139)</f>
        <v>-168000</v>
      </c>
      <c r="H139" s="11" t="s">
        <v>30</v>
      </c>
      <c r="I139" s="12" t="n">
        <v>46301</v>
      </c>
    </row>
    <row r="140" customFormat="false" ht="15" hidden="false" customHeight="false" outlineLevel="0" collapsed="false">
      <c r="A140" s="6" t="s">
        <v>212</v>
      </c>
      <c r="B140" s="6" t="s">
        <v>213</v>
      </c>
      <c r="C140" s="6" t="s">
        <v>13</v>
      </c>
      <c r="D140" s="6" t="s">
        <v>14</v>
      </c>
      <c r="E140" s="7" t="n">
        <f aca="false">SUMIFS(Base!$H:$H,Base!$A:$A,$A140)</f>
        <v>1630300</v>
      </c>
      <c r="F140" s="7" t="n">
        <f aca="false">SUMIFS(Base!$I:$I,Base!$A:$A,$A140)</f>
        <v>1630300</v>
      </c>
      <c r="G140" s="7" t="n">
        <f aca="false">E140-F140</f>
        <v>0</v>
      </c>
      <c r="H140" s="6" t="s">
        <v>21</v>
      </c>
      <c r="I140" s="6"/>
    </row>
    <row r="141" customFormat="false" ht="15" hidden="true" customHeight="false" outlineLevel="1" collapsed="false">
      <c r="A141" s="9" t="s">
        <v>212</v>
      </c>
      <c r="B141" s="9" t="s">
        <v>213</v>
      </c>
      <c r="C141" s="9" t="s">
        <v>214</v>
      </c>
      <c r="D141" s="9" t="s">
        <v>23</v>
      </c>
      <c r="E141" s="10" t="n">
        <v>1630300</v>
      </c>
      <c r="F141" s="10" t="n">
        <v>1630300</v>
      </c>
      <c r="G141" s="10" t="n">
        <f aca="false">N(E141)-N(F141)</f>
        <v>0</v>
      </c>
      <c r="H141" s="9" t="s">
        <v>21</v>
      </c>
      <c r="I141" s="12" t="n">
        <v>46312</v>
      </c>
    </row>
    <row r="142" customFormat="false" ht="15" hidden="false" customHeight="false" outlineLevel="0" collapsed="false">
      <c r="A142" s="6" t="s">
        <v>215</v>
      </c>
      <c r="B142" s="6" t="s">
        <v>216</v>
      </c>
      <c r="C142" s="6" t="s">
        <v>13</v>
      </c>
      <c r="D142" s="6" t="s">
        <v>14</v>
      </c>
      <c r="E142" s="7" t="n">
        <f aca="false">SUMIFS(Base!$H:$H,Base!$A:$A,$A142)</f>
        <v>45000</v>
      </c>
      <c r="F142" s="7" t="n">
        <f aca="false">SUMIFS(Base!$I:$I,Base!$A:$A,$A142)</f>
        <v>45000</v>
      </c>
      <c r="G142" s="7" t="n">
        <f aca="false">E142-F142</f>
        <v>0</v>
      </c>
      <c r="H142" s="6" t="s">
        <v>21</v>
      </c>
      <c r="I142" s="6"/>
    </row>
    <row r="143" customFormat="false" ht="15" hidden="true" customHeight="false" outlineLevel="1" collapsed="false">
      <c r="A143" s="9" t="s">
        <v>215</v>
      </c>
      <c r="B143" s="9" t="s">
        <v>216</v>
      </c>
      <c r="C143" s="9" t="s">
        <v>217</v>
      </c>
      <c r="D143" s="9" t="s">
        <v>23</v>
      </c>
      <c r="E143" s="10" t="n">
        <v>45000</v>
      </c>
      <c r="F143" s="10" t="n">
        <v>45000</v>
      </c>
      <c r="G143" s="10" t="n">
        <f aca="false">N(E143)-N(F143)</f>
        <v>0</v>
      </c>
      <c r="H143" s="9" t="s">
        <v>21</v>
      </c>
      <c r="I143" s="12" t="n">
        <v>46309</v>
      </c>
    </row>
    <row r="144" customFormat="false" ht="15" hidden="false" customHeight="false" outlineLevel="0" collapsed="false">
      <c r="A144" s="6" t="s">
        <v>218</v>
      </c>
      <c r="B144" s="6" t="s">
        <v>219</v>
      </c>
      <c r="C144" s="6" t="s">
        <v>13</v>
      </c>
      <c r="D144" s="6" t="s">
        <v>14</v>
      </c>
      <c r="E144" s="7" t="n">
        <f aca="false">SUMIFS(Base!$H:$H,Base!$A:$A,$A144)</f>
        <v>190749.86</v>
      </c>
      <c r="F144" s="7" t="n">
        <f aca="false">SUMIFS(Base!$I:$I,Base!$A:$A,$A144)</f>
        <v>190749.86</v>
      </c>
      <c r="G144" s="7" t="n">
        <f aca="false">E144-F144</f>
        <v>0</v>
      </c>
      <c r="H144" s="6" t="s">
        <v>21</v>
      </c>
      <c r="I144" s="6"/>
    </row>
    <row r="145" customFormat="false" ht="15" hidden="true" customHeight="false" outlineLevel="1" collapsed="false">
      <c r="A145" s="9" t="s">
        <v>218</v>
      </c>
      <c r="B145" s="9" t="s">
        <v>219</v>
      </c>
      <c r="C145" s="9" t="s">
        <v>220</v>
      </c>
      <c r="D145" s="9" t="s">
        <v>23</v>
      </c>
      <c r="E145" s="10" t="n">
        <v>190749.86</v>
      </c>
      <c r="F145" s="10" t="n">
        <v>190749.86</v>
      </c>
      <c r="G145" s="10" t="n">
        <f aca="false">N(E145)-N(F145)</f>
        <v>0</v>
      </c>
      <c r="H145" s="9" t="s">
        <v>21</v>
      </c>
      <c r="I145" s="12" t="n">
        <v>46296</v>
      </c>
    </row>
    <row r="146" customFormat="false" ht="15" hidden="false" customHeight="false" outlineLevel="0" collapsed="false">
      <c r="A146" s="6" t="s">
        <v>221</v>
      </c>
      <c r="B146" s="6" t="s">
        <v>222</v>
      </c>
      <c r="C146" s="6" t="s">
        <v>13</v>
      </c>
      <c r="D146" s="6" t="s">
        <v>14</v>
      </c>
      <c r="E146" s="7" t="n">
        <f aca="false">SUMIFS(Base!$H:$H,Base!$A:$A,$A146)</f>
        <v>241570</v>
      </c>
      <c r="F146" s="7" t="n">
        <f aca="false">SUMIFS(Base!$I:$I,Base!$A:$A,$A146)</f>
        <v>241570</v>
      </c>
      <c r="G146" s="7" t="n">
        <f aca="false">E146-F146</f>
        <v>0</v>
      </c>
      <c r="H146" s="6" t="s">
        <v>21</v>
      </c>
      <c r="I146" s="6"/>
    </row>
    <row r="147" customFormat="false" ht="15" hidden="true" customHeight="false" outlineLevel="1" collapsed="false">
      <c r="A147" s="9" t="s">
        <v>221</v>
      </c>
      <c r="B147" s="9" t="s">
        <v>222</v>
      </c>
      <c r="C147" s="9" t="s">
        <v>223</v>
      </c>
      <c r="D147" s="9" t="s">
        <v>23</v>
      </c>
      <c r="E147" s="10" t="n">
        <v>241570</v>
      </c>
      <c r="F147" s="10" t="n">
        <v>241570</v>
      </c>
      <c r="G147" s="10" t="n">
        <f aca="false">N(E147)-N(F147)</f>
        <v>0</v>
      </c>
      <c r="H147" s="9" t="s">
        <v>21</v>
      </c>
      <c r="I147" s="12" t="n">
        <v>46315</v>
      </c>
    </row>
    <row r="148" customFormat="false" ht="15" hidden="false" customHeight="false" outlineLevel="0" collapsed="false">
      <c r="A148" s="6" t="s">
        <v>224</v>
      </c>
      <c r="B148" s="6" t="s">
        <v>225</v>
      </c>
      <c r="C148" s="6" t="s">
        <v>13</v>
      </c>
      <c r="D148" s="6" t="s">
        <v>14</v>
      </c>
      <c r="E148" s="7" t="n">
        <f aca="false">SUMIFS(Base!$H:$H,Base!$A:$A,$A148)</f>
        <v>1420000</v>
      </c>
      <c r="F148" s="7" t="n">
        <f aca="false">SUMIFS(Base!$I:$I,Base!$A:$A,$A148)</f>
        <v>0</v>
      </c>
      <c r="G148" s="7" t="n">
        <f aca="false">E148-F148</f>
        <v>1420000</v>
      </c>
      <c r="H148" s="8" t="s">
        <v>37</v>
      </c>
      <c r="I148" s="6"/>
    </row>
    <row r="149" customFormat="false" ht="15" hidden="true" customHeight="false" outlineLevel="1" collapsed="false">
      <c r="A149" s="9" t="s">
        <v>224</v>
      </c>
      <c r="B149" s="9" t="s">
        <v>225</v>
      </c>
      <c r="C149" s="9" t="s">
        <v>226</v>
      </c>
      <c r="D149" s="9" t="s">
        <v>39</v>
      </c>
      <c r="E149" s="10" t="n">
        <v>1420000</v>
      </c>
      <c r="F149" s="10"/>
      <c r="G149" s="10" t="n">
        <f aca="false">N(E149)-N(F149)</f>
        <v>1420000</v>
      </c>
      <c r="H149" s="11" t="s">
        <v>30</v>
      </c>
      <c r="I149" s="12" t="n">
        <v>46302</v>
      </c>
    </row>
    <row r="150" customFormat="false" ht="15" hidden="false" customHeight="false" outlineLevel="0" collapsed="false">
      <c r="A150" s="6" t="s">
        <v>227</v>
      </c>
      <c r="B150" s="6" t="s">
        <v>228</v>
      </c>
      <c r="C150" s="6" t="s">
        <v>26</v>
      </c>
      <c r="D150" s="6" t="s">
        <v>14</v>
      </c>
      <c r="E150" s="7" t="n">
        <f aca="false">SUMIFS(Base!$H:$H,Base!$A:$A,$A150)</f>
        <v>145600</v>
      </c>
      <c r="F150" s="7" t="n">
        <f aca="false">SUMIFS(Base!$I:$I,Base!$A:$A,$A150)</f>
        <v>0</v>
      </c>
      <c r="G150" s="7" t="n">
        <f aca="false">E150-F150</f>
        <v>145600</v>
      </c>
      <c r="H150" s="8" t="s">
        <v>37</v>
      </c>
      <c r="I150" s="6"/>
    </row>
    <row r="151" customFormat="false" ht="15" hidden="true" customHeight="false" outlineLevel="1" collapsed="false">
      <c r="A151" s="9" t="s">
        <v>227</v>
      </c>
      <c r="B151" s="9" t="s">
        <v>228</v>
      </c>
      <c r="C151" s="9" t="s">
        <v>229</v>
      </c>
      <c r="D151" s="9" t="s">
        <v>39</v>
      </c>
      <c r="E151" s="10" t="n">
        <v>91600</v>
      </c>
      <c r="F151" s="10"/>
      <c r="G151" s="10" t="n">
        <f aca="false">N(E151)-N(F151)</f>
        <v>91600</v>
      </c>
      <c r="H151" s="11" t="s">
        <v>30</v>
      </c>
      <c r="I151" s="12" t="n">
        <v>46302</v>
      </c>
    </row>
    <row r="152" customFormat="false" ht="15" hidden="true" customHeight="false" outlineLevel="1" collapsed="false">
      <c r="A152" s="9" t="s">
        <v>227</v>
      </c>
      <c r="B152" s="9" t="s">
        <v>228</v>
      </c>
      <c r="C152" s="9" t="s">
        <v>230</v>
      </c>
      <c r="D152" s="9" t="s">
        <v>39</v>
      </c>
      <c r="E152" s="10" t="n">
        <v>54000</v>
      </c>
      <c r="F152" s="10"/>
      <c r="G152" s="10" t="n">
        <f aca="false">N(E152)-N(F152)</f>
        <v>54000</v>
      </c>
      <c r="H152" s="11" t="s">
        <v>30</v>
      </c>
      <c r="I152" s="12" t="n">
        <v>46317</v>
      </c>
    </row>
    <row r="153" customFormat="false" ht="15" hidden="false" customHeight="false" outlineLevel="0" collapsed="false">
      <c r="A153" s="6" t="s">
        <v>231</v>
      </c>
      <c r="B153" s="6" t="s">
        <v>232</v>
      </c>
      <c r="C153" s="6" t="s">
        <v>42</v>
      </c>
      <c r="D153" s="6" t="s">
        <v>14</v>
      </c>
      <c r="E153" s="7" t="n">
        <f aca="false">SUMIFS(Base!$H:$H,Base!$A:$A,$A153)</f>
        <v>60000</v>
      </c>
      <c r="F153" s="7" t="n">
        <f aca="false">SUMIFS(Base!$I:$I,Base!$A:$A,$A153)</f>
        <v>60000</v>
      </c>
      <c r="G153" s="7" t="n">
        <f aca="false">E153-F153</f>
        <v>0</v>
      </c>
      <c r="H153" s="6" t="s">
        <v>21</v>
      </c>
      <c r="I153" s="6"/>
    </row>
    <row r="154" customFormat="false" ht="15" hidden="true" customHeight="false" outlineLevel="1" collapsed="false">
      <c r="A154" s="9" t="s">
        <v>231</v>
      </c>
      <c r="B154" s="9" t="s">
        <v>232</v>
      </c>
      <c r="C154" s="9" t="s">
        <v>233</v>
      </c>
      <c r="D154" s="9" t="s">
        <v>23</v>
      </c>
      <c r="E154" s="10" t="n">
        <v>20000</v>
      </c>
      <c r="F154" s="10" t="n">
        <v>20000</v>
      </c>
      <c r="G154" s="10" t="n">
        <f aca="false">N(E154)-N(F154)</f>
        <v>0</v>
      </c>
      <c r="H154" s="9" t="s">
        <v>21</v>
      </c>
      <c r="I154" s="12" t="n">
        <v>46300</v>
      </c>
    </row>
    <row r="155" customFormat="false" ht="15" hidden="true" customHeight="false" outlineLevel="1" collapsed="false">
      <c r="A155" s="9" t="s">
        <v>231</v>
      </c>
      <c r="B155" s="9" t="s">
        <v>232</v>
      </c>
      <c r="C155" s="9" t="s">
        <v>234</v>
      </c>
      <c r="D155" s="9" t="s">
        <v>23</v>
      </c>
      <c r="E155" s="10" t="n">
        <v>20000</v>
      </c>
      <c r="F155" s="10" t="n">
        <v>20000</v>
      </c>
      <c r="G155" s="10" t="n">
        <f aca="false">N(E155)-N(F155)</f>
        <v>0</v>
      </c>
      <c r="H155" s="9" t="s">
        <v>21</v>
      </c>
      <c r="I155" s="12" t="n">
        <v>46310</v>
      </c>
    </row>
    <row r="156" customFormat="false" ht="15" hidden="true" customHeight="false" outlineLevel="1" collapsed="false">
      <c r="A156" s="9" t="s">
        <v>231</v>
      </c>
      <c r="B156" s="9" t="s">
        <v>232</v>
      </c>
      <c r="C156" s="9" t="s">
        <v>235</v>
      </c>
      <c r="D156" s="9" t="s">
        <v>23</v>
      </c>
      <c r="E156" s="10" t="n">
        <v>20000</v>
      </c>
      <c r="F156" s="10" t="n">
        <v>20000</v>
      </c>
      <c r="G156" s="10" t="n">
        <f aca="false">N(E156)-N(F156)</f>
        <v>0</v>
      </c>
      <c r="H156" s="9" t="s">
        <v>21</v>
      </c>
      <c r="I156" s="12" t="n">
        <v>46310</v>
      </c>
    </row>
    <row r="157" customFormat="false" ht="15" hidden="false" customHeight="false" outlineLevel="0" collapsed="false">
      <c r="A157" s="6" t="s">
        <v>236</v>
      </c>
      <c r="B157" s="6" t="s">
        <v>237</v>
      </c>
      <c r="C157" s="6" t="s">
        <v>26</v>
      </c>
      <c r="D157" s="6" t="s">
        <v>14</v>
      </c>
      <c r="E157" s="7" t="n">
        <f aca="false">SUMIFS(Base!$H:$H,Base!$A:$A,$A157)</f>
        <v>181400</v>
      </c>
      <c r="F157" s="7" t="n">
        <f aca="false">SUMIFS(Base!$I:$I,Base!$A:$A,$A157)</f>
        <v>181400</v>
      </c>
      <c r="G157" s="7" t="n">
        <f aca="false">E157-F157</f>
        <v>0</v>
      </c>
      <c r="H157" s="6" t="s">
        <v>21</v>
      </c>
      <c r="I157" s="6"/>
    </row>
    <row r="158" customFormat="false" ht="15" hidden="true" customHeight="false" outlineLevel="1" collapsed="false">
      <c r="A158" s="9" t="s">
        <v>236</v>
      </c>
      <c r="B158" s="9" t="s">
        <v>237</v>
      </c>
      <c r="C158" s="9" t="s">
        <v>238</v>
      </c>
      <c r="D158" s="9" t="s">
        <v>23</v>
      </c>
      <c r="E158" s="10" t="n">
        <v>93300</v>
      </c>
      <c r="F158" s="10" t="n">
        <v>93300</v>
      </c>
      <c r="G158" s="10" t="n">
        <f aca="false">N(E158)-N(F158)</f>
        <v>0</v>
      </c>
      <c r="H158" s="9" t="s">
        <v>21</v>
      </c>
      <c r="I158" s="12" t="n">
        <v>46297</v>
      </c>
    </row>
    <row r="159" customFormat="false" ht="15" hidden="true" customHeight="false" outlineLevel="1" collapsed="false">
      <c r="A159" s="9" t="s">
        <v>236</v>
      </c>
      <c r="B159" s="9" t="s">
        <v>237</v>
      </c>
      <c r="C159" s="9" t="s">
        <v>239</v>
      </c>
      <c r="D159" s="9" t="s">
        <v>23</v>
      </c>
      <c r="E159" s="10" t="n">
        <v>88100</v>
      </c>
      <c r="F159" s="10" t="n">
        <v>88100</v>
      </c>
      <c r="G159" s="10" t="n">
        <f aca="false">N(E159)-N(F159)</f>
        <v>0</v>
      </c>
      <c r="H159" s="9" t="s">
        <v>21</v>
      </c>
      <c r="I159" s="12" t="n">
        <v>46298</v>
      </c>
    </row>
    <row r="160" customFormat="false" ht="15" hidden="false" customHeight="false" outlineLevel="0" collapsed="false">
      <c r="A160" s="6" t="s">
        <v>240</v>
      </c>
      <c r="B160" s="6" t="s">
        <v>241</v>
      </c>
      <c r="C160" s="6" t="s">
        <v>13</v>
      </c>
      <c r="D160" s="6" t="s">
        <v>14</v>
      </c>
      <c r="E160" s="7" t="n">
        <f aca="false">SUMIFS(Base!$H:$H,Base!$A:$A,$A160)</f>
        <v>212000</v>
      </c>
      <c r="F160" s="7" t="n">
        <f aca="false">SUMIFS(Base!$I:$I,Base!$A:$A,$A160)</f>
        <v>212000</v>
      </c>
      <c r="G160" s="7" t="n">
        <f aca="false">E160-F160</f>
        <v>0</v>
      </c>
      <c r="H160" s="6" t="s">
        <v>21</v>
      </c>
      <c r="I160" s="6"/>
    </row>
    <row r="161" customFormat="false" ht="15" hidden="true" customHeight="false" outlineLevel="1" collapsed="false">
      <c r="A161" s="9" t="s">
        <v>240</v>
      </c>
      <c r="B161" s="9" t="s">
        <v>241</v>
      </c>
      <c r="C161" s="9" t="s">
        <v>242</v>
      </c>
      <c r="D161" s="9" t="s">
        <v>23</v>
      </c>
      <c r="E161" s="10" t="n">
        <v>212000</v>
      </c>
      <c r="F161" s="10" t="n">
        <v>212000</v>
      </c>
      <c r="G161" s="10" t="n">
        <f aca="false">N(E161)-N(F161)</f>
        <v>0</v>
      </c>
      <c r="H161" s="9" t="s">
        <v>21</v>
      </c>
      <c r="I161" s="12" t="n">
        <v>46316</v>
      </c>
    </row>
    <row r="162" customFormat="false" ht="15" hidden="false" customHeight="false" outlineLevel="0" collapsed="false">
      <c r="A162" s="6" t="s">
        <v>243</v>
      </c>
      <c r="B162" s="6" t="s">
        <v>244</v>
      </c>
      <c r="C162" s="6" t="s">
        <v>13</v>
      </c>
      <c r="D162" s="6" t="s">
        <v>14</v>
      </c>
      <c r="E162" s="7" t="n">
        <f aca="false">SUMIFS(Base!$H:$H,Base!$A:$A,$A162)</f>
        <v>5800000</v>
      </c>
      <c r="F162" s="7" t="n">
        <f aca="false">SUMIFS(Base!$I:$I,Base!$A:$A,$A162)</f>
        <v>0</v>
      </c>
      <c r="G162" s="7" t="n">
        <f aca="false">E162-F162</f>
        <v>5800000</v>
      </c>
      <c r="H162" s="8" t="s">
        <v>37</v>
      </c>
      <c r="I162" s="6"/>
    </row>
    <row r="163" customFormat="false" ht="15" hidden="true" customHeight="false" outlineLevel="1" collapsed="false">
      <c r="A163" s="9" t="s">
        <v>243</v>
      </c>
      <c r="B163" s="9" t="s">
        <v>244</v>
      </c>
      <c r="C163" s="9" t="s">
        <v>245</v>
      </c>
      <c r="D163" s="9" t="s">
        <v>39</v>
      </c>
      <c r="E163" s="10" t="n">
        <v>5800000</v>
      </c>
      <c r="F163" s="10"/>
      <c r="G163" s="10" t="n">
        <f aca="false">N(E163)-N(F163)</f>
        <v>5800000</v>
      </c>
      <c r="H163" s="11" t="s">
        <v>30</v>
      </c>
      <c r="I163" s="12" t="n">
        <v>46302</v>
      </c>
    </row>
    <row r="164" customFormat="false" ht="15" hidden="false" customHeight="false" outlineLevel="0" collapsed="false">
      <c r="A164" s="6" t="s">
        <v>246</v>
      </c>
      <c r="B164" s="6" t="s">
        <v>247</v>
      </c>
      <c r="C164" s="6" t="s">
        <v>42</v>
      </c>
      <c r="D164" s="6" t="s">
        <v>14</v>
      </c>
      <c r="E164" s="7" t="n">
        <f aca="false">SUMIFS(Base!$H:$H,Base!$A:$A,$A164)</f>
        <v>23379000</v>
      </c>
      <c r="F164" s="7" t="n">
        <f aca="false">SUMIFS(Base!$I:$I,Base!$A:$A,$A164)</f>
        <v>23379000</v>
      </c>
      <c r="G164" s="7" t="n">
        <f aca="false">E164-F164</f>
        <v>0</v>
      </c>
      <c r="H164" s="6" t="s">
        <v>21</v>
      </c>
      <c r="I164" s="6"/>
    </row>
    <row r="165" customFormat="false" ht="15" hidden="true" customHeight="false" outlineLevel="1" collapsed="false">
      <c r="A165" s="9" t="s">
        <v>246</v>
      </c>
      <c r="B165" s="9" t="s">
        <v>247</v>
      </c>
      <c r="C165" s="9" t="s">
        <v>248</v>
      </c>
      <c r="D165" s="9" t="s">
        <v>23</v>
      </c>
      <c r="E165" s="10" t="n">
        <v>4000000</v>
      </c>
      <c r="F165" s="10" t="n">
        <v>4000000</v>
      </c>
      <c r="G165" s="10" t="n">
        <f aca="false">N(E165)-N(F165)</f>
        <v>0</v>
      </c>
      <c r="H165" s="9" t="s">
        <v>21</v>
      </c>
      <c r="I165" s="12" t="n">
        <v>46310</v>
      </c>
    </row>
    <row r="166" customFormat="false" ht="15" hidden="true" customHeight="false" outlineLevel="1" collapsed="false">
      <c r="A166" s="9" t="s">
        <v>246</v>
      </c>
      <c r="B166" s="9" t="s">
        <v>247</v>
      </c>
      <c r="C166" s="9" t="s">
        <v>249</v>
      </c>
      <c r="D166" s="9" t="s">
        <v>23</v>
      </c>
      <c r="E166" s="10" t="n">
        <v>17000000</v>
      </c>
      <c r="F166" s="10" t="n">
        <v>17000000</v>
      </c>
      <c r="G166" s="10" t="n">
        <f aca="false">N(E166)-N(F166)</f>
        <v>0</v>
      </c>
      <c r="H166" s="9" t="s">
        <v>21</v>
      </c>
      <c r="I166" s="12" t="n">
        <v>46310</v>
      </c>
    </row>
    <row r="167" customFormat="false" ht="15" hidden="true" customHeight="false" outlineLevel="1" collapsed="false">
      <c r="A167" s="9" t="s">
        <v>246</v>
      </c>
      <c r="B167" s="9" t="s">
        <v>247</v>
      </c>
      <c r="C167" s="9" t="s">
        <v>250</v>
      </c>
      <c r="D167" s="9" t="s">
        <v>23</v>
      </c>
      <c r="E167" s="10" t="n">
        <v>2379000</v>
      </c>
      <c r="F167" s="10" t="n">
        <v>2379000</v>
      </c>
      <c r="G167" s="10" t="n">
        <f aca="false">N(E167)-N(F167)</f>
        <v>0</v>
      </c>
      <c r="H167" s="9" t="s">
        <v>21</v>
      </c>
      <c r="I167" s="12" t="n">
        <v>46310</v>
      </c>
    </row>
    <row r="168" customFormat="false" ht="15" hidden="false" customHeight="false" outlineLevel="0" collapsed="false">
      <c r="A168" s="6" t="s">
        <v>251</v>
      </c>
      <c r="B168" s="6" t="s">
        <v>252</v>
      </c>
      <c r="C168" s="6" t="s">
        <v>13</v>
      </c>
      <c r="D168" s="6" t="s">
        <v>14</v>
      </c>
      <c r="E168" s="7" t="n">
        <f aca="false">SUMIFS(Base!$H:$H,Base!$A:$A,$A168)</f>
        <v>3564000</v>
      </c>
      <c r="F168" s="7" t="n">
        <f aca="false">SUMIFS(Base!$I:$I,Base!$A:$A,$A168)</f>
        <v>0</v>
      </c>
      <c r="G168" s="7" t="n">
        <f aca="false">E168-F168</f>
        <v>3564000</v>
      </c>
      <c r="H168" s="8" t="s">
        <v>37</v>
      </c>
      <c r="I168" s="6"/>
    </row>
    <row r="169" customFormat="false" ht="15" hidden="true" customHeight="false" outlineLevel="1" collapsed="false">
      <c r="A169" s="9" t="s">
        <v>251</v>
      </c>
      <c r="B169" s="9" t="s">
        <v>252</v>
      </c>
      <c r="C169" s="9" t="s">
        <v>253</v>
      </c>
      <c r="D169" s="9" t="s">
        <v>23</v>
      </c>
      <c r="E169" s="10" t="n">
        <v>3564000</v>
      </c>
      <c r="F169" s="10"/>
      <c r="G169" s="10" t="n">
        <f aca="false">N(E169)-N(F169)</f>
        <v>3564000</v>
      </c>
      <c r="H169" s="11" t="s">
        <v>30</v>
      </c>
      <c r="I169" s="12" t="n">
        <v>46297</v>
      </c>
    </row>
    <row r="170" customFormat="false" ht="15" hidden="false" customHeight="false" outlineLevel="0" collapsed="false">
      <c r="A170" s="6" t="s">
        <v>254</v>
      </c>
      <c r="B170" s="6" t="s">
        <v>255</v>
      </c>
      <c r="C170" s="6" t="s">
        <v>13</v>
      </c>
      <c r="D170" s="6" t="s">
        <v>14</v>
      </c>
      <c r="E170" s="7" t="n">
        <f aca="false">SUMIFS(Base!$H:$H,Base!$A:$A,$A170)</f>
        <v>150000</v>
      </c>
      <c r="F170" s="7" t="n">
        <f aca="false">SUMIFS(Base!$I:$I,Base!$A:$A,$A170)</f>
        <v>150000</v>
      </c>
      <c r="G170" s="7" t="n">
        <f aca="false">E170-F170</f>
        <v>0</v>
      </c>
      <c r="H170" s="6" t="s">
        <v>21</v>
      </c>
      <c r="I170" s="6"/>
    </row>
    <row r="171" customFormat="false" ht="15" hidden="true" customHeight="false" outlineLevel="1" collapsed="false">
      <c r="A171" s="9" t="s">
        <v>254</v>
      </c>
      <c r="B171" s="9" t="s">
        <v>255</v>
      </c>
      <c r="C171" s="9" t="s">
        <v>256</v>
      </c>
      <c r="D171" s="9" t="s">
        <v>23</v>
      </c>
      <c r="E171" s="10" t="n">
        <v>150000</v>
      </c>
      <c r="F171" s="10" t="n">
        <v>150000</v>
      </c>
      <c r="G171" s="10" t="n">
        <f aca="false">N(E171)-N(F171)</f>
        <v>0</v>
      </c>
      <c r="H171" s="9" t="s">
        <v>21</v>
      </c>
      <c r="I171" s="12" t="n">
        <v>46304</v>
      </c>
    </row>
    <row r="172" customFormat="false" ht="15" hidden="false" customHeight="false" outlineLevel="0" collapsed="false">
      <c r="A172" s="6" t="s">
        <v>257</v>
      </c>
      <c r="B172" s="6" t="s">
        <v>258</v>
      </c>
      <c r="C172" s="6" t="s">
        <v>13</v>
      </c>
      <c r="D172" s="6" t="s">
        <v>14</v>
      </c>
      <c r="E172" s="7" t="n">
        <f aca="false">SUMIFS(Base!$H:$H,Base!$A:$A,$A172)</f>
        <v>1500000</v>
      </c>
      <c r="F172" s="7" t="n">
        <f aca="false">SUMIFS(Base!$I:$I,Base!$A:$A,$A172)</f>
        <v>0</v>
      </c>
      <c r="G172" s="7" t="n">
        <f aca="false">E172-F172</f>
        <v>1500000</v>
      </c>
      <c r="H172" s="8" t="s">
        <v>37</v>
      </c>
      <c r="I172" s="6"/>
    </row>
    <row r="173" customFormat="false" ht="15" hidden="true" customHeight="false" outlineLevel="1" collapsed="false">
      <c r="A173" s="9" t="s">
        <v>257</v>
      </c>
      <c r="B173" s="9" t="s">
        <v>258</v>
      </c>
      <c r="C173" s="9" t="s">
        <v>259</v>
      </c>
      <c r="D173" s="9" t="s">
        <v>39</v>
      </c>
      <c r="E173" s="10" t="n">
        <v>1500000</v>
      </c>
      <c r="F173" s="10"/>
      <c r="G173" s="10" t="n">
        <f aca="false">N(E173)-N(F173)</f>
        <v>1500000</v>
      </c>
      <c r="H173" s="11" t="s">
        <v>30</v>
      </c>
      <c r="I173" s="12" t="n">
        <v>46316</v>
      </c>
    </row>
    <row r="174" customFormat="false" ht="15" hidden="false" customHeight="false" outlineLevel="0" collapsed="false">
      <c r="A174" s="6" t="s">
        <v>260</v>
      </c>
      <c r="B174" s="6" t="s">
        <v>261</v>
      </c>
      <c r="C174" s="6" t="s">
        <v>13</v>
      </c>
      <c r="D174" s="6" t="s">
        <v>14</v>
      </c>
      <c r="E174" s="7" t="n">
        <f aca="false">SUMIFS(Base!$H:$H,Base!$A:$A,$A174)</f>
        <v>0</v>
      </c>
      <c r="F174" s="7" t="n">
        <f aca="false">SUMIFS(Base!$I:$I,Base!$A:$A,$A174)</f>
        <v>40850</v>
      </c>
      <c r="G174" s="7" t="n">
        <f aca="false">E174-F174</f>
        <v>-40850</v>
      </c>
      <c r="H174" s="8" t="s">
        <v>15</v>
      </c>
      <c r="I174" s="6"/>
    </row>
    <row r="175" customFormat="false" ht="15" hidden="true" customHeight="false" outlineLevel="1" collapsed="false">
      <c r="A175" s="9" t="s">
        <v>260</v>
      </c>
      <c r="B175" s="9" t="s">
        <v>261</v>
      </c>
      <c r="C175" s="9" t="s">
        <v>262</v>
      </c>
      <c r="D175" s="9" t="s">
        <v>17</v>
      </c>
      <c r="E175" s="10"/>
      <c r="F175" s="10" t="n">
        <v>40850</v>
      </c>
      <c r="G175" s="10" t="n">
        <f aca="false">N(E175)-N(F175)</f>
        <v>-40850</v>
      </c>
      <c r="H175" s="11" t="s">
        <v>18</v>
      </c>
      <c r="I175" s="12" t="n">
        <v>46318</v>
      </c>
    </row>
    <row r="176" customFormat="false" ht="15" hidden="false" customHeight="false" outlineLevel="0" collapsed="false">
      <c r="A176" s="6" t="s">
        <v>263</v>
      </c>
      <c r="B176" s="6" t="s">
        <v>264</v>
      </c>
      <c r="C176" s="6" t="s">
        <v>26</v>
      </c>
      <c r="D176" s="6" t="s">
        <v>14</v>
      </c>
      <c r="E176" s="7" t="n">
        <f aca="false">SUMIFS(Base!$H:$H,Base!$A:$A,$A176)</f>
        <v>83526</v>
      </c>
      <c r="F176" s="7" t="n">
        <f aca="false">SUMIFS(Base!$I:$I,Base!$A:$A,$A176)</f>
        <v>0</v>
      </c>
      <c r="G176" s="7" t="n">
        <f aca="false">E176-F176</f>
        <v>83526</v>
      </c>
      <c r="H176" s="8" t="s">
        <v>37</v>
      </c>
      <c r="I176" s="6"/>
    </row>
    <row r="177" customFormat="false" ht="15" hidden="true" customHeight="false" outlineLevel="1" collapsed="false">
      <c r="A177" s="9" t="s">
        <v>263</v>
      </c>
      <c r="B177" s="9" t="s">
        <v>264</v>
      </c>
      <c r="C177" s="9" t="s">
        <v>265</v>
      </c>
      <c r="D177" s="9" t="s">
        <v>23</v>
      </c>
      <c r="E177" s="10" t="n">
        <v>25300</v>
      </c>
      <c r="F177" s="10"/>
      <c r="G177" s="10" t="n">
        <f aca="false">N(E177)-N(F177)</f>
        <v>25300</v>
      </c>
      <c r="H177" s="11" t="s">
        <v>30</v>
      </c>
      <c r="I177" s="12" t="n">
        <v>46301</v>
      </c>
    </row>
    <row r="178" customFormat="false" ht="15" hidden="true" customHeight="false" outlineLevel="1" collapsed="false">
      <c r="A178" s="9" t="s">
        <v>263</v>
      </c>
      <c r="B178" s="9" t="s">
        <v>264</v>
      </c>
      <c r="C178" s="9" t="s">
        <v>266</v>
      </c>
      <c r="D178" s="9" t="s">
        <v>23</v>
      </c>
      <c r="E178" s="10" t="n">
        <v>58226</v>
      </c>
      <c r="F178" s="10"/>
      <c r="G178" s="10" t="n">
        <f aca="false">N(E178)-N(F178)</f>
        <v>58226</v>
      </c>
      <c r="H178" s="11" t="s">
        <v>30</v>
      </c>
      <c r="I178" s="12" t="n">
        <v>46317</v>
      </c>
    </row>
    <row r="179" customFormat="false" ht="15" hidden="false" customHeight="false" outlineLevel="0" collapsed="false">
      <c r="A179" s="6" t="s">
        <v>267</v>
      </c>
      <c r="B179" s="6" t="s">
        <v>268</v>
      </c>
      <c r="C179" s="6" t="s">
        <v>42</v>
      </c>
      <c r="D179" s="6" t="s">
        <v>14</v>
      </c>
      <c r="E179" s="7" t="n">
        <f aca="false">SUMIFS(Base!$H:$H,Base!$A:$A,$A179)</f>
        <v>86704</v>
      </c>
      <c r="F179" s="7" t="n">
        <f aca="false">SUMIFS(Base!$I:$I,Base!$A:$A,$A179)</f>
        <v>0</v>
      </c>
      <c r="G179" s="7" t="n">
        <f aca="false">E179-F179</f>
        <v>86704</v>
      </c>
      <c r="H179" s="8" t="s">
        <v>37</v>
      </c>
      <c r="I179" s="6"/>
    </row>
    <row r="180" customFormat="false" ht="15" hidden="true" customHeight="false" outlineLevel="1" collapsed="false">
      <c r="A180" s="9" t="s">
        <v>267</v>
      </c>
      <c r="B180" s="9" t="s">
        <v>268</v>
      </c>
      <c r="C180" s="9" t="s">
        <v>269</v>
      </c>
      <c r="D180" s="9" t="s">
        <v>270</v>
      </c>
      <c r="E180" s="10" t="n">
        <v>28901</v>
      </c>
      <c r="F180" s="10"/>
      <c r="G180" s="10" t="n">
        <f aca="false">N(E180)-N(F180)</f>
        <v>28901</v>
      </c>
      <c r="H180" s="11" t="s">
        <v>30</v>
      </c>
      <c r="I180" s="12" t="n">
        <v>46316</v>
      </c>
    </row>
    <row r="181" customFormat="false" ht="15" hidden="true" customHeight="false" outlineLevel="1" collapsed="false">
      <c r="A181" s="9" t="s">
        <v>267</v>
      </c>
      <c r="B181" s="9" t="s">
        <v>268</v>
      </c>
      <c r="C181" s="9" t="s">
        <v>271</v>
      </c>
      <c r="D181" s="9" t="s">
        <v>270</v>
      </c>
      <c r="E181" s="10" t="n">
        <v>28901</v>
      </c>
      <c r="F181" s="10"/>
      <c r="G181" s="10" t="n">
        <f aca="false">N(E181)-N(F181)</f>
        <v>28901</v>
      </c>
      <c r="H181" s="11" t="s">
        <v>30</v>
      </c>
      <c r="I181" s="12" t="n">
        <v>46316</v>
      </c>
    </row>
    <row r="182" customFormat="false" ht="15" hidden="true" customHeight="false" outlineLevel="1" collapsed="false">
      <c r="A182" s="9" t="s">
        <v>267</v>
      </c>
      <c r="B182" s="9" t="s">
        <v>268</v>
      </c>
      <c r="C182" s="9" t="s">
        <v>272</v>
      </c>
      <c r="D182" s="9" t="s">
        <v>270</v>
      </c>
      <c r="E182" s="10" t="n">
        <v>28902</v>
      </c>
      <c r="F182" s="10"/>
      <c r="G182" s="10" t="n">
        <f aca="false">N(E182)-N(F182)</f>
        <v>28902</v>
      </c>
      <c r="H182" s="11" t="s">
        <v>30</v>
      </c>
      <c r="I182" s="12" t="n">
        <v>46316</v>
      </c>
    </row>
    <row r="183" customFormat="false" ht="15" hidden="false" customHeight="false" outlineLevel="0" collapsed="false">
      <c r="A183" s="6" t="s">
        <v>273</v>
      </c>
      <c r="B183" s="6" t="s">
        <v>274</v>
      </c>
      <c r="C183" s="6" t="s">
        <v>13</v>
      </c>
      <c r="D183" s="6" t="s">
        <v>14</v>
      </c>
      <c r="E183" s="7" t="n">
        <f aca="false">SUMIFS(Base!$H:$H,Base!$A:$A,$A183)</f>
        <v>110000.03</v>
      </c>
      <c r="F183" s="7" t="n">
        <f aca="false">SUMIFS(Base!$I:$I,Base!$A:$A,$A183)</f>
        <v>110000.03</v>
      </c>
      <c r="G183" s="7" t="n">
        <f aca="false">E183-F183</f>
        <v>0</v>
      </c>
      <c r="H183" s="6" t="s">
        <v>21</v>
      </c>
      <c r="I183" s="6"/>
    </row>
    <row r="184" customFormat="false" ht="15" hidden="true" customHeight="false" outlineLevel="1" collapsed="false">
      <c r="A184" s="9" t="s">
        <v>273</v>
      </c>
      <c r="B184" s="9" t="s">
        <v>274</v>
      </c>
      <c r="C184" s="9" t="s">
        <v>275</v>
      </c>
      <c r="D184" s="9" t="s">
        <v>23</v>
      </c>
      <c r="E184" s="10" t="n">
        <v>110000.03</v>
      </c>
      <c r="F184" s="10" t="n">
        <v>110000.03</v>
      </c>
      <c r="G184" s="10" t="n">
        <f aca="false">N(E184)-N(F184)</f>
        <v>0</v>
      </c>
      <c r="H184" s="9" t="s">
        <v>21</v>
      </c>
      <c r="I184" s="12" t="n">
        <v>46302</v>
      </c>
    </row>
    <row r="185" customFormat="false" ht="15" hidden="false" customHeight="false" outlineLevel="0" collapsed="false">
      <c r="A185" s="6" t="s">
        <v>276</v>
      </c>
      <c r="B185" s="6" t="s">
        <v>277</v>
      </c>
      <c r="C185" s="6" t="s">
        <v>13</v>
      </c>
      <c r="D185" s="6" t="s">
        <v>14</v>
      </c>
      <c r="E185" s="7" t="n">
        <f aca="false">SUMIFS(Base!$H:$H,Base!$A:$A,$A185)</f>
        <v>742000</v>
      </c>
      <c r="F185" s="7" t="n">
        <f aca="false">SUMIFS(Base!$I:$I,Base!$A:$A,$A185)</f>
        <v>0</v>
      </c>
      <c r="G185" s="7" t="n">
        <f aca="false">E185-F185</f>
        <v>742000</v>
      </c>
      <c r="H185" s="8" t="s">
        <v>37</v>
      </c>
      <c r="I185" s="6"/>
    </row>
    <row r="186" customFormat="false" ht="15" hidden="true" customHeight="false" outlineLevel="1" collapsed="false">
      <c r="A186" s="9" t="s">
        <v>276</v>
      </c>
      <c r="B186" s="9" t="s">
        <v>277</v>
      </c>
      <c r="C186" s="9" t="s">
        <v>278</v>
      </c>
      <c r="D186" s="9" t="s">
        <v>39</v>
      </c>
      <c r="E186" s="10" t="n">
        <v>742000</v>
      </c>
      <c r="F186" s="10"/>
      <c r="G186" s="10" t="n">
        <f aca="false">N(E186)-N(F186)</f>
        <v>742000</v>
      </c>
      <c r="H186" s="11" t="s">
        <v>30</v>
      </c>
      <c r="I186" s="12" t="n">
        <v>46317</v>
      </c>
    </row>
    <row r="187" customFormat="false" ht="15" hidden="false" customHeight="false" outlineLevel="0" collapsed="false">
      <c r="A187" s="6" t="s">
        <v>279</v>
      </c>
      <c r="B187" s="6" t="s">
        <v>280</v>
      </c>
      <c r="C187" s="6" t="s">
        <v>26</v>
      </c>
      <c r="D187" s="6" t="s">
        <v>14</v>
      </c>
      <c r="E187" s="7" t="n">
        <f aca="false">SUMIFS(Base!$H:$H,Base!$A:$A,$A187)</f>
        <v>1595781</v>
      </c>
      <c r="F187" s="7" t="n">
        <f aca="false">SUMIFS(Base!$I:$I,Base!$A:$A,$A187)</f>
        <v>641810</v>
      </c>
      <c r="G187" s="7" t="n">
        <f aca="false">E187-F187</f>
        <v>953971</v>
      </c>
      <c r="H187" s="13" t="s">
        <v>27</v>
      </c>
      <c r="I187" s="6"/>
    </row>
    <row r="188" customFormat="false" ht="15" hidden="true" customHeight="false" outlineLevel="1" collapsed="false">
      <c r="A188" s="9" t="s">
        <v>279</v>
      </c>
      <c r="B188" s="9" t="s">
        <v>280</v>
      </c>
      <c r="C188" s="9" t="s">
        <v>281</v>
      </c>
      <c r="D188" s="9" t="s">
        <v>23</v>
      </c>
      <c r="E188" s="10" t="n">
        <v>953971</v>
      </c>
      <c r="F188" s="10"/>
      <c r="G188" s="10" t="n">
        <f aca="false">N(E188)-N(F188)</f>
        <v>953971</v>
      </c>
      <c r="H188" s="11" t="s">
        <v>30</v>
      </c>
      <c r="I188" s="12" t="n">
        <v>46296</v>
      </c>
    </row>
    <row r="189" customFormat="false" ht="15" hidden="true" customHeight="false" outlineLevel="1" collapsed="false">
      <c r="A189" s="9" t="s">
        <v>279</v>
      </c>
      <c r="B189" s="9" t="s">
        <v>280</v>
      </c>
      <c r="C189" s="9" t="s">
        <v>282</v>
      </c>
      <c r="D189" s="9" t="s">
        <v>23</v>
      </c>
      <c r="E189" s="10" t="n">
        <v>641810</v>
      </c>
      <c r="F189" s="10" t="n">
        <v>641810</v>
      </c>
      <c r="G189" s="10" t="n">
        <f aca="false">N(E189)-N(F189)</f>
        <v>0</v>
      </c>
      <c r="H189" s="9" t="s">
        <v>21</v>
      </c>
      <c r="I189" s="12" t="n">
        <v>46311</v>
      </c>
    </row>
    <row r="190" customFormat="false" ht="15" hidden="false" customHeight="false" outlineLevel="0" collapsed="false">
      <c r="A190" s="6" t="s">
        <v>283</v>
      </c>
      <c r="B190" s="6" t="s">
        <v>284</v>
      </c>
      <c r="C190" s="6" t="s">
        <v>13</v>
      </c>
      <c r="D190" s="6" t="s">
        <v>14</v>
      </c>
      <c r="E190" s="7" t="n">
        <f aca="false">SUMIFS(Base!$H:$H,Base!$A:$A,$A190)</f>
        <v>18000</v>
      </c>
      <c r="F190" s="7" t="n">
        <f aca="false">SUMIFS(Base!$I:$I,Base!$A:$A,$A190)</f>
        <v>18000</v>
      </c>
      <c r="G190" s="7" t="n">
        <f aca="false">E190-F190</f>
        <v>0</v>
      </c>
      <c r="H190" s="6" t="s">
        <v>21</v>
      </c>
      <c r="I190" s="6"/>
    </row>
    <row r="191" customFormat="false" ht="15" hidden="true" customHeight="false" outlineLevel="1" collapsed="false">
      <c r="A191" s="9" t="s">
        <v>283</v>
      </c>
      <c r="B191" s="9" t="s">
        <v>284</v>
      </c>
      <c r="C191" s="9" t="s">
        <v>285</v>
      </c>
      <c r="D191" s="9" t="s">
        <v>23</v>
      </c>
      <c r="E191" s="10" t="n">
        <v>18000</v>
      </c>
      <c r="F191" s="10" t="n">
        <v>18000</v>
      </c>
      <c r="G191" s="10" t="n">
        <f aca="false">N(E191)-N(F191)</f>
        <v>0</v>
      </c>
      <c r="H191" s="9" t="s">
        <v>21</v>
      </c>
      <c r="I191" s="12" t="n">
        <v>46309</v>
      </c>
    </row>
    <row r="192" customFormat="false" ht="15" hidden="false" customHeight="false" outlineLevel="0" collapsed="false">
      <c r="A192" s="6" t="s">
        <v>286</v>
      </c>
      <c r="B192" s="6" t="s">
        <v>287</v>
      </c>
      <c r="C192" s="6" t="s">
        <v>13</v>
      </c>
      <c r="D192" s="6" t="s">
        <v>14</v>
      </c>
      <c r="E192" s="7" t="n">
        <f aca="false">SUMIFS(Base!$H:$H,Base!$A:$A,$A192)</f>
        <v>1450000</v>
      </c>
      <c r="F192" s="7" t="n">
        <f aca="false">SUMIFS(Base!$I:$I,Base!$A:$A,$A192)</f>
        <v>0</v>
      </c>
      <c r="G192" s="7" t="n">
        <f aca="false">E192-F192</f>
        <v>1450000</v>
      </c>
      <c r="H192" s="8" t="s">
        <v>37</v>
      </c>
      <c r="I192" s="6"/>
    </row>
    <row r="193" customFormat="false" ht="15" hidden="true" customHeight="false" outlineLevel="1" collapsed="false">
      <c r="A193" s="9" t="s">
        <v>286</v>
      </c>
      <c r="B193" s="9" t="s">
        <v>287</v>
      </c>
      <c r="C193" s="9" t="s">
        <v>288</v>
      </c>
      <c r="D193" s="9" t="s">
        <v>39</v>
      </c>
      <c r="E193" s="10" t="n">
        <v>1450000</v>
      </c>
      <c r="F193" s="10"/>
      <c r="G193" s="10" t="n">
        <f aca="false">N(E193)-N(F193)</f>
        <v>1450000</v>
      </c>
      <c r="H193" s="11" t="s">
        <v>30</v>
      </c>
      <c r="I193" s="12" t="n">
        <v>46302</v>
      </c>
    </row>
    <row r="194" customFormat="false" ht="15" hidden="false" customHeight="false" outlineLevel="0" collapsed="false">
      <c r="A194" s="6" t="s">
        <v>289</v>
      </c>
      <c r="B194" s="6" t="s">
        <v>290</v>
      </c>
      <c r="C194" s="6" t="s">
        <v>13</v>
      </c>
      <c r="D194" s="6" t="s">
        <v>14</v>
      </c>
      <c r="E194" s="7" t="n">
        <f aca="false">SUMIFS(Base!$H:$H,Base!$A:$A,$A194)</f>
        <v>2975000</v>
      </c>
      <c r="F194" s="7" t="n">
        <f aca="false">SUMIFS(Base!$I:$I,Base!$A:$A,$A194)</f>
        <v>2975000</v>
      </c>
      <c r="G194" s="7" t="n">
        <f aca="false">E194-F194</f>
        <v>0</v>
      </c>
      <c r="H194" s="6" t="s">
        <v>21</v>
      </c>
      <c r="I194" s="6"/>
    </row>
    <row r="195" customFormat="false" ht="15" hidden="true" customHeight="false" outlineLevel="1" collapsed="false">
      <c r="A195" s="9" t="s">
        <v>289</v>
      </c>
      <c r="B195" s="9" t="s">
        <v>290</v>
      </c>
      <c r="C195" s="9" t="s">
        <v>291</v>
      </c>
      <c r="D195" s="9" t="s">
        <v>23</v>
      </c>
      <c r="E195" s="10" t="n">
        <v>2975000</v>
      </c>
      <c r="F195" s="10" t="n">
        <v>2975000</v>
      </c>
      <c r="G195" s="10" t="n">
        <f aca="false">N(E195)-N(F195)</f>
        <v>0</v>
      </c>
      <c r="H195" s="9" t="s">
        <v>21</v>
      </c>
      <c r="I195" s="12" t="n">
        <v>46309</v>
      </c>
    </row>
    <row r="196" customFormat="false" ht="15" hidden="false" customHeight="false" outlineLevel="0" collapsed="false">
      <c r="A196" s="6" t="s">
        <v>292</v>
      </c>
      <c r="B196" s="6" t="s">
        <v>293</v>
      </c>
      <c r="C196" s="6" t="s">
        <v>13</v>
      </c>
      <c r="D196" s="6" t="s">
        <v>14</v>
      </c>
      <c r="E196" s="7" t="n">
        <f aca="false">SUMIFS(Base!$H:$H,Base!$A:$A,$A196)</f>
        <v>500000</v>
      </c>
      <c r="F196" s="7" t="n">
        <f aca="false">SUMIFS(Base!$I:$I,Base!$A:$A,$A196)</f>
        <v>0</v>
      </c>
      <c r="G196" s="7" t="n">
        <f aca="false">E196-F196</f>
        <v>500000</v>
      </c>
      <c r="H196" s="8" t="s">
        <v>37</v>
      </c>
      <c r="I196" s="6"/>
    </row>
    <row r="197" customFormat="false" ht="15" hidden="true" customHeight="false" outlineLevel="1" collapsed="false">
      <c r="A197" s="9" t="s">
        <v>292</v>
      </c>
      <c r="B197" s="9" t="s">
        <v>293</v>
      </c>
      <c r="C197" s="9" t="s">
        <v>294</v>
      </c>
      <c r="D197" s="9" t="s">
        <v>39</v>
      </c>
      <c r="E197" s="10" t="n">
        <v>500000</v>
      </c>
      <c r="F197" s="10"/>
      <c r="G197" s="10" t="n">
        <f aca="false">N(E197)-N(F197)</f>
        <v>500000</v>
      </c>
      <c r="H197" s="11" t="s">
        <v>30</v>
      </c>
      <c r="I197" s="12" t="n">
        <v>46310</v>
      </c>
    </row>
    <row r="198" customFormat="false" ht="15" hidden="false" customHeight="false" outlineLevel="0" collapsed="false">
      <c r="A198" s="6" t="s">
        <v>295</v>
      </c>
      <c r="B198" s="6" t="s">
        <v>296</v>
      </c>
      <c r="C198" s="6" t="s">
        <v>297</v>
      </c>
      <c r="D198" s="6" t="s">
        <v>14</v>
      </c>
      <c r="E198" s="7" t="n">
        <f aca="false">SUMIFS(Base!$H:$H,Base!$A:$A,$A198)</f>
        <v>90260</v>
      </c>
      <c r="F198" s="7" t="n">
        <f aca="false">SUMIFS(Base!$I:$I,Base!$A:$A,$A198)</f>
        <v>0</v>
      </c>
      <c r="G198" s="7" t="n">
        <f aca="false">E198-F198</f>
        <v>90260</v>
      </c>
      <c r="H198" s="8" t="s">
        <v>37</v>
      </c>
      <c r="I198" s="6"/>
    </row>
    <row r="199" customFormat="false" ht="15" hidden="true" customHeight="false" outlineLevel="1" collapsed="false">
      <c r="A199" s="9" t="s">
        <v>295</v>
      </c>
      <c r="B199" s="9" t="s">
        <v>296</v>
      </c>
      <c r="C199" s="9" t="s">
        <v>298</v>
      </c>
      <c r="D199" s="9" t="s">
        <v>23</v>
      </c>
      <c r="E199" s="10" t="n">
        <v>5700</v>
      </c>
      <c r="F199" s="10"/>
      <c r="G199" s="10" t="n">
        <f aca="false">N(E199)-N(F199)</f>
        <v>5700</v>
      </c>
      <c r="H199" s="11" t="s">
        <v>30</v>
      </c>
      <c r="I199" s="12" t="n">
        <v>46296</v>
      </c>
    </row>
    <row r="200" customFormat="false" ht="15" hidden="true" customHeight="false" outlineLevel="1" collapsed="false">
      <c r="A200" s="9" t="s">
        <v>295</v>
      </c>
      <c r="B200" s="9" t="s">
        <v>296</v>
      </c>
      <c r="C200" s="9" t="s">
        <v>299</v>
      </c>
      <c r="D200" s="9" t="s">
        <v>23</v>
      </c>
      <c r="E200" s="10" t="n">
        <v>13200</v>
      </c>
      <c r="F200" s="10"/>
      <c r="G200" s="10" t="n">
        <f aca="false">N(E200)-N(F200)</f>
        <v>13200</v>
      </c>
      <c r="H200" s="11" t="s">
        <v>30</v>
      </c>
      <c r="I200" s="12" t="n">
        <v>46297</v>
      </c>
    </row>
    <row r="201" customFormat="false" ht="15" hidden="true" customHeight="false" outlineLevel="1" collapsed="false">
      <c r="A201" s="9" t="s">
        <v>295</v>
      </c>
      <c r="B201" s="9" t="s">
        <v>296</v>
      </c>
      <c r="C201" s="9" t="s">
        <v>300</v>
      </c>
      <c r="D201" s="9" t="s">
        <v>23</v>
      </c>
      <c r="E201" s="10" t="n">
        <v>13200</v>
      </c>
      <c r="F201" s="10"/>
      <c r="G201" s="10" t="n">
        <f aca="false">N(E201)-N(F201)</f>
        <v>13200</v>
      </c>
      <c r="H201" s="11" t="s">
        <v>30</v>
      </c>
      <c r="I201" s="12" t="n">
        <v>46298</v>
      </c>
    </row>
    <row r="202" customFormat="false" ht="15" hidden="true" customHeight="false" outlineLevel="1" collapsed="false">
      <c r="A202" s="9" t="s">
        <v>295</v>
      </c>
      <c r="B202" s="9" t="s">
        <v>296</v>
      </c>
      <c r="C202" s="9" t="s">
        <v>301</v>
      </c>
      <c r="D202" s="9" t="s">
        <v>23</v>
      </c>
      <c r="E202" s="10" t="n">
        <v>13200</v>
      </c>
      <c r="F202" s="10"/>
      <c r="G202" s="10" t="n">
        <f aca="false">N(E202)-N(F202)</f>
        <v>13200</v>
      </c>
      <c r="H202" s="11" t="s">
        <v>30</v>
      </c>
      <c r="I202" s="12" t="n">
        <v>46298</v>
      </c>
    </row>
    <row r="203" customFormat="false" ht="15" hidden="true" customHeight="false" outlineLevel="1" collapsed="false">
      <c r="A203" s="9" t="s">
        <v>295</v>
      </c>
      <c r="B203" s="9" t="s">
        <v>296</v>
      </c>
      <c r="C203" s="9" t="s">
        <v>302</v>
      </c>
      <c r="D203" s="9" t="s">
        <v>23</v>
      </c>
      <c r="E203" s="10" t="n">
        <v>13200</v>
      </c>
      <c r="F203" s="10"/>
      <c r="G203" s="10" t="n">
        <f aca="false">N(E203)-N(F203)</f>
        <v>13200</v>
      </c>
      <c r="H203" s="11" t="s">
        <v>30</v>
      </c>
      <c r="I203" s="12" t="n">
        <v>46305</v>
      </c>
    </row>
    <row r="204" customFormat="false" ht="15" hidden="true" customHeight="false" outlineLevel="1" collapsed="false">
      <c r="A204" s="9" t="s">
        <v>295</v>
      </c>
      <c r="B204" s="9" t="s">
        <v>296</v>
      </c>
      <c r="C204" s="9" t="s">
        <v>303</v>
      </c>
      <c r="D204" s="9" t="s">
        <v>23</v>
      </c>
      <c r="E204" s="10" t="n">
        <v>7160</v>
      </c>
      <c r="F204" s="10"/>
      <c r="G204" s="10" t="n">
        <f aca="false">N(E204)-N(F204)</f>
        <v>7160</v>
      </c>
      <c r="H204" s="11" t="s">
        <v>30</v>
      </c>
      <c r="I204" s="12" t="n">
        <v>46307</v>
      </c>
    </row>
    <row r="205" customFormat="false" ht="15" hidden="true" customHeight="false" outlineLevel="1" collapsed="false">
      <c r="A205" s="9" t="s">
        <v>295</v>
      </c>
      <c r="B205" s="9" t="s">
        <v>296</v>
      </c>
      <c r="C205" s="9" t="s">
        <v>304</v>
      </c>
      <c r="D205" s="9" t="s">
        <v>23</v>
      </c>
      <c r="E205" s="10" t="n">
        <v>5700</v>
      </c>
      <c r="F205" s="10"/>
      <c r="G205" s="10" t="n">
        <f aca="false">N(E205)-N(F205)</f>
        <v>5700</v>
      </c>
      <c r="H205" s="11" t="s">
        <v>30</v>
      </c>
      <c r="I205" s="12" t="n">
        <v>46308</v>
      </c>
    </row>
    <row r="206" customFormat="false" ht="15" hidden="true" customHeight="false" outlineLevel="1" collapsed="false">
      <c r="A206" s="9" t="s">
        <v>295</v>
      </c>
      <c r="B206" s="9" t="s">
        <v>296</v>
      </c>
      <c r="C206" s="9" t="s">
        <v>305</v>
      </c>
      <c r="D206" s="9" t="s">
        <v>23</v>
      </c>
      <c r="E206" s="10" t="n">
        <v>5700</v>
      </c>
      <c r="F206" s="10"/>
      <c r="G206" s="10" t="n">
        <f aca="false">N(E206)-N(F206)</f>
        <v>5700</v>
      </c>
      <c r="H206" s="11" t="s">
        <v>30</v>
      </c>
      <c r="I206" s="12" t="n">
        <v>46309</v>
      </c>
    </row>
    <row r="207" customFormat="false" ht="15" hidden="true" customHeight="false" outlineLevel="1" collapsed="false">
      <c r="A207" s="9" t="s">
        <v>295</v>
      </c>
      <c r="B207" s="9" t="s">
        <v>296</v>
      </c>
      <c r="C207" s="9" t="s">
        <v>306</v>
      </c>
      <c r="D207" s="9" t="s">
        <v>23</v>
      </c>
      <c r="E207" s="10" t="n">
        <v>13200</v>
      </c>
      <c r="F207" s="10"/>
      <c r="G207" s="10" t="n">
        <f aca="false">N(E207)-N(F207)</f>
        <v>13200</v>
      </c>
      <c r="H207" s="11" t="s">
        <v>30</v>
      </c>
      <c r="I207" s="12" t="n">
        <v>46312</v>
      </c>
    </row>
    <row r="208" customFormat="false" ht="15" hidden="false" customHeight="false" outlineLevel="0" collapsed="false">
      <c r="A208" s="6" t="s">
        <v>307</v>
      </c>
      <c r="B208" s="6" t="s">
        <v>308</v>
      </c>
      <c r="C208" s="6" t="s">
        <v>26</v>
      </c>
      <c r="D208" s="6" t="s">
        <v>14</v>
      </c>
      <c r="E208" s="7" t="n">
        <f aca="false">SUMIFS(Base!$H:$H,Base!$A:$A,$A208)</f>
        <v>83623</v>
      </c>
      <c r="F208" s="7" t="n">
        <f aca="false">SUMIFS(Base!$I:$I,Base!$A:$A,$A208)</f>
        <v>20400</v>
      </c>
      <c r="G208" s="7" t="n">
        <f aca="false">E208-F208</f>
        <v>63223</v>
      </c>
      <c r="H208" s="13" t="s">
        <v>27</v>
      </c>
      <c r="I208" s="6"/>
    </row>
    <row r="209" customFormat="false" ht="15" hidden="true" customHeight="false" outlineLevel="1" collapsed="false">
      <c r="A209" s="9" t="s">
        <v>307</v>
      </c>
      <c r="B209" s="9" t="s">
        <v>308</v>
      </c>
      <c r="C209" s="9" t="s">
        <v>309</v>
      </c>
      <c r="D209" s="9" t="s">
        <v>23</v>
      </c>
      <c r="E209" s="10" t="n">
        <v>63223</v>
      </c>
      <c r="F209" s="10"/>
      <c r="G209" s="10" t="n">
        <f aca="false">N(E209)-N(F209)</f>
        <v>63223</v>
      </c>
      <c r="H209" s="11" t="s">
        <v>30</v>
      </c>
      <c r="I209" s="12" t="n">
        <v>46301</v>
      </c>
    </row>
    <row r="210" customFormat="false" ht="15" hidden="true" customHeight="false" outlineLevel="1" collapsed="false">
      <c r="A210" s="9" t="s">
        <v>307</v>
      </c>
      <c r="B210" s="9" t="s">
        <v>308</v>
      </c>
      <c r="C210" s="9" t="s">
        <v>310</v>
      </c>
      <c r="D210" s="9" t="s">
        <v>23</v>
      </c>
      <c r="E210" s="10" t="n">
        <v>20400</v>
      </c>
      <c r="F210" s="10" t="n">
        <v>20400</v>
      </c>
      <c r="G210" s="10" t="n">
        <f aca="false">N(E210)-N(F210)</f>
        <v>0</v>
      </c>
      <c r="H210" s="9" t="s">
        <v>21</v>
      </c>
      <c r="I210" s="12" t="n">
        <v>46303</v>
      </c>
    </row>
    <row r="211" customFormat="false" ht="15" hidden="false" customHeight="false" outlineLevel="0" collapsed="false">
      <c r="A211" s="6" t="s">
        <v>311</v>
      </c>
      <c r="B211" s="6" t="s">
        <v>312</v>
      </c>
      <c r="C211" s="6" t="s">
        <v>13</v>
      </c>
      <c r="D211" s="6" t="s">
        <v>14</v>
      </c>
      <c r="E211" s="7" t="n">
        <f aca="false">SUMIFS(Base!$H:$H,Base!$A:$A,$A211)</f>
        <v>10005520</v>
      </c>
      <c r="F211" s="7" t="n">
        <f aca="false">SUMIFS(Base!$I:$I,Base!$A:$A,$A211)</f>
        <v>10005520</v>
      </c>
      <c r="G211" s="7" t="n">
        <f aca="false">E211-F211</f>
        <v>0</v>
      </c>
      <c r="H211" s="6" t="s">
        <v>21</v>
      </c>
      <c r="I211" s="6"/>
    </row>
    <row r="212" customFormat="false" ht="15" hidden="true" customHeight="false" outlineLevel="1" collapsed="false">
      <c r="A212" s="9" t="s">
        <v>311</v>
      </c>
      <c r="B212" s="9" t="s">
        <v>312</v>
      </c>
      <c r="C212" s="9" t="s">
        <v>313</v>
      </c>
      <c r="D212" s="9" t="s">
        <v>23</v>
      </c>
      <c r="E212" s="10" t="n">
        <v>10005520</v>
      </c>
      <c r="F212" s="10" t="n">
        <v>10005520</v>
      </c>
      <c r="G212" s="10" t="n">
        <f aca="false">N(E212)-N(F212)</f>
        <v>0</v>
      </c>
      <c r="H212" s="9" t="s">
        <v>21</v>
      </c>
      <c r="I212" s="12" t="n">
        <v>46300</v>
      </c>
    </row>
    <row r="213" customFormat="false" ht="15" hidden="false" customHeight="false" outlineLevel="0" collapsed="false">
      <c r="A213" s="6" t="s">
        <v>314</v>
      </c>
      <c r="B213" s="6" t="s">
        <v>315</v>
      </c>
      <c r="C213" s="6" t="s">
        <v>13</v>
      </c>
      <c r="D213" s="6" t="s">
        <v>14</v>
      </c>
      <c r="E213" s="7" t="n">
        <f aca="false">SUMIFS(Base!$H:$H,Base!$A:$A,$A213)</f>
        <v>4000000</v>
      </c>
      <c r="F213" s="7" t="n">
        <f aca="false">SUMIFS(Base!$I:$I,Base!$A:$A,$A213)</f>
        <v>0</v>
      </c>
      <c r="G213" s="7" t="n">
        <f aca="false">E213-F213</f>
        <v>4000000</v>
      </c>
      <c r="H213" s="8" t="s">
        <v>37</v>
      </c>
      <c r="I213" s="6"/>
    </row>
    <row r="214" customFormat="false" ht="15" hidden="true" customHeight="false" outlineLevel="1" collapsed="false">
      <c r="A214" s="9" t="s">
        <v>314</v>
      </c>
      <c r="B214" s="9" t="s">
        <v>315</v>
      </c>
      <c r="C214" s="9" t="s">
        <v>316</v>
      </c>
      <c r="D214" s="9" t="s">
        <v>39</v>
      </c>
      <c r="E214" s="10" t="n">
        <v>4000000</v>
      </c>
      <c r="F214" s="10"/>
      <c r="G214" s="10" t="n">
        <f aca="false">N(E214)-N(F214)</f>
        <v>4000000</v>
      </c>
      <c r="H214" s="11" t="s">
        <v>30</v>
      </c>
      <c r="I214" s="12" t="n">
        <v>46310</v>
      </c>
    </row>
    <row r="215" customFormat="false" ht="15" hidden="false" customHeight="false" outlineLevel="0" collapsed="false">
      <c r="A215" s="6" t="s">
        <v>317</v>
      </c>
      <c r="B215" s="6" t="s">
        <v>318</v>
      </c>
      <c r="C215" s="6" t="s">
        <v>13</v>
      </c>
      <c r="D215" s="6" t="s">
        <v>14</v>
      </c>
      <c r="E215" s="7" t="n">
        <f aca="false">SUMIFS(Base!$H:$H,Base!$A:$A,$A215)</f>
        <v>1500000</v>
      </c>
      <c r="F215" s="7" t="n">
        <f aca="false">SUMIFS(Base!$I:$I,Base!$A:$A,$A215)</f>
        <v>0</v>
      </c>
      <c r="G215" s="7" t="n">
        <f aca="false">E215-F215</f>
        <v>1500000</v>
      </c>
      <c r="H215" s="8" t="s">
        <v>37</v>
      </c>
      <c r="I215" s="6"/>
    </row>
    <row r="216" customFormat="false" ht="15" hidden="true" customHeight="false" outlineLevel="1" collapsed="false">
      <c r="A216" s="9" t="s">
        <v>317</v>
      </c>
      <c r="B216" s="9" t="s">
        <v>318</v>
      </c>
      <c r="C216" s="9" t="s">
        <v>319</v>
      </c>
      <c r="D216" s="9" t="s">
        <v>39</v>
      </c>
      <c r="E216" s="10" t="n">
        <v>1500000</v>
      </c>
      <c r="F216" s="10"/>
      <c r="G216" s="10" t="n">
        <f aca="false">N(E216)-N(F216)</f>
        <v>1500000</v>
      </c>
      <c r="H216" s="11" t="s">
        <v>30</v>
      </c>
      <c r="I216" s="12" t="n">
        <v>46317</v>
      </c>
    </row>
    <row r="217" customFormat="false" ht="15" hidden="false" customHeight="false" outlineLevel="0" collapsed="false">
      <c r="A217" s="6" t="s">
        <v>320</v>
      </c>
      <c r="B217" s="6" t="s">
        <v>321</v>
      </c>
      <c r="C217" s="6" t="s">
        <v>26</v>
      </c>
      <c r="D217" s="6" t="s">
        <v>14</v>
      </c>
      <c r="E217" s="7" t="n">
        <f aca="false">SUMIFS(Base!$H:$H,Base!$A:$A,$A217)</f>
        <v>1090084</v>
      </c>
      <c r="F217" s="7" t="n">
        <f aca="false">SUMIFS(Base!$I:$I,Base!$A:$A,$A217)</f>
        <v>1090084</v>
      </c>
      <c r="G217" s="7" t="n">
        <f aca="false">E217-F217</f>
        <v>0</v>
      </c>
      <c r="H217" s="6" t="s">
        <v>21</v>
      </c>
      <c r="I217" s="6"/>
    </row>
    <row r="218" customFormat="false" ht="15" hidden="true" customHeight="false" outlineLevel="1" collapsed="false">
      <c r="A218" s="9" t="s">
        <v>320</v>
      </c>
      <c r="B218" s="9" t="s">
        <v>321</v>
      </c>
      <c r="C218" s="9" t="s">
        <v>322</v>
      </c>
      <c r="D218" s="9" t="s">
        <v>23</v>
      </c>
      <c r="E218" s="10" t="n">
        <v>545042</v>
      </c>
      <c r="F218" s="10" t="n">
        <v>545042</v>
      </c>
      <c r="G218" s="10" t="n">
        <f aca="false">N(E218)-N(F218)</f>
        <v>0</v>
      </c>
      <c r="H218" s="9" t="s">
        <v>21</v>
      </c>
      <c r="I218" s="12" t="n">
        <v>46309</v>
      </c>
    </row>
    <row r="219" customFormat="false" ht="15" hidden="true" customHeight="false" outlineLevel="1" collapsed="false">
      <c r="A219" s="9" t="s">
        <v>320</v>
      </c>
      <c r="B219" s="9" t="s">
        <v>321</v>
      </c>
      <c r="C219" s="9" t="s">
        <v>323</v>
      </c>
      <c r="D219" s="9" t="s">
        <v>23</v>
      </c>
      <c r="E219" s="10" t="n">
        <v>545042</v>
      </c>
      <c r="F219" s="10" t="n">
        <v>545042</v>
      </c>
      <c r="G219" s="10" t="n">
        <f aca="false">N(E219)-N(F219)</f>
        <v>0</v>
      </c>
      <c r="H219" s="9" t="s">
        <v>21</v>
      </c>
      <c r="I219" s="12" t="n">
        <v>46309</v>
      </c>
    </row>
    <row r="220" customFormat="false" ht="15" hidden="false" customHeight="false" outlineLevel="0" collapsed="false">
      <c r="A220" s="6" t="s">
        <v>324</v>
      </c>
      <c r="B220" s="6" t="s">
        <v>325</v>
      </c>
      <c r="C220" s="6" t="s">
        <v>13</v>
      </c>
      <c r="D220" s="6" t="s">
        <v>14</v>
      </c>
      <c r="E220" s="7" t="n">
        <f aca="false">SUMIFS(Base!$H:$H,Base!$A:$A,$A220)</f>
        <v>30000</v>
      </c>
      <c r="F220" s="7" t="n">
        <f aca="false">SUMIFS(Base!$I:$I,Base!$A:$A,$A220)</f>
        <v>30000</v>
      </c>
      <c r="G220" s="7" t="n">
        <f aca="false">E220-F220</f>
        <v>0</v>
      </c>
      <c r="H220" s="6" t="s">
        <v>21</v>
      </c>
      <c r="I220" s="6"/>
    </row>
    <row r="221" customFormat="false" ht="15" hidden="true" customHeight="false" outlineLevel="1" collapsed="false">
      <c r="A221" s="9" t="s">
        <v>324</v>
      </c>
      <c r="B221" s="9" t="s">
        <v>325</v>
      </c>
      <c r="C221" s="9" t="s">
        <v>326</v>
      </c>
      <c r="D221" s="9" t="s">
        <v>23</v>
      </c>
      <c r="E221" s="10" t="n">
        <v>30000</v>
      </c>
      <c r="F221" s="10" t="n">
        <v>30000</v>
      </c>
      <c r="G221" s="10" t="n">
        <f aca="false">N(E221)-N(F221)</f>
        <v>0</v>
      </c>
      <c r="H221" s="9" t="s">
        <v>21</v>
      </c>
      <c r="I221" s="12" t="n">
        <v>46300</v>
      </c>
    </row>
    <row r="222" customFormat="false" ht="15" hidden="false" customHeight="false" outlineLevel="0" collapsed="false">
      <c r="A222" s="6" t="s">
        <v>327</v>
      </c>
      <c r="B222" s="6" t="s">
        <v>328</v>
      </c>
      <c r="C222" s="6" t="s">
        <v>13</v>
      </c>
      <c r="D222" s="6" t="s">
        <v>14</v>
      </c>
      <c r="E222" s="7" t="n">
        <f aca="false">SUMIFS(Base!$H:$H,Base!$A:$A,$A222)</f>
        <v>41900</v>
      </c>
      <c r="F222" s="7" t="n">
        <f aca="false">SUMIFS(Base!$I:$I,Base!$A:$A,$A222)</f>
        <v>41900</v>
      </c>
      <c r="G222" s="7" t="n">
        <f aca="false">E222-F222</f>
        <v>0</v>
      </c>
      <c r="H222" s="6" t="s">
        <v>21</v>
      </c>
      <c r="I222" s="6"/>
    </row>
    <row r="223" customFormat="false" ht="15" hidden="true" customHeight="false" outlineLevel="1" collapsed="false">
      <c r="A223" s="9" t="s">
        <v>327</v>
      </c>
      <c r="B223" s="9" t="s">
        <v>328</v>
      </c>
      <c r="C223" s="9" t="s">
        <v>329</v>
      </c>
      <c r="D223" s="9" t="s">
        <v>23</v>
      </c>
      <c r="E223" s="10" t="n">
        <v>41900</v>
      </c>
      <c r="F223" s="10" t="n">
        <v>41900</v>
      </c>
      <c r="G223" s="10" t="n">
        <f aca="false">N(E223)-N(F223)</f>
        <v>0</v>
      </c>
      <c r="H223" s="9" t="s">
        <v>21</v>
      </c>
      <c r="I223" s="12" t="n">
        <v>46296</v>
      </c>
    </row>
    <row r="224" customFormat="false" ht="15" hidden="false" customHeight="false" outlineLevel="0" collapsed="false">
      <c r="A224" s="6" t="s">
        <v>330</v>
      </c>
      <c r="B224" s="6" t="s">
        <v>331</v>
      </c>
      <c r="C224" s="6" t="s">
        <v>13</v>
      </c>
      <c r="D224" s="6" t="s">
        <v>14</v>
      </c>
      <c r="E224" s="7" t="n">
        <f aca="false">SUMIFS(Base!$H:$H,Base!$A:$A,$A224)</f>
        <v>315116.34</v>
      </c>
      <c r="F224" s="7" t="n">
        <f aca="false">SUMIFS(Base!$I:$I,Base!$A:$A,$A224)</f>
        <v>315116.34</v>
      </c>
      <c r="G224" s="7" t="n">
        <f aca="false">E224-F224</f>
        <v>0</v>
      </c>
      <c r="H224" s="6" t="s">
        <v>21</v>
      </c>
      <c r="I224" s="6"/>
    </row>
    <row r="225" customFormat="false" ht="15" hidden="true" customHeight="false" outlineLevel="1" collapsed="false">
      <c r="A225" s="9" t="s">
        <v>330</v>
      </c>
      <c r="B225" s="9" t="s">
        <v>331</v>
      </c>
      <c r="C225" s="9" t="s">
        <v>332</v>
      </c>
      <c r="D225" s="9" t="s">
        <v>23</v>
      </c>
      <c r="E225" s="10" t="n">
        <v>315116.34</v>
      </c>
      <c r="F225" s="10" t="n">
        <v>315116.34</v>
      </c>
      <c r="G225" s="10" t="n">
        <f aca="false">N(E225)-N(F225)</f>
        <v>0</v>
      </c>
      <c r="H225" s="9" t="s">
        <v>21</v>
      </c>
      <c r="I225" s="12" t="n">
        <v>46314</v>
      </c>
    </row>
    <row r="226" customFormat="false" ht="15" hidden="false" customHeight="false" outlineLevel="0" collapsed="false">
      <c r="A226" s="6" t="s">
        <v>333</v>
      </c>
      <c r="B226" s="6" t="s">
        <v>334</v>
      </c>
      <c r="C226" s="6" t="s">
        <v>42</v>
      </c>
      <c r="D226" s="6" t="s">
        <v>14</v>
      </c>
      <c r="E226" s="7" t="n">
        <f aca="false">SUMIFS(Base!$H:$H,Base!$A:$A,$A226)</f>
        <v>10000</v>
      </c>
      <c r="F226" s="7" t="n">
        <f aca="false">SUMIFS(Base!$I:$I,Base!$A:$A,$A226)</f>
        <v>0</v>
      </c>
      <c r="G226" s="7" t="n">
        <f aca="false">E226-F226</f>
        <v>10000</v>
      </c>
      <c r="H226" s="8" t="s">
        <v>37</v>
      </c>
      <c r="I226" s="6"/>
    </row>
    <row r="227" customFormat="false" ht="15" hidden="true" customHeight="false" outlineLevel="1" collapsed="false">
      <c r="A227" s="9" t="s">
        <v>333</v>
      </c>
      <c r="B227" s="9" t="s">
        <v>334</v>
      </c>
      <c r="C227" s="9" t="s">
        <v>335</v>
      </c>
      <c r="D227" s="9" t="s">
        <v>39</v>
      </c>
      <c r="E227" s="10" t="n">
        <v>3000</v>
      </c>
      <c r="F227" s="10"/>
      <c r="G227" s="10" t="n">
        <f aca="false">N(E227)-N(F227)</f>
        <v>3000</v>
      </c>
      <c r="H227" s="11" t="s">
        <v>30</v>
      </c>
      <c r="I227" s="12" t="n">
        <v>46302</v>
      </c>
    </row>
    <row r="228" customFormat="false" ht="15" hidden="true" customHeight="false" outlineLevel="1" collapsed="false">
      <c r="A228" s="9" t="s">
        <v>333</v>
      </c>
      <c r="B228" s="9" t="s">
        <v>334</v>
      </c>
      <c r="C228" s="9" t="s">
        <v>336</v>
      </c>
      <c r="D228" s="9" t="s">
        <v>39</v>
      </c>
      <c r="E228" s="10" t="n">
        <v>5000</v>
      </c>
      <c r="F228" s="10"/>
      <c r="G228" s="10" t="n">
        <f aca="false">N(E228)-N(F228)</f>
        <v>5000</v>
      </c>
      <c r="H228" s="11" t="s">
        <v>30</v>
      </c>
      <c r="I228" s="12" t="n">
        <v>46302</v>
      </c>
    </row>
    <row r="229" customFormat="false" ht="15" hidden="true" customHeight="false" outlineLevel="1" collapsed="false">
      <c r="A229" s="9" t="s">
        <v>333</v>
      </c>
      <c r="B229" s="9" t="s">
        <v>334</v>
      </c>
      <c r="C229" s="9" t="s">
        <v>337</v>
      </c>
      <c r="D229" s="9" t="s">
        <v>39</v>
      </c>
      <c r="E229" s="10" t="n">
        <v>2000</v>
      </c>
      <c r="F229" s="10"/>
      <c r="G229" s="10" t="n">
        <f aca="false">N(E229)-N(F229)</f>
        <v>2000</v>
      </c>
      <c r="H229" s="11" t="s">
        <v>30</v>
      </c>
      <c r="I229" s="12" t="n">
        <v>46317</v>
      </c>
    </row>
    <row r="230" customFormat="false" ht="15" hidden="false" customHeight="false" outlineLevel="0" collapsed="false">
      <c r="A230" s="6" t="s">
        <v>338</v>
      </c>
      <c r="B230" s="6" t="s">
        <v>339</v>
      </c>
      <c r="C230" s="6" t="s">
        <v>13</v>
      </c>
      <c r="D230" s="6" t="s">
        <v>14</v>
      </c>
      <c r="E230" s="7" t="n">
        <f aca="false">SUMIFS(Base!$H:$H,Base!$A:$A,$A230)</f>
        <v>40000</v>
      </c>
      <c r="F230" s="7" t="n">
        <f aca="false">SUMIFS(Base!$I:$I,Base!$A:$A,$A230)</f>
        <v>40000</v>
      </c>
      <c r="G230" s="7" t="n">
        <f aca="false">E230-F230</f>
        <v>0</v>
      </c>
      <c r="H230" s="6" t="s">
        <v>21</v>
      </c>
      <c r="I230" s="6"/>
    </row>
    <row r="231" customFormat="false" ht="15" hidden="true" customHeight="false" outlineLevel="1" collapsed="false">
      <c r="A231" s="9" t="s">
        <v>338</v>
      </c>
      <c r="B231" s="9" t="s">
        <v>339</v>
      </c>
      <c r="C231" s="9" t="s">
        <v>340</v>
      </c>
      <c r="D231" s="9" t="s">
        <v>23</v>
      </c>
      <c r="E231" s="10" t="n">
        <v>40000</v>
      </c>
      <c r="F231" s="10" t="n">
        <v>40000</v>
      </c>
      <c r="G231" s="10" t="n">
        <f aca="false">N(E231)-N(F231)</f>
        <v>0</v>
      </c>
      <c r="H231" s="9" t="s">
        <v>21</v>
      </c>
      <c r="I231" s="12" t="n">
        <v>46309</v>
      </c>
    </row>
    <row r="232" customFormat="false" ht="15" hidden="false" customHeight="false" outlineLevel="0" collapsed="false">
      <c r="A232" s="6" t="s">
        <v>341</v>
      </c>
      <c r="B232" s="6" t="s">
        <v>342</v>
      </c>
      <c r="C232" s="6" t="s">
        <v>13</v>
      </c>
      <c r="D232" s="6" t="s">
        <v>14</v>
      </c>
      <c r="E232" s="7" t="n">
        <f aca="false">SUMIFS(Base!$H:$H,Base!$A:$A,$A232)</f>
        <v>1190000</v>
      </c>
      <c r="F232" s="7" t="n">
        <f aca="false">SUMIFS(Base!$I:$I,Base!$A:$A,$A232)</f>
        <v>1190000</v>
      </c>
      <c r="G232" s="7" t="n">
        <f aca="false">E232-F232</f>
        <v>0</v>
      </c>
      <c r="H232" s="6" t="s">
        <v>21</v>
      </c>
      <c r="I232" s="6"/>
    </row>
    <row r="233" customFormat="false" ht="15" hidden="true" customHeight="false" outlineLevel="1" collapsed="false">
      <c r="A233" s="9" t="s">
        <v>341</v>
      </c>
      <c r="B233" s="9" t="s">
        <v>342</v>
      </c>
      <c r="C233" s="9" t="s">
        <v>343</v>
      </c>
      <c r="D233" s="9" t="s">
        <v>23</v>
      </c>
      <c r="E233" s="10" t="n">
        <v>1190000</v>
      </c>
      <c r="F233" s="10" t="n">
        <v>1190000</v>
      </c>
      <c r="G233" s="10" t="n">
        <f aca="false">N(E233)-N(F233)</f>
        <v>0</v>
      </c>
      <c r="H233" s="9" t="s">
        <v>21</v>
      </c>
      <c r="I233" s="12" t="n">
        <v>46308</v>
      </c>
    </row>
    <row r="234" customFormat="false" ht="15" hidden="false" customHeight="false" outlineLevel="0" collapsed="false">
      <c r="A234" s="6" t="s">
        <v>344</v>
      </c>
      <c r="B234" s="6" t="s">
        <v>345</v>
      </c>
      <c r="C234" s="6" t="s">
        <v>346</v>
      </c>
      <c r="D234" s="6" t="s">
        <v>14</v>
      </c>
      <c r="E234" s="7" t="n">
        <f aca="false">SUMIFS(Base!$H:$H,Base!$A:$A,$A234)</f>
        <v>530093</v>
      </c>
      <c r="F234" s="7" t="n">
        <f aca="false">SUMIFS(Base!$I:$I,Base!$A:$A,$A234)</f>
        <v>530093</v>
      </c>
      <c r="G234" s="7" t="n">
        <f aca="false">E234-F234</f>
        <v>0</v>
      </c>
      <c r="H234" s="6" t="s">
        <v>21</v>
      </c>
      <c r="I234" s="6"/>
    </row>
    <row r="235" customFormat="false" ht="15" hidden="true" customHeight="false" outlineLevel="1" collapsed="false">
      <c r="A235" s="9" t="s">
        <v>344</v>
      </c>
      <c r="B235" s="9" t="s">
        <v>345</v>
      </c>
      <c r="C235" s="9" t="s">
        <v>347</v>
      </c>
      <c r="D235" s="9" t="s">
        <v>23</v>
      </c>
      <c r="E235" s="10" t="n">
        <v>100000</v>
      </c>
      <c r="F235" s="10" t="n">
        <v>100000</v>
      </c>
      <c r="G235" s="10" t="n">
        <f aca="false">N(E235)-N(F235)</f>
        <v>0</v>
      </c>
      <c r="H235" s="9" t="s">
        <v>21</v>
      </c>
      <c r="I235" s="12" t="n">
        <v>46300</v>
      </c>
    </row>
    <row r="236" customFormat="false" ht="15" hidden="true" customHeight="false" outlineLevel="1" collapsed="false">
      <c r="A236" s="9" t="s">
        <v>344</v>
      </c>
      <c r="B236" s="9" t="s">
        <v>345</v>
      </c>
      <c r="C236" s="9" t="s">
        <v>348</v>
      </c>
      <c r="D236" s="9" t="s">
        <v>23</v>
      </c>
      <c r="E236" s="10" t="n">
        <v>50000</v>
      </c>
      <c r="F236" s="10" t="n">
        <v>50000</v>
      </c>
      <c r="G236" s="10" t="n">
        <f aca="false">N(E236)-N(F236)</f>
        <v>0</v>
      </c>
      <c r="H236" s="9" t="s">
        <v>21</v>
      </c>
      <c r="I236" s="12" t="n">
        <v>46303</v>
      </c>
    </row>
    <row r="237" customFormat="false" ht="15" hidden="true" customHeight="false" outlineLevel="1" collapsed="false">
      <c r="A237" s="9" t="s">
        <v>344</v>
      </c>
      <c r="B237" s="9" t="s">
        <v>345</v>
      </c>
      <c r="C237" s="9" t="s">
        <v>349</v>
      </c>
      <c r="D237" s="9" t="s">
        <v>23</v>
      </c>
      <c r="E237" s="10" t="n">
        <v>180093</v>
      </c>
      <c r="F237" s="10" t="n">
        <v>180093</v>
      </c>
      <c r="G237" s="10" t="n">
        <f aca="false">N(E237)-N(F237)</f>
        <v>0</v>
      </c>
      <c r="H237" s="9" t="s">
        <v>21</v>
      </c>
      <c r="I237" s="12" t="n">
        <v>46311</v>
      </c>
    </row>
    <row r="238" customFormat="false" ht="15" hidden="true" customHeight="false" outlineLevel="1" collapsed="false">
      <c r="A238" s="9" t="s">
        <v>344</v>
      </c>
      <c r="B238" s="9" t="s">
        <v>345</v>
      </c>
      <c r="C238" s="9" t="s">
        <v>350</v>
      </c>
      <c r="D238" s="9" t="s">
        <v>23</v>
      </c>
      <c r="E238" s="10" t="n">
        <v>100000</v>
      </c>
      <c r="F238" s="10" t="n">
        <v>100000</v>
      </c>
      <c r="G238" s="10" t="n">
        <f aca="false">N(E238)-N(F238)</f>
        <v>0</v>
      </c>
      <c r="H238" s="9" t="s">
        <v>21</v>
      </c>
      <c r="I238" s="12" t="n">
        <v>46314</v>
      </c>
    </row>
    <row r="239" customFormat="false" ht="15" hidden="true" customHeight="false" outlineLevel="1" collapsed="false">
      <c r="A239" s="9" t="s">
        <v>344</v>
      </c>
      <c r="B239" s="9" t="s">
        <v>345</v>
      </c>
      <c r="C239" s="9" t="s">
        <v>351</v>
      </c>
      <c r="D239" s="9" t="s">
        <v>23</v>
      </c>
      <c r="E239" s="10" t="n">
        <v>100000</v>
      </c>
      <c r="F239" s="10" t="n">
        <v>100000</v>
      </c>
      <c r="G239" s="10" t="n">
        <f aca="false">N(E239)-N(F239)</f>
        <v>0</v>
      </c>
      <c r="H239" s="9" t="s">
        <v>21</v>
      </c>
      <c r="I239" s="12" t="n">
        <v>46317</v>
      </c>
    </row>
    <row r="240" customFormat="false" ht="15" hidden="false" customHeight="false" outlineLevel="0" collapsed="false">
      <c r="A240" s="6" t="s">
        <v>352</v>
      </c>
      <c r="B240" s="6" t="s">
        <v>353</v>
      </c>
      <c r="C240" s="6" t="s">
        <v>13</v>
      </c>
      <c r="D240" s="6" t="s">
        <v>14</v>
      </c>
      <c r="E240" s="7" t="n">
        <f aca="false">SUMIFS(Base!$H:$H,Base!$A:$A,$A240)</f>
        <v>25614366.77</v>
      </c>
      <c r="F240" s="7" t="n">
        <f aca="false">SUMIFS(Base!$I:$I,Base!$A:$A,$A240)</f>
        <v>0</v>
      </c>
      <c r="G240" s="7" t="n">
        <f aca="false">E240-F240</f>
        <v>25614366.77</v>
      </c>
      <c r="H240" s="8" t="s">
        <v>37</v>
      </c>
      <c r="I240" s="6"/>
    </row>
    <row r="241" customFormat="false" ht="15" hidden="true" customHeight="false" outlineLevel="1" collapsed="false">
      <c r="A241" s="9" t="s">
        <v>352</v>
      </c>
      <c r="B241" s="9" t="s">
        <v>353</v>
      </c>
      <c r="C241" s="9" t="s">
        <v>354</v>
      </c>
      <c r="D241" s="9" t="s">
        <v>23</v>
      </c>
      <c r="E241" s="10" t="n">
        <v>25614366.77</v>
      </c>
      <c r="F241" s="10"/>
      <c r="G241" s="10" t="n">
        <f aca="false">N(E241)-N(F241)</f>
        <v>25614366.77</v>
      </c>
      <c r="H241" s="11" t="s">
        <v>30</v>
      </c>
      <c r="I241" s="12" t="n">
        <v>46302</v>
      </c>
    </row>
    <row r="242" customFormat="false" ht="15" hidden="false" customHeight="false" outlineLevel="0" collapsed="false">
      <c r="A242" s="6" t="s">
        <v>355</v>
      </c>
      <c r="B242" s="6" t="s">
        <v>356</v>
      </c>
      <c r="C242" s="6" t="s">
        <v>13</v>
      </c>
      <c r="D242" s="6" t="s">
        <v>14</v>
      </c>
      <c r="E242" s="7" t="n">
        <f aca="false">SUMIFS(Base!$H:$H,Base!$A:$A,$A242)</f>
        <v>398202</v>
      </c>
      <c r="F242" s="7" t="n">
        <f aca="false">SUMIFS(Base!$I:$I,Base!$A:$A,$A242)</f>
        <v>398202</v>
      </c>
      <c r="G242" s="7" t="n">
        <f aca="false">E242-F242</f>
        <v>0</v>
      </c>
      <c r="H242" s="6" t="s">
        <v>21</v>
      </c>
      <c r="I242" s="6"/>
    </row>
    <row r="243" customFormat="false" ht="15" hidden="true" customHeight="false" outlineLevel="1" collapsed="false">
      <c r="A243" s="9" t="s">
        <v>355</v>
      </c>
      <c r="B243" s="9" t="s">
        <v>356</v>
      </c>
      <c r="C243" s="9" t="s">
        <v>357</v>
      </c>
      <c r="D243" s="9" t="s">
        <v>23</v>
      </c>
      <c r="E243" s="10" t="n">
        <v>398202</v>
      </c>
      <c r="F243" s="10" t="n">
        <v>398202</v>
      </c>
      <c r="G243" s="10" t="n">
        <f aca="false">N(E243)-N(F243)</f>
        <v>0</v>
      </c>
      <c r="H243" s="9" t="s">
        <v>21</v>
      </c>
      <c r="I243" s="12" t="n">
        <v>46296</v>
      </c>
    </row>
    <row r="244" customFormat="false" ht="15" hidden="false" customHeight="false" outlineLevel="0" collapsed="false">
      <c r="A244" s="6" t="s">
        <v>358</v>
      </c>
      <c r="B244" s="6" t="s">
        <v>359</v>
      </c>
      <c r="C244" s="6" t="s">
        <v>13</v>
      </c>
      <c r="D244" s="6" t="s">
        <v>14</v>
      </c>
      <c r="E244" s="7" t="n">
        <f aca="false">SUMIFS(Base!$H:$H,Base!$A:$A,$A244)</f>
        <v>172550</v>
      </c>
      <c r="F244" s="7" t="n">
        <f aca="false">SUMIFS(Base!$I:$I,Base!$A:$A,$A244)</f>
        <v>172550</v>
      </c>
      <c r="G244" s="7" t="n">
        <f aca="false">E244-F244</f>
        <v>0</v>
      </c>
      <c r="H244" s="6" t="s">
        <v>21</v>
      </c>
      <c r="I244" s="6"/>
    </row>
    <row r="245" customFormat="false" ht="15" hidden="true" customHeight="false" outlineLevel="1" collapsed="false">
      <c r="A245" s="9" t="s">
        <v>358</v>
      </c>
      <c r="B245" s="9" t="s">
        <v>359</v>
      </c>
      <c r="C245" s="9" t="s">
        <v>360</v>
      </c>
      <c r="D245" s="9" t="s">
        <v>23</v>
      </c>
      <c r="E245" s="10" t="n">
        <v>172550</v>
      </c>
      <c r="F245" s="10" t="n">
        <v>172550</v>
      </c>
      <c r="G245" s="10" t="n">
        <f aca="false">N(E245)-N(F245)</f>
        <v>0</v>
      </c>
      <c r="H245" s="9" t="s">
        <v>21</v>
      </c>
      <c r="I245" s="12" t="n">
        <v>46296</v>
      </c>
    </row>
    <row r="246" customFormat="false" ht="15" hidden="false" customHeight="false" outlineLevel="0" collapsed="false">
      <c r="A246" s="6" t="s">
        <v>361</v>
      </c>
      <c r="B246" s="6" t="s">
        <v>362</v>
      </c>
      <c r="C246" s="6" t="s">
        <v>13</v>
      </c>
      <c r="D246" s="6" t="s">
        <v>14</v>
      </c>
      <c r="E246" s="7" t="n">
        <f aca="false">SUMIFS(Base!$H:$H,Base!$A:$A,$A246)</f>
        <v>1330374</v>
      </c>
      <c r="F246" s="7" t="n">
        <f aca="false">SUMIFS(Base!$I:$I,Base!$A:$A,$A246)</f>
        <v>1330374</v>
      </c>
      <c r="G246" s="7" t="n">
        <f aca="false">E246-F246</f>
        <v>0</v>
      </c>
      <c r="H246" s="6" t="s">
        <v>21</v>
      </c>
      <c r="I246" s="6"/>
    </row>
    <row r="247" customFormat="false" ht="15" hidden="true" customHeight="false" outlineLevel="1" collapsed="false">
      <c r="A247" s="9" t="s">
        <v>361</v>
      </c>
      <c r="B247" s="9" t="s">
        <v>362</v>
      </c>
      <c r="C247" s="9" t="s">
        <v>363</v>
      </c>
      <c r="D247" s="9" t="s">
        <v>23</v>
      </c>
      <c r="E247" s="10" t="n">
        <v>1330374</v>
      </c>
      <c r="F247" s="10" t="n">
        <v>1330374</v>
      </c>
      <c r="G247" s="10" t="n">
        <f aca="false">N(E247)-N(F247)</f>
        <v>0</v>
      </c>
      <c r="H247" s="9" t="s">
        <v>21</v>
      </c>
      <c r="I247" s="12" t="n">
        <v>46301</v>
      </c>
    </row>
    <row r="248" customFormat="false" ht="15" hidden="false" customHeight="false" outlineLevel="0" collapsed="false">
      <c r="A248" s="6" t="s">
        <v>364</v>
      </c>
      <c r="B248" s="6" t="s">
        <v>365</v>
      </c>
      <c r="C248" s="6" t="s">
        <v>13</v>
      </c>
      <c r="D248" s="6" t="s">
        <v>14</v>
      </c>
      <c r="E248" s="7" t="n">
        <f aca="false">SUMIFS(Base!$H:$H,Base!$A:$A,$A248)</f>
        <v>189800.01</v>
      </c>
      <c r="F248" s="7" t="n">
        <f aca="false">SUMIFS(Base!$I:$I,Base!$A:$A,$A248)</f>
        <v>0</v>
      </c>
      <c r="G248" s="7" t="n">
        <f aca="false">E248-F248</f>
        <v>189800.01</v>
      </c>
      <c r="H248" s="8" t="s">
        <v>37</v>
      </c>
      <c r="I248" s="6"/>
    </row>
    <row r="249" customFormat="false" ht="15" hidden="true" customHeight="false" outlineLevel="1" collapsed="false">
      <c r="A249" s="9" t="s">
        <v>364</v>
      </c>
      <c r="B249" s="9" t="s">
        <v>365</v>
      </c>
      <c r="C249" s="9" t="s">
        <v>366</v>
      </c>
      <c r="D249" s="9" t="s">
        <v>23</v>
      </c>
      <c r="E249" s="10" t="n">
        <v>189800.01</v>
      </c>
      <c r="F249" s="10"/>
      <c r="G249" s="10" t="n">
        <f aca="false">N(E249)-N(F249)</f>
        <v>189800.01</v>
      </c>
      <c r="H249" s="11" t="s">
        <v>30</v>
      </c>
      <c r="I249" s="12" t="n">
        <v>46296</v>
      </c>
    </row>
    <row r="250" customFormat="false" ht="15" hidden="false" customHeight="false" outlineLevel="0" collapsed="false">
      <c r="A250" s="6" t="s">
        <v>367</v>
      </c>
      <c r="B250" s="6" t="s">
        <v>368</v>
      </c>
      <c r="C250" s="6" t="s">
        <v>13</v>
      </c>
      <c r="D250" s="6" t="s">
        <v>14</v>
      </c>
      <c r="E250" s="7" t="n">
        <f aca="false">SUMIFS(Base!$H:$H,Base!$A:$A,$A250)</f>
        <v>15000</v>
      </c>
      <c r="F250" s="7" t="n">
        <f aca="false">SUMIFS(Base!$I:$I,Base!$A:$A,$A250)</f>
        <v>15000</v>
      </c>
      <c r="G250" s="7" t="n">
        <f aca="false">E250-F250</f>
        <v>0</v>
      </c>
      <c r="H250" s="6" t="s">
        <v>21</v>
      </c>
      <c r="I250" s="6"/>
    </row>
    <row r="251" customFormat="false" ht="15" hidden="true" customHeight="false" outlineLevel="1" collapsed="false">
      <c r="A251" s="9" t="s">
        <v>367</v>
      </c>
      <c r="B251" s="9" t="s">
        <v>368</v>
      </c>
      <c r="C251" s="9" t="s">
        <v>369</v>
      </c>
      <c r="D251" s="9" t="s">
        <v>23</v>
      </c>
      <c r="E251" s="10" t="n">
        <v>15000</v>
      </c>
      <c r="F251" s="10" t="n">
        <v>15000</v>
      </c>
      <c r="G251" s="10" t="n">
        <f aca="false">N(E251)-N(F251)</f>
        <v>0</v>
      </c>
      <c r="H251" s="9" t="s">
        <v>21</v>
      </c>
      <c r="I251" s="12" t="n">
        <v>46301</v>
      </c>
    </row>
    <row r="252" customFormat="false" ht="15" hidden="false" customHeight="false" outlineLevel="0" collapsed="false">
      <c r="A252" s="6" t="s">
        <v>370</v>
      </c>
      <c r="B252" s="6" t="s">
        <v>371</v>
      </c>
      <c r="C252" s="6" t="s">
        <v>13</v>
      </c>
      <c r="D252" s="6" t="s">
        <v>14</v>
      </c>
      <c r="E252" s="7" t="n">
        <f aca="false">SUMIFS(Base!$H:$H,Base!$A:$A,$A252)</f>
        <v>20300</v>
      </c>
      <c r="F252" s="7" t="n">
        <f aca="false">SUMIFS(Base!$I:$I,Base!$A:$A,$A252)</f>
        <v>0</v>
      </c>
      <c r="G252" s="7" t="n">
        <f aca="false">E252-F252</f>
        <v>20300</v>
      </c>
      <c r="H252" s="8" t="s">
        <v>37</v>
      </c>
      <c r="I252" s="6"/>
    </row>
    <row r="253" customFormat="false" ht="15" hidden="true" customHeight="false" outlineLevel="1" collapsed="false">
      <c r="A253" s="9" t="s">
        <v>370</v>
      </c>
      <c r="B253" s="9" t="s">
        <v>371</v>
      </c>
      <c r="C253" s="9" t="s">
        <v>372</v>
      </c>
      <c r="D253" s="9" t="s">
        <v>23</v>
      </c>
      <c r="E253" s="10" t="n">
        <v>20300</v>
      </c>
      <c r="F253" s="10"/>
      <c r="G253" s="10" t="n">
        <f aca="false">N(E253)-N(F253)</f>
        <v>20300</v>
      </c>
      <c r="H253" s="11" t="s">
        <v>30</v>
      </c>
      <c r="I253" s="12" t="n">
        <v>46311</v>
      </c>
    </row>
    <row r="254" customFormat="false" ht="15" hidden="false" customHeight="false" outlineLevel="0" collapsed="false">
      <c r="A254" s="6" t="s">
        <v>373</v>
      </c>
      <c r="B254" s="6" t="s">
        <v>374</v>
      </c>
      <c r="C254" s="6" t="s">
        <v>13</v>
      </c>
      <c r="D254" s="6" t="s">
        <v>14</v>
      </c>
      <c r="E254" s="7" t="n">
        <f aca="false">SUMIFS(Base!$H:$H,Base!$A:$A,$A254)</f>
        <v>160000</v>
      </c>
      <c r="F254" s="7" t="n">
        <f aca="false">SUMIFS(Base!$I:$I,Base!$A:$A,$A254)</f>
        <v>0</v>
      </c>
      <c r="G254" s="7" t="n">
        <f aca="false">E254-F254</f>
        <v>160000</v>
      </c>
      <c r="H254" s="8" t="s">
        <v>37</v>
      </c>
      <c r="I254" s="6"/>
    </row>
    <row r="255" customFormat="false" ht="15" hidden="true" customHeight="false" outlineLevel="1" collapsed="false">
      <c r="A255" s="9" t="s">
        <v>373</v>
      </c>
      <c r="B255" s="9" t="s">
        <v>374</v>
      </c>
      <c r="C255" s="9" t="s">
        <v>375</v>
      </c>
      <c r="D255" s="9" t="s">
        <v>23</v>
      </c>
      <c r="E255" s="10" t="n">
        <v>160000</v>
      </c>
      <c r="F255" s="10"/>
      <c r="G255" s="10" t="n">
        <f aca="false">N(E255)-N(F255)</f>
        <v>160000</v>
      </c>
      <c r="H255" s="11" t="s">
        <v>30</v>
      </c>
      <c r="I255" s="12" t="n">
        <v>46317</v>
      </c>
    </row>
    <row r="256" customFormat="false" ht="15" hidden="false" customHeight="false" outlineLevel="0" collapsed="false">
      <c r="A256" s="6" t="s">
        <v>376</v>
      </c>
      <c r="B256" s="6" t="s">
        <v>377</v>
      </c>
      <c r="C256" s="6" t="s">
        <v>378</v>
      </c>
      <c r="D256" s="6" t="s">
        <v>14</v>
      </c>
      <c r="E256" s="7" t="n">
        <f aca="false">SUMIFS(Base!$H:$H,Base!$A:$A,$A256)</f>
        <v>10625003</v>
      </c>
      <c r="F256" s="7" t="n">
        <f aca="false">SUMIFS(Base!$I:$I,Base!$A:$A,$A256)</f>
        <v>10625003</v>
      </c>
      <c r="G256" s="7" t="n">
        <f aca="false">E256-F256</f>
        <v>0</v>
      </c>
      <c r="H256" s="6" t="s">
        <v>21</v>
      </c>
      <c r="I256" s="6"/>
    </row>
    <row r="257" customFormat="false" ht="15" hidden="true" customHeight="false" outlineLevel="1" collapsed="false">
      <c r="A257" s="9" t="s">
        <v>376</v>
      </c>
      <c r="B257" s="9" t="s">
        <v>377</v>
      </c>
      <c r="C257" s="9" t="s">
        <v>379</v>
      </c>
      <c r="D257" s="9" t="s">
        <v>23</v>
      </c>
      <c r="E257" s="10" t="n">
        <v>865063</v>
      </c>
      <c r="F257" s="10" t="n">
        <v>865063</v>
      </c>
      <c r="G257" s="10" t="n">
        <f aca="false">N(E257)-N(F257)</f>
        <v>0</v>
      </c>
      <c r="H257" s="9" t="s">
        <v>21</v>
      </c>
      <c r="I257" s="12" t="n">
        <v>46298</v>
      </c>
    </row>
    <row r="258" customFormat="false" ht="15" hidden="true" customHeight="false" outlineLevel="1" collapsed="false">
      <c r="A258" s="9" t="s">
        <v>376</v>
      </c>
      <c r="B258" s="9" t="s">
        <v>377</v>
      </c>
      <c r="C258" s="9" t="s">
        <v>380</v>
      </c>
      <c r="D258" s="9" t="s">
        <v>23</v>
      </c>
      <c r="E258" s="10" t="n">
        <v>2736154</v>
      </c>
      <c r="F258" s="10" t="n">
        <v>2736154</v>
      </c>
      <c r="G258" s="10" t="n">
        <f aca="false">N(E258)-N(F258)</f>
        <v>0</v>
      </c>
      <c r="H258" s="9" t="s">
        <v>21</v>
      </c>
      <c r="I258" s="12" t="n">
        <v>46298</v>
      </c>
    </row>
    <row r="259" customFormat="false" ht="15" hidden="true" customHeight="false" outlineLevel="1" collapsed="false">
      <c r="A259" s="9" t="s">
        <v>376</v>
      </c>
      <c r="B259" s="9" t="s">
        <v>377</v>
      </c>
      <c r="C259" s="9" t="s">
        <v>381</v>
      </c>
      <c r="D259" s="9" t="s">
        <v>23</v>
      </c>
      <c r="E259" s="10" t="n">
        <v>189616</v>
      </c>
      <c r="F259" s="10" t="n">
        <v>189616</v>
      </c>
      <c r="G259" s="10" t="n">
        <f aca="false">N(E259)-N(F259)</f>
        <v>0</v>
      </c>
      <c r="H259" s="9" t="s">
        <v>21</v>
      </c>
      <c r="I259" s="12" t="n">
        <v>46309</v>
      </c>
    </row>
    <row r="260" customFormat="false" ht="15" hidden="true" customHeight="false" outlineLevel="1" collapsed="false">
      <c r="A260" s="9" t="s">
        <v>376</v>
      </c>
      <c r="B260" s="9" t="s">
        <v>377</v>
      </c>
      <c r="C260" s="9" t="s">
        <v>382</v>
      </c>
      <c r="D260" s="9" t="s">
        <v>23</v>
      </c>
      <c r="E260" s="10" t="n">
        <v>6834170</v>
      </c>
      <c r="F260" s="10" t="n">
        <v>6834170</v>
      </c>
      <c r="G260" s="10" t="n">
        <f aca="false">N(E260)-N(F260)</f>
        <v>0</v>
      </c>
      <c r="H260" s="9" t="s">
        <v>21</v>
      </c>
      <c r="I260" s="12" t="n">
        <v>46310</v>
      </c>
    </row>
    <row r="261" customFormat="false" ht="15" hidden="false" customHeight="false" outlineLevel="0" collapsed="false">
      <c r="A261" s="6" t="s">
        <v>383</v>
      </c>
      <c r="B261" s="6" t="s">
        <v>384</v>
      </c>
      <c r="C261" s="6" t="s">
        <v>26</v>
      </c>
      <c r="D261" s="6" t="s">
        <v>14</v>
      </c>
      <c r="E261" s="7" t="n">
        <f aca="false">SUMIFS(Base!$H:$H,Base!$A:$A,$A261)</f>
        <v>100200</v>
      </c>
      <c r="F261" s="7" t="n">
        <f aca="false">SUMIFS(Base!$I:$I,Base!$A:$A,$A261)</f>
        <v>0</v>
      </c>
      <c r="G261" s="7" t="n">
        <f aca="false">E261-F261</f>
        <v>100200</v>
      </c>
      <c r="H261" s="8" t="s">
        <v>37</v>
      </c>
      <c r="I261" s="6"/>
    </row>
    <row r="262" customFormat="false" ht="15" hidden="true" customHeight="false" outlineLevel="1" collapsed="false">
      <c r="A262" s="9" t="s">
        <v>383</v>
      </c>
      <c r="B262" s="9" t="s">
        <v>384</v>
      </c>
      <c r="C262" s="9" t="s">
        <v>385</v>
      </c>
      <c r="D262" s="9" t="s">
        <v>23</v>
      </c>
      <c r="E262" s="10" t="n">
        <v>15900</v>
      </c>
      <c r="F262" s="10"/>
      <c r="G262" s="10" t="n">
        <f aca="false">N(E262)-N(F262)</f>
        <v>15900</v>
      </c>
      <c r="H262" s="11" t="s">
        <v>30</v>
      </c>
      <c r="I262" s="12" t="n">
        <v>46303</v>
      </c>
    </row>
    <row r="263" customFormat="false" ht="15" hidden="true" customHeight="false" outlineLevel="1" collapsed="false">
      <c r="A263" s="9" t="s">
        <v>383</v>
      </c>
      <c r="B263" s="9" t="s">
        <v>384</v>
      </c>
      <c r="C263" s="9" t="s">
        <v>386</v>
      </c>
      <c r="D263" s="9" t="s">
        <v>23</v>
      </c>
      <c r="E263" s="10" t="n">
        <v>84300</v>
      </c>
      <c r="F263" s="10"/>
      <c r="G263" s="10" t="n">
        <f aca="false">N(E263)-N(F263)</f>
        <v>84300</v>
      </c>
      <c r="H263" s="11" t="s">
        <v>30</v>
      </c>
      <c r="I263" s="12" t="n">
        <v>46305</v>
      </c>
    </row>
    <row r="264" customFormat="false" ht="15" hidden="false" customHeight="false" outlineLevel="0" collapsed="false">
      <c r="A264" s="6" t="s">
        <v>387</v>
      </c>
      <c r="B264" s="6" t="s">
        <v>388</v>
      </c>
      <c r="C264" s="6" t="s">
        <v>13</v>
      </c>
      <c r="D264" s="6" t="s">
        <v>14</v>
      </c>
      <c r="E264" s="7" t="n">
        <f aca="false">SUMIFS(Base!$H:$H,Base!$A:$A,$A264)</f>
        <v>98770</v>
      </c>
      <c r="F264" s="7" t="n">
        <f aca="false">SUMIFS(Base!$I:$I,Base!$A:$A,$A264)</f>
        <v>98770</v>
      </c>
      <c r="G264" s="7" t="n">
        <f aca="false">E264-F264</f>
        <v>0</v>
      </c>
      <c r="H264" s="6" t="s">
        <v>21</v>
      </c>
      <c r="I264" s="6"/>
    </row>
    <row r="265" customFormat="false" ht="15" hidden="true" customHeight="false" outlineLevel="1" collapsed="false">
      <c r="A265" s="9" t="s">
        <v>387</v>
      </c>
      <c r="B265" s="9" t="s">
        <v>388</v>
      </c>
      <c r="C265" s="9" t="s">
        <v>389</v>
      </c>
      <c r="D265" s="9" t="s">
        <v>23</v>
      </c>
      <c r="E265" s="10" t="n">
        <v>98770</v>
      </c>
      <c r="F265" s="10" t="n">
        <v>98770</v>
      </c>
      <c r="G265" s="10" t="n">
        <f aca="false">N(E265)-N(F265)</f>
        <v>0</v>
      </c>
      <c r="H265" s="9" t="s">
        <v>21</v>
      </c>
      <c r="I265" s="12" t="n">
        <v>46308</v>
      </c>
    </row>
    <row r="266" customFormat="false" ht="15" hidden="false" customHeight="false" outlineLevel="0" collapsed="false">
      <c r="A266" s="6" t="s">
        <v>390</v>
      </c>
      <c r="B266" s="6" t="s">
        <v>391</v>
      </c>
      <c r="C266" s="6" t="s">
        <v>13</v>
      </c>
      <c r="D266" s="6" t="s">
        <v>14</v>
      </c>
      <c r="E266" s="7" t="n">
        <f aca="false">SUMIFS(Base!$H:$H,Base!$A:$A,$A266)</f>
        <v>83781950</v>
      </c>
      <c r="F266" s="7" t="n">
        <f aca="false">SUMIFS(Base!$I:$I,Base!$A:$A,$A266)</f>
        <v>83781950</v>
      </c>
      <c r="G266" s="7" t="n">
        <f aca="false">E266-F266</f>
        <v>0</v>
      </c>
      <c r="H266" s="6" t="s">
        <v>21</v>
      </c>
      <c r="I266" s="6"/>
    </row>
    <row r="267" customFormat="false" ht="15" hidden="true" customHeight="false" outlineLevel="1" collapsed="false">
      <c r="A267" s="9" t="s">
        <v>390</v>
      </c>
      <c r="B267" s="9" t="s">
        <v>391</v>
      </c>
      <c r="C267" s="9" t="s">
        <v>392</v>
      </c>
      <c r="D267" s="9" t="s">
        <v>23</v>
      </c>
      <c r="E267" s="10" t="n">
        <v>83781950</v>
      </c>
      <c r="F267" s="10" t="n">
        <v>83781950</v>
      </c>
      <c r="G267" s="10" t="n">
        <f aca="false">N(E267)-N(F267)</f>
        <v>0</v>
      </c>
      <c r="H267" s="9" t="s">
        <v>21</v>
      </c>
      <c r="I267" s="12" t="n">
        <v>46316</v>
      </c>
    </row>
    <row r="268" customFormat="false" ht="15" hidden="false" customHeight="false" outlineLevel="0" collapsed="false">
      <c r="A268" s="6" t="s">
        <v>393</v>
      </c>
      <c r="B268" s="6" t="s">
        <v>394</v>
      </c>
      <c r="C268" s="6" t="s">
        <v>13</v>
      </c>
      <c r="D268" s="6" t="s">
        <v>14</v>
      </c>
      <c r="E268" s="7" t="n">
        <f aca="false">SUMIFS(Base!$H:$H,Base!$A:$A,$A268)</f>
        <v>220850</v>
      </c>
      <c r="F268" s="7" t="n">
        <f aca="false">SUMIFS(Base!$I:$I,Base!$A:$A,$A268)</f>
        <v>220850</v>
      </c>
      <c r="G268" s="7" t="n">
        <f aca="false">E268-F268</f>
        <v>0</v>
      </c>
      <c r="H268" s="6" t="s">
        <v>21</v>
      </c>
      <c r="I268" s="6"/>
    </row>
    <row r="269" customFormat="false" ht="15" hidden="true" customHeight="false" outlineLevel="1" collapsed="false">
      <c r="A269" s="9" t="s">
        <v>393</v>
      </c>
      <c r="B269" s="9" t="s">
        <v>394</v>
      </c>
      <c r="C269" s="9" t="s">
        <v>395</v>
      </c>
      <c r="D269" s="9" t="s">
        <v>23</v>
      </c>
      <c r="E269" s="10" t="n">
        <v>220850</v>
      </c>
      <c r="F269" s="10" t="n">
        <v>220850</v>
      </c>
      <c r="G269" s="10" t="n">
        <f aca="false">N(E269)-N(F269)</f>
        <v>0</v>
      </c>
      <c r="H269" s="9" t="s">
        <v>21</v>
      </c>
      <c r="I269" s="12" t="n">
        <v>46314</v>
      </c>
    </row>
    <row r="270" customFormat="false" ht="15" hidden="false" customHeight="false" outlineLevel="0" collapsed="false">
      <c r="A270" s="6" t="s">
        <v>396</v>
      </c>
      <c r="B270" s="6" t="s">
        <v>397</v>
      </c>
      <c r="C270" s="6" t="s">
        <v>13</v>
      </c>
      <c r="D270" s="6" t="s">
        <v>14</v>
      </c>
      <c r="E270" s="7" t="n">
        <f aca="false">SUMIFS(Base!$H:$H,Base!$A:$A,$A270)</f>
        <v>41000</v>
      </c>
      <c r="F270" s="7" t="n">
        <f aca="false">SUMIFS(Base!$I:$I,Base!$A:$A,$A270)</f>
        <v>41000</v>
      </c>
      <c r="G270" s="7" t="n">
        <f aca="false">E270-F270</f>
        <v>0</v>
      </c>
      <c r="H270" s="6" t="s">
        <v>21</v>
      </c>
      <c r="I270" s="6"/>
    </row>
    <row r="271" customFormat="false" ht="15" hidden="true" customHeight="false" outlineLevel="1" collapsed="false">
      <c r="A271" s="9" t="s">
        <v>396</v>
      </c>
      <c r="B271" s="9" t="s">
        <v>397</v>
      </c>
      <c r="C271" s="9" t="s">
        <v>398</v>
      </c>
      <c r="D271" s="9" t="s">
        <v>23</v>
      </c>
      <c r="E271" s="10" t="n">
        <v>41000</v>
      </c>
      <c r="F271" s="10" t="n">
        <v>41000</v>
      </c>
      <c r="G271" s="10" t="n">
        <f aca="false">N(E271)-N(F271)</f>
        <v>0</v>
      </c>
      <c r="H271" s="9" t="s">
        <v>21</v>
      </c>
      <c r="I271" s="12" t="n">
        <v>46310</v>
      </c>
    </row>
    <row r="272" customFormat="false" ht="15" hidden="false" customHeight="false" outlineLevel="0" collapsed="false">
      <c r="A272" s="6" t="s">
        <v>399</v>
      </c>
      <c r="B272" s="6" t="s">
        <v>400</v>
      </c>
      <c r="C272" s="6" t="s">
        <v>378</v>
      </c>
      <c r="D272" s="6" t="s">
        <v>14</v>
      </c>
      <c r="E272" s="7" t="n">
        <f aca="false">SUMIFS(Base!$H:$H,Base!$A:$A,$A272)</f>
        <v>438000</v>
      </c>
      <c r="F272" s="7" t="n">
        <f aca="false">SUMIFS(Base!$I:$I,Base!$A:$A,$A272)</f>
        <v>438000</v>
      </c>
      <c r="G272" s="7" t="n">
        <f aca="false">E272-F272</f>
        <v>0</v>
      </c>
      <c r="H272" s="6" t="s">
        <v>21</v>
      </c>
      <c r="I272" s="6"/>
    </row>
    <row r="273" customFormat="false" ht="15" hidden="true" customHeight="false" outlineLevel="1" collapsed="false">
      <c r="A273" s="9" t="s">
        <v>399</v>
      </c>
      <c r="B273" s="9" t="s">
        <v>400</v>
      </c>
      <c r="C273" s="9" t="s">
        <v>401</v>
      </c>
      <c r="D273" s="9" t="s">
        <v>23</v>
      </c>
      <c r="E273" s="10" t="n">
        <v>260000</v>
      </c>
      <c r="F273" s="10" t="n">
        <v>260000</v>
      </c>
      <c r="G273" s="10" t="n">
        <f aca="false">N(E273)-N(F273)</f>
        <v>0</v>
      </c>
      <c r="H273" s="9" t="s">
        <v>21</v>
      </c>
      <c r="I273" s="12" t="n">
        <v>46297</v>
      </c>
    </row>
    <row r="274" customFormat="false" ht="15" hidden="true" customHeight="false" outlineLevel="1" collapsed="false">
      <c r="A274" s="9" t="s">
        <v>399</v>
      </c>
      <c r="B274" s="9" t="s">
        <v>400</v>
      </c>
      <c r="C274" s="9" t="s">
        <v>402</v>
      </c>
      <c r="D274" s="9" t="s">
        <v>23</v>
      </c>
      <c r="E274" s="10" t="n">
        <v>20000</v>
      </c>
      <c r="F274" s="10" t="n">
        <v>20000</v>
      </c>
      <c r="G274" s="10" t="n">
        <f aca="false">N(E274)-N(F274)</f>
        <v>0</v>
      </c>
      <c r="H274" s="9" t="s">
        <v>21</v>
      </c>
      <c r="I274" s="12" t="n">
        <v>46302</v>
      </c>
    </row>
    <row r="275" customFormat="false" ht="15" hidden="true" customHeight="false" outlineLevel="1" collapsed="false">
      <c r="A275" s="9" t="s">
        <v>399</v>
      </c>
      <c r="B275" s="9" t="s">
        <v>400</v>
      </c>
      <c r="C275" s="9" t="s">
        <v>403</v>
      </c>
      <c r="D275" s="9" t="s">
        <v>23</v>
      </c>
      <c r="E275" s="10" t="n">
        <v>20000</v>
      </c>
      <c r="F275" s="10" t="n">
        <v>20000</v>
      </c>
      <c r="G275" s="10" t="n">
        <f aca="false">N(E275)-N(F275)</f>
        <v>0</v>
      </c>
      <c r="H275" s="9" t="s">
        <v>21</v>
      </c>
      <c r="I275" s="12" t="n">
        <v>46303</v>
      </c>
    </row>
    <row r="276" customFormat="false" ht="15" hidden="true" customHeight="false" outlineLevel="1" collapsed="false">
      <c r="A276" s="9" t="s">
        <v>399</v>
      </c>
      <c r="B276" s="9" t="s">
        <v>400</v>
      </c>
      <c r="C276" s="9" t="s">
        <v>404</v>
      </c>
      <c r="D276" s="9" t="s">
        <v>23</v>
      </c>
      <c r="E276" s="10" t="n">
        <v>138000</v>
      </c>
      <c r="F276" s="10" t="n">
        <v>138000</v>
      </c>
      <c r="G276" s="10" t="n">
        <f aca="false">N(E276)-N(F276)</f>
        <v>0</v>
      </c>
      <c r="H276" s="9" t="s">
        <v>21</v>
      </c>
      <c r="I276" s="12" t="n">
        <v>46309</v>
      </c>
    </row>
    <row r="277" customFormat="false" ht="15" hidden="false" customHeight="false" outlineLevel="0" collapsed="false">
      <c r="A277" s="6" t="s">
        <v>405</v>
      </c>
      <c r="B277" s="6" t="s">
        <v>406</v>
      </c>
      <c r="C277" s="6" t="s">
        <v>13</v>
      </c>
      <c r="D277" s="6" t="s">
        <v>14</v>
      </c>
      <c r="E277" s="7" t="n">
        <f aca="false">SUMIFS(Base!$H:$H,Base!$A:$A,$A277)</f>
        <v>253800</v>
      </c>
      <c r="F277" s="7" t="n">
        <f aca="false">SUMIFS(Base!$I:$I,Base!$A:$A,$A277)</f>
        <v>0</v>
      </c>
      <c r="G277" s="7" t="n">
        <f aca="false">E277-F277</f>
        <v>253800</v>
      </c>
      <c r="H277" s="8" t="s">
        <v>37</v>
      </c>
      <c r="I277" s="6"/>
    </row>
    <row r="278" customFormat="false" ht="15" hidden="true" customHeight="false" outlineLevel="1" collapsed="false">
      <c r="A278" s="9" t="s">
        <v>405</v>
      </c>
      <c r="B278" s="9" t="s">
        <v>406</v>
      </c>
      <c r="C278" s="9" t="s">
        <v>407</v>
      </c>
      <c r="D278" s="9" t="s">
        <v>39</v>
      </c>
      <c r="E278" s="10" t="n">
        <v>253800</v>
      </c>
      <c r="F278" s="10"/>
      <c r="G278" s="10" t="n">
        <f aca="false">N(E278)-N(F278)</f>
        <v>253800</v>
      </c>
      <c r="H278" s="11" t="s">
        <v>30</v>
      </c>
      <c r="I278" s="12" t="n">
        <v>46316</v>
      </c>
    </row>
    <row r="279" customFormat="false" ht="15" hidden="false" customHeight="false" outlineLevel="0" collapsed="false">
      <c r="A279" s="6" t="s">
        <v>408</v>
      </c>
      <c r="B279" s="6" t="s">
        <v>409</v>
      </c>
      <c r="C279" s="6" t="s">
        <v>26</v>
      </c>
      <c r="D279" s="6" t="s">
        <v>14</v>
      </c>
      <c r="E279" s="7" t="n">
        <f aca="false">SUMIFS(Base!$H:$H,Base!$A:$A,$A279)</f>
        <v>679733</v>
      </c>
      <c r="F279" s="7" t="n">
        <f aca="false">SUMIFS(Base!$I:$I,Base!$A:$A,$A279)</f>
        <v>679733</v>
      </c>
      <c r="G279" s="7" t="n">
        <f aca="false">E279-F279</f>
        <v>0</v>
      </c>
      <c r="H279" s="6" t="s">
        <v>21</v>
      </c>
      <c r="I279" s="6"/>
    </row>
    <row r="280" customFormat="false" ht="15" hidden="true" customHeight="false" outlineLevel="1" collapsed="false">
      <c r="A280" s="9" t="s">
        <v>408</v>
      </c>
      <c r="B280" s="9" t="s">
        <v>409</v>
      </c>
      <c r="C280" s="9" t="s">
        <v>410</v>
      </c>
      <c r="D280" s="9" t="s">
        <v>23</v>
      </c>
      <c r="E280" s="10" t="n">
        <v>589908</v>
      </c>
      <c r="F280" s="10" t="n">
        <v>589908</v>
      </c>
      <c r="G280" s="10" t="n">
        <f aca="false">N(E280)-N(F280)</f>
        <v>0</v>
      </c>
      <c r="H280" s="9" t="s">
        <v>21</v>
      </c>
      <c r="I280" s="12" t="n">
        <v>46307</v>
      </c>
    </row>
    <row r="281" customFormat="false" ht="15" hidden="true" customHeight="false" outlineLevel="1" collapsed="false">
      <c r="A281" s="9" t="s">
        <v>408</v>
      </c>
      <c r="B281" s="9" t="s">
        <v>409</v>
      </c>
      <c r="C281" s="9" t="s">
        <v>411</v>
      </c>
      <c r="D281" s="9" t="s">
        <v>23</v>
      </c>
      <c r="E281" s="10" t="n">
        <v>89825</v>
      </c>
      <c r="F281" s="10" t="n">
        <v>89825</v>
      </c>
      <c r="G281" s="10" t="n">
        <f aca="false">N(E281)-N(F281)</f>
        <v>0</v>
      </c>
      <c r="H281" s="9" t="s">
        <v>21</v>
      </c>
      <c r="I281" s="12" t="n">
        <v>46314</v>
      </c>
    </row>
    <row r="282" customFormat="false" ht="15" hidden="false" customHeight="false" outlineLevel="0" collapsed="false">
      <c r="A282" s="6" t="s">
        <v>412</v>
      </c>
      <c r="B282" s="6" t="s">
        <v>413</v>
      </c>
      <c r="C282" s="6" t="s">
        <v>42</v>
      </c>
      <c r="D282" s="6" t="s">
        <v>14</v>
      </c>
      <c r="E282" s="7" t="n">
        <f aca="false">SUMIFS(Base!$H:$H,Base!$A:$A,$A282)</f>
        <v>3570000</v>
      </c>
      <c r="F282" s="7" t="n">
        <f aca="false">SUMIFS(Base!$I:$I,Base!$A:$A,$A282)</f>
        <v>7140000</v>
      </c>
      <c r="G282" s="7" t="n">
        <f aca="false">E282-F282</f>
        <v>-3570000</v>
      </c>
      <c r="H282" s="13" t="s">
        <v>27</v>
      </c>
      <c r="I282" s="6"/>
    </row>
    <row r="283" customFormat="false" ht="15" hidden="true" customHeight="false" outlineLevel="1" collapsed="false">
      <c r="A283" s="9" t="s">
        <v>412</v>
      </c>
      <c r="B283" s="9" t="s">
        <v>413</v>
      </c>
      <c r="C283" s="9" t="s">
        <v>414</v>
      </c>
      <c r="D283" s="9" t="s">
        <v>23</v>
      </c>
      <c r="E283" s="10" t="n">
        <v>3570000</v>
      </c>
      <c r="F283" s="10" t="n">
        <v>3570000</v>
      </c>
      <c r="G283" s="10" t="n">
        <f aca="false">N(E283)-N(F283)</f>
        <v>0</v>
      </c>
      <c r="H283" s="9" t="s">
        <v>21</v>
      </c>
      <c r="I283" s="12" t="n">
        <v>46316</v>
      </c>
    </row>
    <row r="284" customFormat="false" ht="15" hidden="true" customHeight="false" outlineLevel="1" collapsed="false">
      <c r="A284" s="9" t="s">
        <v>412</v>
      </c>
      <c r="B284" s="9" t="s">
        <v>413</v>
      </c>
      <c r="C284" s="9" t="s">
        <v>415</v>
      </c>
      <c r="D284" s="9" t="s">
        <v>23</v>
      </c>
      <c r="E284" s="10" t="n">
        <v>3570000</v>
      </c>
      <c r="F284" s="10" t="n">
        <v>3570000</v>
      </c>
      <c r="G284" s="10" t="n">
        <f aca="false">N(E284)-N(F284)</f>
        <v>0</v>
      </c>
      <c r="H284" s="9" t="s">
        <v>21</v>
      </c>
      <c r="I284" s="12" t="n">
        <v>46316</v>
      </c>
    </row>
    <row r="285" customFormat="false" ht="15" hidden="true" customHeight="false" outlineLevel="1" collapsed="false">
      <c r="A285" s="9" t="s">
        <v>412</v>
      </c>
      <c r="B285" s="9" t="s">
        <v>413</v>
      </c>
      <c r="C285" s="9" t="s">
        <v>416</v>
      </c>
      <c r="D285" s="9" t="s">
        <v>45</v>
      </c>
      <c r="E285" s="10" t="n">
        <v>-3570000</v>
      </c>
      <c r="F285" s="10"/>
      <c r="G285" s="10" t="n">
        <f aca="false">N(E285)-N(F285)</f>
        <v>-3570000</v>
      </c>
      <c r="H285" s="11" t="s">
        <v>30</v>
      </c>
      <c r="I285" s="12" t="n">
        <v>46317</v>
      </c>
    </row>
    <row r="286" customFormat="false" ht="15" hidden="false" customHeight="false" outlineLevel="0" collapsed="false">
      <c r="A286" s="6" t="s">
        <v>417</v>
      </c>
      <c r="B286" s="6" t="s">
        <v>418</v>
      </c>
      <c r="C286" s="6" t="s">
        <v>13</v>
      </c>
      <c r="D286" s="6" t="s">
        <v>14</v>
      </c>
      <c r="E286" s="7" t="n">
        <f aca="false">SUMIFS(Base!$H:$H,Base!$A:$A,$A286)</f>
        <v>7500000</v>
      </c>
      <c r="F286" s="7" t="n">
        <f aca="false">SUMIFS(Base!$I:$I,Base!$A:$A,$A286)</f>
        <v>7500000</v>
      </c>
      <c r="G286" s="7" t="n">
        <f aca="false">E286-F286</f>
        <v>0</v>
      </c>
      <c r="H286" s="6" t="s">
        <v>21</v>
      </c>
      <c r="I286" s="6"/>
    </row>
    <row r="287" customFormat="false" ht="15" hidden="true" customHeight="false" outlineLevel="1" collapsed="false">
      <c r="A287" s="9" t="s">
        <v>417</v>
      </c>
      <c r="B287" s="9" t="s">
        <v>418</v>
      </c>
      <c r="C287" s="9" t="s">
        <v>419</v>
      </c>
      <c r="D287" s="9" t="s">
        <v>23</v>
      </c>
      <c r="E287" s="10" t="n">
        <v>7500000</v>
      </c>
      <c r="F287" s="10" t="n">
        <v>7500000</v>
      </c>
      <c r="G287" s="10" t="n">
        <f aca="false">N(E287)-N(F287)</f>
        <v>0</v>
      </c>
      <c r="H287" s="9" t="s">
        <v>21</v>
      </c>
      <c r="I287" s="12" t="n">
        <v>46296</v>
      </c>
    </row>
    <row r="288" customFormat="false" ht="15" hidden="false" customHeight="false" outlineLevel="0" collapsed="false">
      <c r="A288" s="6" t="s">
        <v>420</v>
      </c>
      <c r="B288" s="6" t="s">
        <v>421</v>
      </c>
      <c r="C288" s="6" t="s">
        <v>13</v>
      </c>
      <c r="D288" s="6" t="s">
        <v>14</v>
      </c>
      <c r="E288" s="7" t="n">
        <f aca="false">SUMIFS(Base!$H:$H,Base!$A:$A,$A288)</f>
        <v>471942</v>
      </c>
      <c r="F288" s="7" t="n">
        <f aca="false">SUMIFS(Base!$I:$I,Base!$A:$A,$A288)</f>
        <v>0</v>
      </c>
      <c r="G288" s="7" t="n">
        <f aca="false">E288-F288</f>
        <v>471942</v>
      </c>
      <c r="H288" s="8" t="s">
        <v>37</v>
      </c>
      <c r="I288" s="6"/>
    </row>
    <row r="289" customFormat="false" ht="15" hidden="true" customHeight="false" outlineLevel="1" collapsed="false">
      <c r="A289" s="9" t="s">
        <v>420</v>
      </c>
      <c r="B289" s="9" t="s">
        <v>421</v>
      </c>
      <c r="C289" s="9" t="s">
        <v>422</v>
      </c>
      <c r="D289" s="9" t="s">
        <v>39</v>
      </c>
      <c r="E289" s="10" t="n">
        <v>471942</v>
      </c>
      <c r="F289" s="10"/>
      <c r="G289" s="10" t="n">
        <f aca="false">N(E289)-N(F289)</f>
        <v>471942</v>
      </c>
      <c r="H289" s="11" t="s">
        <v>30</v>
      </c>
      <c r="I289" s="12" t="n">
        <v>46310</v>
      </c>
    </row>
    <row r="290" customFormat="false" ht="15" hidden="false" customHeight="false" outlineLevel="0" collapsed="false">
      <c r="A290" s="6" t="s">
        <v>423</v>
      </c>
      <c r="B290" s="6" t="s">
        <v>424</v>
      </c>
      <c r="C290" s="6" t="s">
        <v>42</v>
      </c>
      <c r="D290" s="6" t="s">
        <v>14</v>
      </c>
      <c r="E290" s="7" t="n">
        <f aca="false">SUMIFS(Base!$H:$H,Base!$A:$A,$A290)</f>
        <v>2407700</v>
      </c>
      <c r="F290" s="7" t="n">
        <f aca="false">SUMIFS(Base!$I:$I,Base!$A:$A,$A290)</f>
        <v>3235700</v>
      </c>
      <c r="G290" s="7" t="n">
        <f aca="false">E290-F290</f>
        <v>-828000</v>
      </c>
      <c r="H290" s="13" t="s">
        <v>27</v>
      </c>
      <c r="I290" s="6"/>
    </row>
    <row r="291" customFormat="false" ht="15" hidden="true" customHeight="false" outlineLevel="1" collapsed="false">
      <c r="A291" s="9" t="s">
        <v>423</v>
      </c>
      <c r="B291" s="9" t="s">
        <v>424</v>
      </c>
      <c r="C291" s="9" t="s">
        <v>425</v>
      </c>
      <c r="D291" s="9" t="s">
        <v>23</v>
      </c>
      <c r="E291" s="10" t="n">
        <v>980700</v>
      </c>
      <c r="F291" s="10" t="n">
        <v>980700</v>
      </c>
      <c r="G291" s="10" t="n">
        <f aca="false">N(E291)-N(F291)</f>
        <v>0</v>
      </c>
      <c r="H291" s="9" t="s">
        <v>21</v>
      </c>
      <c r="I291" s="12" t="n">
        <v>46296</v>
      </c>
    </row>
    <row r="292" customFormat="false" ht="15" hidden="true" customHeight="false" outlineLevel="1" collapsed="false">
      <c r="A292" s="9" t="s">
        <v>423</v>
      </c>
      <c r="B292" s="9" t="s">
        <v>424</v>
      </c>
      <c r="C292" s="9" t="s">
        <v>426</v>
      </c>
      <c r="D292" s="9" t="s">
        <v>23</v>
      </c>
      <c r="E292" s="10" t="n">
        <v>2255000</v>
      </c>
      <c r="F292" s="10" t="n">
        <v>2255000</v>
      </c>
      <c r="G292" s="10" t="n">
        <f aca="false">N(E292)-N(F292)</f>
        <v>0</v>
      </c>
      <c r="H292" s="9" t="s">
        <v>21</v>
      </c>
      <c r="I292" s="12" t="n">
        <v>46315</v>
      </c>
    </row>
    <row r="293" customFormat="false" ht="15" hidden="true" customHeight="false" outlineLevel="1" collapsed="false">
      <c r="A293" s="9" t="s">
        <v>423</v>
      </c>
      <c r="B293" s="9" t="s">
        <v>424</v>
      </c>
      <c r="C293" s="9" t="s">
        <v>427</v>
      </c>
      <c r="D293" s="9" t="s">
        <v>45</v>
      </c>
      <c r="E293" s="10" t="n">
        <v>-828000</v>
      </c>
      <c r="F293" s="10"/>
      <c r="G293" s="10" t="n">
        <f aca="false">N(E293)-N(F293)</f>
        <v>-828000</v>
      </c>
      <c r="H293" s="11" t="s">
        <v>30</v>
      </c>
      <c r="I293" s="12" t="n">
        <v>46317</v>
      </c>
    </row>
  </sheetData>
  <autoFilter ref="A4:I29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6"/>
    <col collapsed="false" customWidth="true" hidden="false" outlineLevel="0" max="3" min="3" style="0" width="22"/>
    <col collapsed="false" customWidth="true" hidden="false" outlineLevel="0" max="4" min="4" style="0" width="44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7" min="7" style="0" width="18"/>
    <col collapsed="false" customWidth="true" hidden="false" outlineLevel="0" max="10" min="8" style="0" width="16"/>
    <col collapsed="false" customWidth="true" hidden="false" outlineLevel="0" max="11" min="11" style="0" width="22"/>
  </cols>
  <sheetData>
    <row r="1" customFormat="false" ht="15" hidden="false" customHeight="false" outlineLevel="0" collapsed="false">
      <c r="A1" s="14" t="s">
        <v>2</v>
      </c>
      <c r="B1" s="14" t="s">
        <v>3</v>
      </c>
      <c r="C1" s="14" t="s">
        <v>4</v>
      </c>
      <c r="D1" s="14" t="s">
        <v>5</v>
      </c>
      <c r="E1" s="14" t="s">
        <v>428</v>
      </c>
      <c r="F1" s="14" t="s">
        <v>10</v>
      </c>
      <c r="G1" s="14" t="s">
        <v>429</v>
      </c>
      <c r="H1" s="14" t="s">
        <v>6</v>
      </c>
      <c r="I1" s="14" t="s">
        <v>7</v>
      </c>
      <c r="J1" s="14" t="s">
        <v>430</v>
      </c>
      <c r="K1" s="14" t="s">
        <v>431</v>
      </c>
    </row>
    <row r="2" customFormat="false" ht="15" hidden="false" customHeight="false" outlineLevel="0" collapsed="false">
      <c r="A2" s="0" t="s">
        <v>11</v>
      </c>
      <c r="B2" s="0" t="s">
        <v>12</v>
      </c>
      <c r="C2" s="0" t="s">
        <v>16</v>
      </c>
      <c r="D2" s="0" t="s">
        <v>17</v>
      </c>
      <c r="E2" s="0" t="s">
        <v>432</v>
      </c>
      <c r="F2" s="15" t="n">
        <v>46318</v>
      </c>
      <c r="G2" s="14" t="s">
        <v>18</v>
      </c>
      <c r="H2" s="3"/>
      <c r="I2" s="3" t="n">
        <v>100600</v>
      </c>
      <c r="J2" s="3" t="n">
        <f aca="false">N(H2)-N(I2)</f>
        <v>-100600</v>
      </c>
      <c r="K2" s="14" t="s">
        <v>15</v>
      </c>
    </row>
    <row r="3" customFormat="false" ht="15" hidden="false" customHeight="false" outlineLevel="0" collapsed="false">
      <c r="A3" s="0" t="s">
        <v>19</v>
      </c>
      <c r="B3" s="0" t="s">
        <v>20</v>
      </c>
      <c r="C3" s="0" t="s">
        <v>22</v>
      </c>
      <c r="D3" s="0" t="s">
        <v>23</v>
      </c>
      <c r="E3" s="0" t="s">
        <v>433</v>
      </c>
      <c r="F3" s="15" t="n">
        <v>46296</v>
      </c>
      <c r="G3" s="14" t="s">
        <v>21</v>
      </c>
      <c r="H3" s="3" t="n">
        <v>14515620</v>
      </c>
      <c r="I3" s="3" t="n">
        <v>14515620</v>
      </c>
      <c r="J3" s="3" t="n">
        <f aca="false">N(H3)-N(I3)</f>
        <v>0</v>
      </c>
      <c r="K3" s="14" t="s">
        <v>21</v>
      </c>
    </row>
    <row r="4" customFormat="false" ht="15" hidden="false" customHeight="false" outlineLevel="0" collapsed="false">
      <c r="A4" s="0" t="s">
        <v>24</v>
      </c>
      <c r="B4" s="0" t="s">
        <v>25</v>
      </c>
      <c r="C4" s="0" t="s">
        <v>28</v>
      </c>
      <c r="D4" s="0" t="s">
        <v>29</v>
      </c>
      <c r="E4" s="0" t="s">
        <v>433</v>
      </c>
      <c r="F4" s="15" t="n">
        <v>46296</v>
      </c>
      <c r="G4" s="14" t="s">
        <v>30</v>
      </c>
      <c r="H4" s="3" t="n">
        <v>521682</v>
      </c>
      <c r="I4" s="3"/>
      <c r="J4" s="3" t="n">
        <f aca="false">N(H4)-N(I4)</f>
        <v>521682</v>
      </c>
      <c r="K4" s="14" t="s">
        <v>27</v>
      </c>
    </row>
    <row r="5" customFormat="false" ht="15" hidden="false" customHeight="false" outlineLevel="0" collapsed="false">
      <c r="A5" s="0" t="s">
        <v>24</v>
      </c>
      <c r="B5" s="0" t="s">
        <v>25</v>
      </c>
      <c r="C5" s="0" t="s">
        <v>31</v>
      </c>
      <c r="D5" s="0" t="s">
        <v>23</v>
      </c>
      <c r="E5" s="0" t="s">
        <v>433</v>
      </c>
      <c r="F5" s="15" t="n">
        <v>46310</v>
      </c>
      <c r="G5" s="14" t="s">
        <v>21</v>
      </c>
      <c r="H5" s="3" t="n">
        <v>4450876</v>
      </c>
      <c r="I5" s="3" t="n">
        <v>4450876</v>
      </c>
      <c r="J5" s="3" t="n">
        <f aca="false">N(H5)-N(I5)</f>
        <v>0</v>
      </c>
      <c r="K5" s="14" t="s">
        <v>27</v>
      </c>
    </row>
    <row r="6" customFormat="false" ht="15" hidden="false" customHeight="false" outlineLevel="0" collapsed="false">
      <c r="A6" s="0" t="s">
        <v>32</v>
      </c>
      <c r="B6" s="0" t="s">
        <v>33</v>
      </c>
      <c r="C6" s="0" t="s">
        <v>34</v>
      </c>
      <c r="D6" s="0" t="s">
        <v>23</v>
      </c>
      <c r="E6" s="0" t="s">
        <v>433</v>
      </c>
      <c r="F6" s="15" t="n">
        <v>46300</v>
      </c>
      <c r="G6" s="14" t="s">
        <v>21</v>
      </c>
      <c r="H6" s="3" t="n">
        <v>2399877.76</v>
      </c>
      <c r="I6" s="3" t="n">
        <v>2399877.76</v>
      </c>
      <c r="J6" s="3" t="n">
        <f aca="false">N(H6)-N(I6)</f>
        <v>0</v>
      </c>
      <c r="K6" s="14" t="s">
        <v>21</v>
      </c>
    </row>
    <row r="7" customFormat="false" ht="15" hidden="false" customHeight="false" outlineLevel="0" collapsed="false">
      <c r="A7" s="0" t="s">
        <v>35</v>
      </c>
      <c r="B7" s="0" t="s">
        <v>36</v>
      </c>
      <c r="C7" s="0" t="s">
        <v>38</v>
      </c>
      <c r="D7" s="0" t="s">
        <v>39</v>
      </c>
      <c r="E7" s="0" t="s">
        <v>434</v>
      </c>
      <c r="F7" s="15" t="n">
        <v>46317</v>
      </c>
      <c r="G7" s="14" t="s">
        <v>30</v>
      </c>
      <c r="H7" s="3" t="n">
        <v>350000</v>
      </c>
      <c r="I7" s="3"/>
      <c r="J7" s="3" t="n">
        <f aca="false">N(H7)-N(I7)</f>
        <v>350000</v>
      </c>
      <c r="K7" s="14" t="s">
        <v>37</v>
      </c>
    </row>
    <row r="8" customFormat="false" ht="15" hidden="false" customHeight="false" outlineLevel="0" collapsed="false">
      <c r="A8" s="0" t="s">
        <v>40</v>
      </c>
      <c r="B8" s="0" t="s">
        <v>41</v>
      </c>
      <c r="C8" s="0" t="s">
        <v>43</v>
      </c>
      <c r="D8" s="0" t="s">
        <v>23</v>
      </c>
      <c r="E8" s="0" t="s">
        <v>433</v>
      </c>
      <c r="F8" s="15" t="n">
        <v>46301</v>
      </c>
      <c r="G8" s="14" t="s">
        <v>21</v>
      </c>
      <c r="H8" s="3" t="n">
        <v>598985.31</v>
      </c>
      <c r="I8" s="3" t="n">
        <v>598985.31</v>
      </c>
      <c r="J8" s="3" t="n">
        <f aca="false">N(H8)-N(I8)</f>
        <v>0</v>
      </c>
      <c r="K8" s="14" t="s">
        <v>27</v>
      </c>
    </row>
    <row r="9" customFormat="false" ht="15" hidden="false" customHeight="false" outlineLevel="0" collapsed="false">
      <c r="A9" s="0" t="s">
        <v>40</v>
      </c>
      <c r="B9" s="0" t="s">
        <v>41</v>
      </c>
      <c r="C9" s="0" t="s">
        <v>44</v>
      </c>
      <c r="D9" s="0" t="s">
        <v>45</v>
      </c>
      <c r="E9" s="0" t="s">
        <v>433</v>
      </c>
      <c r="F9" s="15" t="n">
        <v>46301</v>
      </c>
      <c r="G9" s="14" t="s">
        <v>30</v>
      </c>
      <c r="H9" s="3" t="n">
        <v>-602983.71</v>
      </c>
      <c r="I9" s="3"/>
      <c r="J9" s="3" t="n">
        <f aca="false">N(H9)-N(I9)</f>
        <v>-602983.71</v>
      </c>
      <c r="K9" s="14" t="s">
        <v>27</v>
      </c>
    </row>
    <row r="10" customFormat="false" ht="15" hidden="false" customHeight="false" outlineLevel="0" collapsed="false">
      <c r="A10" s="0" t="s">
        <v>40</v>
      </c>
      <c r="B10" s="0" t="s">
        <v>41</v>
      </c>
      <c r="C10" s="0" t="s">
        <v>46</v>
      </c>
      <c r="D10" s="0" t="s">
        <v>23</v>
      </c>
      <c r="E10" s="0" t="s">
        <v>433</v>
      </c>
      <c r="F10" s="15" t="n">
        <v>46303</v>
      </c>
      <c r="G10" s="14" t="s">
        <v>21</v>
      </c>
      <c r="H10" s="3" t="n">
        <v>606984.49</v>
      </c>
      <c r="I10" s="3" t="n">
        <v>606984.49</v>
      </c>
      <c r="J10" s="3" t="n">
        <f aca="false">N(H10)-N(I10)</f>
        <v>0</v>
      </c>
      <c r="K10" s="14" t="s">
        <v>27</v>
      </c>
    </row>
    <row r="11" customFormat="false" ht="15" hidden="false" customHeight="false" outlineLevel="0" collapsed="false">
      <c r="A11" s="0" t="s">
        <v>47</v>
      </c>
      <c r="B11" s="0" t="s">
        <v>48</v>
      </c>
      <c r="C11" s="0" t="s">
        <v>49</v>
      </c>
      <c r="D11" s="0" t="s">
        <v>23</v>
      </c>
      <c r="E11" s="0" t="s">
        <v>433</v>
      </c>
      <c r="F11" s="15" t="n">
        <v>46316</v>
      </c>
      <c r="G11" s="14" t="s">
        <v>21</v>
      </c>
      <c r="H11" s="3" t="n">
        <v>130900</v>
      </c>
      <c r="I11" s="3" t="n">
        <v>130900</v>
      </c>
      <c r="J11" s="3" t="n">
        <f aca="false">N(H11)-N(I11)</f>
        <v>0</v>
      </c>
      <c r="K11" s="14" t="s">
        <v>21</v>
      </c>
    </row>
    <row r="12" customFormat="false" ht="15" hidden="false" customHeight="false" outlineLevel="0" collapsed="false">
      <c r="A12" s="0" t="s">
        <v>50</v>
      </c>
      <c r="B12" s="0" t="s">
        <v>51</v>
      </c>
      <c r="C12" s="0" t="s">
        <v>52</v>
      </c>
      <c r="D12" s="0" t="s">
        <v>39</v>
      </c>
      <c r="E12" s="0" t="s">
        <v>434</v>
      </c>
      <c r="F12" s="15" t="n">
        <v>46302</v>
      </c>
      <c r="G12" s="14" t="s">
        <v>30</v>
      </c>
      <c r="H12" s="3" t="n">
        <v>300000</v>
      </c>
      <c r="I12" s="3"/>
      <c r="J12" s="3" t="n">
        <f aca="false">N(H12)-N(I12)</f>
        <v>300000</v>
      </c>
      <c r="K12" s="14" t="s">
        <v>37</v>
      </c>
    </row>
    <row r="13" customFormat="false" ht="15" hidden="false" customHeight="false" outlineLevel="0" collapsed="false">
      <c r="A13" s="0" t="s">
        <v>53</v>
      </c>
      <c r="B13" s="0" t="s">
        <v>54</v>
      </c>
      <c r="C13" s="0" t="s">
        <v>55</v>
      </c>
      <c r="D13" s="0" t="s">
        <v>23</v>
      </c>
      <c r="E13" s="0" t="s">
        <v>433</v>
      </c>
      <c r="F13" s="15" t="n">
        <v>46307</v>
      </c>
      <c r="G13" s="14" t="s">
        <v>30</v>
      </c>
      <c r="H13" s="3" t="n">
        <v>210011.46</v>
      </c>
      <c r="I13" s="3"/>
      <c r="J13" s="3" t="n">
        <f aca="false">N(H13)-N(I13)</f>
        <v>210011.46</v>
      </c>
      <c r="K13" s="14" t="s">
        <v>37</v>
      </c>
    </row>
    <row r="14" customFormat="false" ht="15" hidden="false" customHeight="false" outlineLevel="0" collapsed="false">
      <c r="A14" s="0" t="s">
        <v>56</v>
      </c>
      <c r="B14" s="0" t="s">
        <v>57</v>
      </c>
      <c r="C14" s="0" t="s">
        <v>58</v>
      </c>
      <c r="D14" s="0" t="s">
        <v>23</v>
      </c>
      <c r="E14" s="0" t="s">
        <v>433</v>
      </c>
      <c r="F14" s="15" t="n">
        <v>46316</v>
      </c>
      <c r="G14" s="14" t="s">
        <v>21</v>
      </c>
      <c r="H14" s="3" t="n">
        <v>100000</v>
      </c>
      <c r="I14" s="3" t="n">
        <v>100000</v>
      </c>
      <c r="J14" s="3" t="n">
        <f aca="false">N(H14)-N(I14)</f>
        <v>0</v>
      </c>
      <c r="K14" s="14" t="s">
        <v>21</v>
      </c>
    </row>
    <row r="15" customFormat="false" ht="15" hidden="false" customHeight="false" outlineLevel="0" collapsed="false">
      <c r="A15" s="0" t="s">
        <v>59</v>
      </c>
      <c r="B15" s="0" t="s">
        <v>60</v>
      </c>
      <c r="C15" s="0" t="s">
        <v>61</v>
      </c>
      <c r="D15" s="0" t="s">
        <v>23</v>
      </c>
      <c r="E15" s="0" t="s">
        <v>433</v>
      </c>
      <c r="F15" s="15" t="n">
        <v>46314</v>
      </c>
      <c r="G15" s="14" t="s">
        <v>30</v>
      </c>
      <c r="H15" s="3" t="n">
        <v>25000</v>
      </c>
      <c r="I15" s="3"/>
      <c r="J15" s="3" t="n">
        <f aca="false">N(H15)-N(I15)</f>
        <v>25000</v>
      </c>
      <c r="K15" s="14" t="s">
        <v>37</v>
      </c>
    </row>
    <row r="16" customFormat="false" ht="15" hidden="false" customHeight="false" outlineLevel="0" collapsed="false">
      <c r="A16" s="0" t="s">
        <v>62</v>
      </c>
      <c r="B16" s="0" t="s">
        <v>63</v>
      </c>
      <c r="C16" s="0" t="s">
        <v>64</v>
      </c>
      <c r="D16" s="0" t="s">
        <v>39</v>
      </c>
      <c r="E16" s="0" t="s">
        <v>434</v>
      </c>
      <c r="F16" s="15" t="n">
        <v>46314</v>
      </c>
      <c r="G16" s="14" t="s">
        <v>30</v>
      </c>
      <c r="H16" s="3" t="n">
        <v>1428000</v>
      </c>
      <c r="I16" s="3"/>
      <c r="J16" s="3" t="n">
        <f aca="false">N(H16)-N(I16)</f>
        <v>1428000</v>
      </c>
      <c r="K16" s="14" t="s">
        <v>37</v>
      </c>
    </row>
    <row r="17" customFormat="false" ht="15" hidden="false" customHeight="false" outlineLevel="0" collapsed="false">
      <c r="A17" s="0" t="s">
        <v>62</v>
      </c>
      <c r="B17" s="0" t="s">
        <v>63</v>
      </c>
      <c r="C17" s="0" t="s">
        <v>65</v>
      </c>
      <c r="D17" s="0" t="s">
        <v>39</v>
      </c>
      <c r="E17" s="0" t="s">
        <v>434</v>
      </c>
      <c r="F17" s="15" t="n">
        <v>46314</v>
      </c>
      <c r="G17" s="14" t="s">
        <v>30</v>
      </c>
      <c r="H17" s="3" t="n">
        <v>1200000</v>
      </c>
      <c r="I17" s="3"/>
      <c r="J17" s="3" t="n">
        <f aca="false">N(H17)-N(I17)</f>
        <v>1200000</v>
      </c>
      <c r="K17" s="14" t="s">
        <v>37</v>
      </c>
    </row>
    <row r="18" customFormat="false" ht="15" hidden="false" customHeight="false" outlineLevel="0" collapsed="false">
      <c r="A18" s="0" t="s">
        <v>66</v>
      </c>
      <c r="B18" s="0" t="s">
        <v>67</v>
      </c>
      <c r="C18" s="0" t="s">
        <v>68</v>
      </c>
      <c r="D18" s="0" t="s">
        <v>23</v>
      </c>
      <c r="E18" s="0" t="s">
        <v>433</v>
      </c>
      <c r="F18" s="15" t="n">
        <v>46301</v>
      </c>
      <c r="G18" s="14" t="s">
        <v>21</v>
      </c>
      <c r="H18" s="3" t="n">
        <v>4462500</v>
      </c>
      <c r="I18" s="3" t="n">
        <v>4462500</v>
      </c>
      <c r="J18" s="3" t="n">
        <f aca="false">N(H18)-N(I18)</f>
        <v>0</v>
      </c>
      <c r="K18" s="14" t="s">
        <v>21</v>
      </c>
    </row>
    <row r="19" customFormat="false" ht="15" hidden="false" customHeight="false" outlineLevel="0" collapsed="false">
      <c r="A19" s="0" t="s">
        <v>69</v>
      </c>
      <c r="B19" s="0" t="s">
        <v>70</v>
      </c>
      <c r="C19" s="0" t="s">
        <v>71</v>
      </c>
      <c r="D19" s="0" t="s">
        <v>23</v>
      </c>
      <c r="E19" s="0" t="s">
        <v>433</v>
      </c>
      <c r="F19" s="15" t="n">
        <v>46300</v>
      </c>
      <c r="G19" s="14" t="s">
        <v>21</v>
      </c>
      <c r="H19" s="3" t="n">
        <v>136776.22</v>
      </c>
      <c r="I19" s="3" t="n">
        <v>136776.22</v>
      </c>
      <c r="J19" s="3" t="n">
        <f aca="false">N(H19)-N(I19)</f>
        <v>0</v>
      </c>
      <c r="K19" s="14" t="s">
        <v>21</v>
      </c>
    </row>
    <row r="20" customFormat="false" ht="15" hidden="false" customHeight="false" outlineLevel="0" collapsed="false">
      <c r="A20" s="0" t="s">
        <v>72</v>
      </c>
      <c r="B20" s="0" t="s">
        <v>73</v>
      </c>
      <c r="C20" s="0" t="s">
        <v>74</v>
      </c>
      <c r="D20" s="0" t="s">
        <v>23</v>
      </c>
      <c r="E20" s="0" t="s">
        <v>433</v>
      </c>
      <c r="F20" s="15" t="n">
        <v>46301</v>
      </c>
      <c r="G20" s="14" t="s">
        <v>21</v>
      </c>
      <c r="H20" s="3" t="n">
        <v>168000</v>
      </c>
      <c r="I20" s="3" t="n">
        <v>168000</v>
      </c>
      <c r="J20" s="3" t="n">
        <f aca="false">N(H20)-N(I20)</f>
        <v>0</v>
      </c>
      <c r="K20" s="14" t="s">
        <v>21</v>
      </c>
    </row>
    <row r="21" customFormat="false" ht="15" hidden="false" customHeight="false" outlineLevel="0" collapsed="false">
      <c r="A21" s="0" t="s">
        <v>75</v>
      </c>
      <c r="B21" s="0" t="s">
        <v>76</v>
      </c>
      <c r="C21" s="0" t="s">
        <v>77</v>
      </c>
      <c r="D21" s="0" t="s">
        <v>23</v>
      </c>
      <c r="E21" s="0" t="s">
        <v>433</v>
      </c>
      <c r="F21" s="15" t="n">
        <v>46298</v>
      </c>
      <c r="G21" s="14" t="s">
        <v>21</v>
      </c>
      <c r="H21" s="3" t="n">
        <v>19000</v>
      </c>
      <c r="I21" s="3" t="n">
        <v>19000</v>
      </c>
      <c r="J21" s="3" t="n">
        <f aca="false">N(H21)-N(I21)</f>
        <v>0</v>
      </c>
      <c r="K21" s="14" t="s">
        <v>21</v>
      </c>
    </row>
    <row r="22" customFormat="false" ht="15" hidden="false" customHeight="false" outlineLevel="0" collapsed="false">
      <c r="A22" s="0" t="s">
        <v>78</v>
      </c>
      <c r="B22" s="0" t="s">
        <v>79</v>
      </c>
      <c r="C22" s="0" t="s">
        <v>80</v>
      </c>
      <c r="D22" s="0" t="s">
        <v>23</v>
      </c>
      <c r="E22" s="0" t="s">
        <v>433</v>
      </c>
      <c r="F22" s="15" t="n">
        <v>46297</v>
      </c>
      <c r="G22" s="14" t="s">
        <v>21</v>
      </c>
      <c r="H22" s="3" t="n">
        <v>310000</v>
      </c>
      <c r="I22" s="3" t="n">
        <v>310000</v>
      </c>
      <c r="J22" s="3" t="n">
        <f aca="false">N(H22)-N(I22)</f>
        <v>0</v>
      </c>
      <c r="K22" s="14" t="s">
        <v>27</v>
      </c>
    </row>
    <row r="23" customFormat="false" ht="15" hidden="false" customHeight="false" outlineLevel="0" collapsed="false">
      <c r="A23" s="0" t="s">
        <v>78</v>
      </c>
      <c r="B23" s="0" t="s">
        <v>79</v>
      </c>
      <c r="C23" s="0" t="s">
        <v>81</v>
      </c>
      <c r="D23" s="0" t="s">
        <v>23</v>
      </c>
      <c r="E23" s="0" t="s">
        <v>433</v>
      </c>
      <c r="F23" s="15" t="n">
        <v>46303</v>
      </c>
      <c r="G23" s="14" t="s">
        <v>21</v>
      </c>
      <c r="H23" s="3" t="n">
        <v>743750</v>
      </c>
      <c r="I23" s="3" t="n">
        <v>743750</v>
      </c>
      <c r="J23" s="3" t="n">
        <f aca="false">N(H23)-N(I23)</f>
        <v>0</v>
      </c>
      <c r="K23" s="14" t="s">
        <v>27</v>
      </c>
    </row>
    <row r="24" customFormat="false" ht="15" hidden="false" customHeight="false" outlineLevel="0" collapsed="false">
      <c r="A24" s="0" t="s">
        <v>78</v>
      </c>
      <c r="B24" s="0" t="s">
        <v>79</v>
      </c>
      <c r="C24" s="0" t="s">
        <v>82</v>
      </c>
      <c r="D24" s="0" t="s">
        <v>17</v>
      </c>
      <c r="E24" s="0" t="s">
        <v>432</v>
      </c>
      <c r="F24" s="15" t="n">
        <v>46318</v>
      </c>
      <c r="G24" s="14" t="s">
        <v>18</v>
      </c>
      <c r="H24" s="3"/>
      <c r="I24" s="3" t="n">
        <v>210000</v>
      </c>
      <c r="J24" s="3" t="n">
        <f aca="false">N(H24)-N(I24)</f>
        <v>-210000</v>
      </c>
      <c r="K24" s="14" t="s">
        <v>27</v>
      </c>
    </row>
    <row r="25" customFormat="false" ht="15" hidden="false" customHeight="false" outlineLevel="0" collapsed="false">
      <c r="A25" s="0" t="s">
        <v>83</v>
      </c>
      <c r="B25" s="0" t="s">
        <v>84</v>
      </c>
      <c r="C25" s="0" t="s">
        <v>85</v>
      </c>
      <c r="D25" s="0" t="s">
        <v>23</v>
      </c>
      <c r="E25" s="0" t="s">
        <v>433</v>
      </c>
      <c r="F25" s="15" t="n">
        <v>46296</v>
      </c>
      <c r="G25" s="14" t="s">
        <v>21</v>
      </c>
      <c r="H25" s="3" t="n">
        <v>15000</v>
      </c>
      <c r="I25" s="3" t="n">
        <v>15000</v>
      </c>
      <c r="J25" s="3" t="n">
        <f aca="false">N(H25)-N(I25)</f>
        <v>0</v>
      </c>
      <c r="K25" s="14" t="s">
        <v>21</v>
      </c>
    </row>
    <row r="26" customFormat="false" ht="15" hidden="false" customHeight="false" outlineLevel="0" collapsed="false">
      <c r="A26" s="0" t="s">
        <v>86</v>
      </c>
      <c r="B26" s="0" t="s">
        <v>87</v>
      </c>
      <c r="C26" s="0" t="s">
        <v>88</v>
      </c>
      <c r="D26" s="0" t="s">
        <v>23</v>
      </c>
      <c r="E26" s="0" t="s">
        <v>433</v>
      </c>
      <c r="F26" s="15" t="n">
        <v>46308</v>
      </c>
      <c r="G26" s="14" t="s">
        <v>21</v>
      </c>
      <c r="H26" s="3" t="n">
        <v>374594.27</v>
      </c>
      <c r="I26" s="3" t="n">
        <v>374594.27</v>
      </c>
      <c r="J26" s="3" t="n">
        <f aca="false">N(H26)-N(I26)</f>
        <v>0</v>
      </c>
      <c r="K26" s="14" t="s">
        <v>21</v>
      </c>
    </row>
    <row r="27" customFormat="false" ht="15" hidden="false" customHeight="false" outlineLevel="0" collapsed="false">
      <c r="A27" s="0" t="s">
        <v>89</v>
      </c>
      <c r="B27" s="0" t="s">
        <v>90</v>
      </c>
      <c r="C27" s="0" t="s">
        <v>92</v>
      </c>
      <c r="D27" s="0" t="s">
        <v>23</v>
      </c>
      <c r="E27" s="0" t="s">
        <v>433</v>
      </c>
      <c r="F27" s="15" t="n">
        <v>46306</v>
      </c>
      <c r="G27" s="14" t="s">
        <v>21</v>
      </c>
      <c r="H27" s="3" t="n">
        <v>21995</v>
      </c>
      <c r="I27" s="3" t="n">
        <v>21995</v>
      </c>
      <c r="J27" s="3" t="n">
        <f aca="false">N(H27)-N(I27)</f>
        <v>0</v>
      </c>
      <c r="K27" s="14" t="s">
        <v>21</v>
      </c>
    </row>
    <row r="28" customFormat="false" ht="15" hidden="false" customHeight="false" outlineLevel="0" collapsed="false">
      <c r="A28" s="0" t="s">
        <v>89</v>
      </c>
      <c r="B28" s="0" t="s">
        <v>90</v>
      </c>
      <c r="C28" s="0" t="s">
        <v>93</v>
      </c>
      <c r="D28" s="0" t="s">
        <v>23</v>
      </c>
      <c r="E28" s="0" t="s">
        <v>433</v>
      </c>
      <c r="F28" s="15" t="n">
        <v>46306</v>
      </c>
      <c r="G28" s="14" t="s">
        <v>21</v>
      </c>
      <c r="H28" s="3" t="n">
        <v>53293</v>
      </c>
      <c r="I28" s="3" t="n">
        <v>53293</v>
      </c>
      <c r="J28" s="3" t="n">
        <f aca="false">N(H28)-N(I28)</f>
        <v>0</v>
      </c>
      <c r="K28" s="14" t="s">
        <v>21</v>
      </c>
    </row>
    <row r="29" customFormat="false" ht="15" hidden="false" customHeight="false" outlineLevel="0" collapsed="false">
      <c r="A29" s="0" t="s">
        <v>89</v>
      </c>
      <c r="B29" s="0" t="s">
        <v>90</v>
      </c>
      <c r="C29" s="0" t="s">
        <v>94</v>
      </c>
      <c r="D29" s="0" t="s">
        <v>23</v>
      </c>
      <c r="E29" s="0" t="s">
        <v>433</v>
      </c>
      <c r="F29" s="15" t="n">
        <v>46306</v>
      </c>
      <c r="G29" s="14" t="s">
        <v>21</v>
      </c>
      <c r="H29" s="3" t="n">
        <v>44875</v>
      </c>
      <c r="I29" s="3" t="n">
        <v>44875</v>
      </c>
      <c r="J29" s="3" t="n">
        <f aca="false">N(H29)-N(I29)</f>
        <v>0</v>
      </c>
      <c r="K29" s="14" t="s">
        <v>21</v>
      </c>
    </row>
    <row r="30" customFormat="false" ht="15" hidden="false" customHeight="false" outlineLevel="0" collapsed="false">
      <c r="A30" s="0" t="s">
        <v>89</v>
      </c>
      <c r="B30" s="0" t="s">
        <v>90</v>
      </c>
      <c r="C30" s="0" t="s">
        <v>95</v>
      </c>
      <c r="D30" s="0" t="s">
        <v>23</v>
      </c>
      <c r="E30" s="0" t="s">
        <v>433</v>
      </c>
      <c r="F30" s="15" t="n">
        <v>46306</v>
      </c>
      <c r="G30" s="14" t="s">
        <v>21</v>
      </c>
      <c r="H30" s="3" t="n">
        <v>12000</v>
      </c>
      <c r="I30" s="3" t="n">
        <v>12000</v>
      </c>
      <c r="J30" s="3" t="n">
        <f aca="false">N(H30)-N(I30)</f>
        <v>0</v>
      </c>
      <c r="K30" s="14" t="s">
        <v>21</v>
      </c>
    </row>
    <row r="31" customFormat="false" ht="15" hidden="false" customHeight="false" outlineLevel="0" collapsed="false">
      <c r="A31" s="0" t="s">
        <v>89</v>
      </c>
      <c r="B31" s="0" t="s">
        <v>90</v>
      </c>
      <c r="C31" s="0" t="s">
        <v>96</v>
      </c>
      <c r="D31" s="0" t="s">
        <v>23</v>
      </c>
      <c r="E31" s="0" t="s">
        <v>433</v>
      </c>
      <c r="F31" s="15" t="n">
        <v>46306</v>
      </c>
      <c r="G31" s="14" t="s">
        <v>21</v>
      </c>
      <c r="H31" s="3" t="n">
        <v>21995</v>
      </c>
      <c r="I31" s="3" t="n">
        <v>21995</v>
      </c>
      <c r="J31" s="3" t="n">
        <f aca="false">N(H31)-N(I31)</f>
        <v>0</v>
      </c>
      <c r="K31" s="14" t="s">
        <v>21</v>
      </c>
    </row>
    <row r="32" customFormat="false" ht="15" hidden="false" customHeight="false" outlineLevel="0" collapsed="false">
      <c r="A32" s="0" t="s">
        <v>89</v>
      </c>
      <c r="B32" s="0" t="s">
        <v>90</v>
      </c>
      <c r="C32" s="0" t="s">
        <v>97</v>
      </c>
      <c r="D32" s="0" t="s">
        <v>23</v>
      </c>
      <c r="E32" s="0" t="s">
        <v>433</v>
      </c>
      <c r="F32" s="15" t="n">
        <v>46306</v>
      </c>
      <c r="G32" s="14" t="s">
        <v>21</v>
      </c>
      <c r="H32" s="3" t="n">
        <v>66348</v>
      </c>
      <c r="I32" s="3" t="n">
        <v>66348</v>
      </c>
      <c r="J32" s="3" t="n">
        <f aca="false">N(H32)-N(I32)</f>
        <v>0</v>
      </c>
      <c r="K32" s="14" t="s">
        <v>21</v>
      </c>
    </row>
    <row r="33" customFormat="false" ht="15" hidden="false" customHeight="false" outlineLevel="0" collapsed="false">
      <c r="A33" s="0" t="s">
        <v>89</v>
      </c>
      <c r="B33" s="0" t="s">
        <v>90</v>
      </c>
      <c r="C33" s="0" t="s">
        <v>98</v>
      </c>
      <c r="D33" s="0" t="s">
        <v>23</v>
      </c>
      <c r="E33" s="0" t="s">
        <v>433</v>
      </c>
      <c r="F33" s="15" t="n">
        <v>46306</v>
      </c>
      <c r="G33" s="14" t="s">
        <v>21</v>
      </c>
      <c r="H33" s="3" t="n">
        <v>21995</v>
      </c>
      <c r="I33" s="3" t="n">
        <v>21995</v>
      </c>
      <c r="J33" s="3" t="n">
        <f aca="false">N(H33)-N(I33)</f>
        <v>0</v>
      </c>
      <c r="K33" s="14" t="s">
        <v>21</v>
      </c>
    </row>
    <row r="34" customFormat="false" ht="15" hidden="false" customHeight="false" outlineLevel="0" collapsed="false">
      <c r="A34" s="0" t="s">
        <v>89</v>
      </c>
      <c r="B34" s="0" t="s">
        <v>90</v>
      </c>
      <c r="C34" s="0" t="s">
        <v>99</v>
      </c>
      <c r="D34" s="0" t="s">
        <v>23</v>
      </c>
      <c r="E34" s="0" t="s">
        <v>433</v>
      </c>
      <c r="F34" s="15" t="n">
        <v>46306</v>
      </c>
      <c r="G34" s="14" t="s">
        <v>21</v>
      </c>
      <c r="H34" s="3" t="n">
        <v>66348</v>
      </c>
      <c r="I34" s="3" t="n">
        <v>66348</v>
      </c>
      <c r="J34" s="3" t="n">
        <f aca="false">N(H34)-N(I34)</f>
        <v>0</v>
      </c>
      <c r="K34" s="14" t="s">
        <v>21</v>
      </c>
    </row>
    <row r="35" customFormat="false" ht="15" hidden="false" customHeight="false" outlineLevel="0" collapsed="false">
      <c r="A35" s="0" t="s">
        <v>89</v>
      </c>
      <c r="B35" s="0" t="s">
        <v>90</v>
      </c>
      <c r="C35" s="0" t="s">
        <v>100</v>
      </c>
      <c r="D35" s="0" t="s">
        <v>23</v>
      </c>
      <c r="E35" s="0" t="s">
        <v>433</v>
      </c>
      <c r="F35" s="15" t="n">
        <v>46306</v>
      </c>
      <c r="G35" s="14" t="s">
        <v>21</v>
      </c>
      <c r="H35" s="3" t="n">
        <v>21995</v>
      </c>
      <c r="I35" s="3" t="n">
        <v>21995</v>
      </c>
      <c r="J35" s="3" t="n">
        <f aca="false">N(H35)-N(I35)</f>
        <v>0</v>
      </c>
      <c r="K35" s="14" t="s">
        <v>21</v>
      </c>
    </row>
    <row r="36" customFormat="false" ht="15" hidden="false" customHeight="false" outlineLevel="0" collapsed="false">
      <c r="A36" s="0" t="s">
        <v>89</v>
      </c>
      <c r="B36" s="0" t="s">
        <v>90</v>
      </c>
      <c r="C36" s="0" t="s">
        <v>101</v>
      </c>
      <c r="D36" s="0" t="s">
        <v>23</v>
      </c>
      <c r="E36" s="0" t="s">
        <v>433</v>
      </c>
      <c r="F36" s="15" t="n">
        <v>46306</v>
      </c>
      <c r="G36" s="14" t="s">
        <v>21</v>
      </c>
      <c r="H36" s="3" t="n">
        <v>44875</v>
      </c>
      <c r="I36" s="3" t="n">
        <v>44875</v>
      </c>
      <c r="J36" s="3" t="n">
        <f aca="false">N(H36)-N(I36)</f>
        <v>0</v>
      </c>
      <c r="K36" s="14" t="s">
        <v>21</v>
      </c>
    </row>
    <row r="37" customFormat="false" ht="15" hidden="false" customHeight="false" outlineLevel="0" collapsed="false">
      <c r="A37" s="0" t="s">
        <v>89</v>
      </c>
      <c r="B37" s="0" t="s">
        <v>90</v>
      </c>
      <c r="C37" s="0" t="s">
        <v>102</v>
      </c>
      <c r="D37" s="0" t="s">
        <v>23</v>
      </c>
      <c r="E37" s="0" t="s">
        <v>433</v>
      </c>
      <c r="F37" s="15" t="n">
        <v>46306</v>
      </c>
      <c r="G37" s="14" t="s">
        <v>21</v>
      </c>
      <c r="H37" s="3" t="n">
        <v>21995</v>
      </c>
      <c r="I37" s="3" t="n">
        <v>21995</v>
      </c>
      <c r="J37" s="3" t="n">
        <f aca="false">N(H37)-N(I37)</f>
        <v>0</v>
      </c>
      <c r="K37" s="14" t="s">
        <v>21</v>
      </c>
    </row>
    <row r="38" customFormat="false" ht="15" hidden="false" customHeight="false" outlineLevel="0" collapsed="false">
      <c r="A38" s="0" t="s">
        <v>89</v>
      </c>
      <c r="B38" s="0" t="s">
        <v>90</v>
      </c>
      <c r="C38" s="0" t="s">
        <v>103</v>
      </c>
      <c r="D38" s="0" t="s">
        <v>23</v>
      </c>
      <c r="E38" s="0" t="s">
        <v>433</v>
      </c>
      <c r="F38" s="15" t="n">
        <v>46306</v>
      </c>
      <c r="G38" s="14" t="s">
        <v>21</v>
      </c>
      <c r="H38" s="3" t="n">
        <v>44875</v>
      </c>
      <c r="I38" s="3" t="n">
        <v>44875</v>
      </c>
      <c r="J38" s="3" t="n">
        <f aca="false">N(H38)-N(I38)</f>
        <v>0</v>
      </c>
      <c r="K38" s="14" t="s">
        <v>21</v>
      </c>
    </row>
    <row r="39" customFormat="false" ht="15" hidden="false" customHeight="false" outlineLevel="0" collapsed="false">
      <c r="A39" s="0" t="s">
        <v>89</v>
      </c>
      <c r="B39" s="0" t="s">
        <v>90</v>
      </c>
      <c r="C39" s="0" t="s">
        <v>104</v>
      </c>
      <c r="D39" s="0" t="s">
        <v>23</v>
      </c>
      <c r="E39" s="0" t="s">
        <v>433</v>
      </c>
      <c r="F39" s="15" t="n">
        <v>46306</v>
      </c>
      <c r="G39" s="14" t="s">
        <v>21</v>
      </c>
      <c r="H39" s="3" t="n">
        <v>21995</v>
      </c>
      <c r="I39" s="3" t="n">
        <v>21995</v>
      </c>
      <c r="J39" s="3" t="n">
        <f aca="false">N(H39)-N(I39)</f>
        <v>0</v>
      </c>
      <c r="K39" s="14" t="s">
        <v>21</v>
      </c>
    </row>
    <row r="40" customFormat="false" ht="15" hidden="false" customHeight="false" outlineLevel="0" collapsed="false">
      <c r="A40" s="0" t="s">
        <v>89</v>
      </c>
      <c r="B40" s="0" t="s">
        <v>90</v>
      </c>
      <c r="C40" s="0" t="s">
        <v>105</v>
      </c>
      <c r="D40" s="0" t="s">
        <v>23</v>
      </c>
      <c r="E40" s="0" t="s">
        <v>433</v>
      </c>
      <c r="F40" s="15" t="n">
        <v>46306</v>
      </c>
      <c r="G40" s="14" t="s">
        <v>21</v>
      </c>
      <c r="H40" s="3" t="n">
        <v>44875</v>
      </c>
      <c r="I40" s="3" t="n">
        <v>44875</v>
      </c>
      <c r="J40" s="3" t="n">
        <f aca="false">N(H40)-N(I40)</f>
        <v>0</v>
      </c>
      <c r="K40" s="14" t="s">
        <v>21</v>
      </c>
    </row>
    <row r="41" customFormat="false" ht="15" hidden="false" customHeight="false" outlineLevel="0" collapsed="false">
      <c r="A41" s="0" t="s">
        <v>89</v>
      </c>
      <c r="B41" s="0" t="s">
        <v>90</v>
      </c>
      <c r="C41" s="0" t="s">
        <v>106</v>
      </c>
      <c r="D41" s="0" t="s">
        <v>23</v>
      </c>
      <c r="E41" s="0" t="s">
        <v>433</v>
      </c>
      <c r="F41" s="15" t="n">
        <v>46306</v>
      </c>
      <c r="G41" s="14" t="s">
        <v>21</v>
      </c>
      <c r="H41" s="3" t="n">
        <v>21995</v>
      </c>
      <c r="I41" s="3" t="n">
        <v>21995</v>
      </c>
      <c r="J41" s="3" t="n">
        <f aca="false">N(H41)-N(I41)</f>
        <v>0</v>
      </c>
      <c r="K41" s="14" t="s">
        <v>21</v>
      </c>
    </row>
    <row r="42" customFormat="false" ht="15" hidden="false" customHeight="false" outlineLevel="0" collapsed="false">
      <c r="A42" s="0" t="s">
        <v>89</v>
      </c>
      <c r="B42" s="0" t="s">
        <v>90</v>
      </c>
      <c r="C42" s="0" t="s">
        <v>107</v>
      </c>
      <c r="D42" s="0" t="s">
        <v>23</v>
      </c>
      <c r="E42" s="0" t="s">
        <v>433</v>
      </c>
      <c r="F42" s="15" t="n">
        <v>46306</v>
      </c>
      <c r="G42" s="14" t="s">
        <v>21</v>
      </c>
      <c r="H42" s="3" t="n">
        <v>66348</v>
      </c>
      <c r="I42" s="3" t="n">
        <v>66348</v>
      </c>
      <c r="J42" s="3" t="n">
        <f aca="false">N(H42)-N(I42)</f>
        <v>0</v>
      </c>
      <c r="K42" s="14" t="s">
        <v>21</v>
      </c>
    </row>
    <row r="43" customFormat="false" ht="15" hidden="false" customHeight="false" outlineLevel="0" collapsed="false">
      <c r="A43" s="0" t="s">
        <v>89</v>
      </c>
      <c r="B43" s="0" t="s">
        <v>90</v>
      </c>
      <c r="C43" s="0" t="s">
        <v>108</v>
      </c>
      <c r="D43" s="0" t="s">
        <v>23</v>
      </c>
      <c r="E43" s="0" t="s">
        <v>433</v>
      </c>
      <c r="F43" s="15" t="n">
        <v>46306</v>
      </c>
      <c r="G43" s="14" t="s">
        <v>21</v>
      </c>
      <c r="H43" s="3" t="n">
        <v>10996</v>
      </c>
      <c r="I43" s="3" t="n">
        <v>10996</v>
      </c>
      <c r="J43" s="3" t="n">
        <f aca="false">N(H43)-N(I43)</f>
        <v>0</v>
      </c>
      <c r="K43" s="14" t="s">
        <v>21</v>
      </c>
    </row>
    <row r="44" customFormat="false" ht="15" hidden="false" customHeight="false" outlineLevel="0" collapsed="false">
      <c r="A44" s="0" t="s">
        <v>89</v>
      </c>
      <c r="B44" s="0" t="s">
        <v>90</v>
      </c>
      <c r="C44" s="0" t="s">
        <v>109</v>
      </c>
      <c r="D44" s="0" t="s">
        <v>23</v>
      </c>
      <c r="E44" s="0" t="s">
        <v>433</v>
      </c>
      <c r="F44" s="15" t="n">
        <v>46307</v>
      </c>
      <c r="G44" s="14" t="s">
        <v>21</v>
      </c>
      <c r="H44" s="3" t="n">
        <v>66348</v>
      </c>
      <c r="I44" s="3" t="n">
        <v>66348</v>
      </c>
      <c r="J44" s="3" t="n">
        <f aca="false">N(H44)-N(I44)</f>
        <v>0</v>
      </c>
      <c r="K44" s="14" t="s">
        <v>21</v>
      </c>
    </row>
    <row r="45" customFormat="false" ht="15" hidden="false" customHeight="false" outlineLevel="0" collapsed="false">
      <c r="A45" s="0" t="s">
        <v>110</v>
      </c>
      <c r="B45" s="0" t="s">
        <v>111</v>
      </c>
      <c r="C45" s="0" t="s">
        <v>112</v>
      </c>
      <c r="D45" s="0" t="s">
        <v>23</v>
      </c>
      <c r="E45" s="0" t="s">
        <v>433</v>
      </c>
      <c r="F45" s="15" t="n">
        <v>46310</v>
      </c>
      <c r="G45" s="14" t="s">
        <v>21</v>
      </c>
      <c r="H45" s="3" t="n">
        <v>295304</v>
      </c>
      <c r="I45" s="3" t="n">
        <v>295304</v>
      </c>
      <c r="J45" s="3" t="n">
        <f aca="false">N(H45)-N(I45)</f>
        <v>0</v>
      </c>
      <c r="K45" s="14" t="s">
        <v>21</v>
      </c>
    </row>
    <row r="46" customFormat="false" ht="15" hidden="false" customHeight="false" outlineLevel="0" collapsed="false">
      <c r="A46" s="0" t="s">
        <v>110</v>
      </c>
      <c r="B46" s="0" t="s">
        <v>111</v>
      </c>
      <c r="C46" s="0" t="s">
        <v>113</v>
      </c>
      <c r="D46" s="0" t="s">
        <v>23</v>
      </c>
      <c r="E46" s="0" t="s">
        <v>433</v>
      </c>
      <c r="F46" s="15" t="n">
        <v>46310</v>
      </c>
      <c r="G46" s="14" t="s">
        <v>21</v>
      </c>
      <c r="H46" s="3" t="n">
        <v>7536080</v>
      </c>
      <c r="I46" s="3" t="n">
        <v>7536080</v>
      </c>
      <c r="J46" s="3" t="n">
        <f aca="false">N(H46)-N(I46)</f>
        <v>0</v>
      </c>
      <c r="K46" s="14" t="s">
        <v>21</v>
      </c>
    </row>
    <row r="47" customFormat="false" ht="15" hidden="false" customHeight="false" outlineLevel="0" collapsed="false">
      <c r="A47" s="0" t="s">
        <v>114</v>
      </c>
      <c r="B47" s="0" t="s">
        <v>115</v>
      </c>
      <c r="C47" s="0" t="s">
        <v>116</v>
      </c>
      <c r="D47" s="0" t="s">
        <v>23</v>
      </c>
      <c r="E47" s="0" t="s">
        <v>433</v>
      </c>
      <c r="F47" s="15" t="n">
        <v>46296</v>
      </c>
      <c r="G47" s="14" t="s">
        <v>21</v>
      </c>
      <c r="H47" s="3" t="n">
        <v>408700</v>
      </c>
      <c r="I47" s="3" t="n">
        <v>408700</v>
      </c>
      <c r="J47" s="3" t="n">
        <f aca="false">N(H47)-N(I47)</f>
        <v>0</v>
      </c>
      <c r="K47" s="14" t="s">
        <v>21</v>
      </c>
    </row>
    <row r="48" customFormat="false" ht="15" hidden="false" customHeight="false" outlineLevel="0" collapsed="false">
      <c r="A48" s="0" t="s">
        <v>117</v>
      </c>
      <c r="B48" s="0" t="s">
        <v>118</v>
      </c>
      <c r="C48" s="0" t="s">
        <v>119</v>
      </c>
      <c r="D48" s="0" t="s">
        <v>120</v>
      </c>
      <c r="E48" s="0" t="s">
        <v>433</v>
      </c>
      <c r="F48" s="15" t="n">
        <v>46314</v>
      </c>
      <c r="G48" s="14" t="s">
        <v>30</v>
      </c>
      <c r="H48" s="3" t="n">
        <v>33000</v>
      </c>
      <c r="I48" s="3"/>
      <c r="J48" s="3" t="n">
        <f aca="false">N(H48)-N(I48)</f>
        <v>33000</v>
      </c>
      <c r="K48" s="14" t="s">
        <v>37</v>
      </c>
    </row>
    <row r="49" customFormat="false" ht="15" hidden="false" customHeight="false" outlineLevel="0" collapsed="false">
      <c r="A49" s="0" t="s">
        <v>117</v>
      </c>
      <c r="B49" s="0" t="s">
        <v>118</v>
      </c>
      <c r="C49" s="0" t="s">
        <v>121</v>
      </c>
      <c r="D49" s="0" t="s">
        <v>120</v>
      </c>
      <c r="E49" s="0" t="s">
        <v>433</v>
      </c>
      <c r="F49" s="15" t="n">
        <v>46316</v>
      </c>
      <c r="G49" s="14" t="s">
        <v>30</v>
      </c>
      <c r="H49" s="3" t="n">
        <v>33000</v>
      </c>
      <c r="I49" s="3"/>
      <c r="J49" s="3" t="n">
        <f aca="false">N(H49)-N(I49)</f>
        <v>33000</v>
      </c>
      <c r="K49" s="14" t="s">
        <v>37</v>
      </c>
    </row>
    <row r="50" customFormat="false" ht="15" hidden="false" customHeight="false" outlineLevel="0" collapsed="false">
      <c r="A50" s="0" t="s">
        <v>122</v>
      </c>
      <c r="B50" s="0" t="s">
        <v>123</v>
      </c>
      <c r="C50" s="0" t="s">
        <v>124</v>
      </c>
      <c r="D50" s="0" t="s">
        <v>23</v>
      </c>
      <c r="E50" s="0" t="s">
        <v>433</v>
      </c>
      <c r="F50" s="15" t="n">
        <v>46316</v>
      </c>
      <c r="G50" s="14" t="s">
        <v>21</v>
      </c>
      <c r="H50" s="3" t="n">
        <v>89720</v>
      </c>
      <c r="I50" s="3" t="n">
        <v>89720</v>
      </c>
      <c r="J50" s="3" t="n">
        <f aca="false">N(H50)-N(I50)</f>
        <v>0</v>
      </c>
      <c r="K50" s="14" t="s">
        <v>21</v>
      </c>
    </row>
    <row r="51" customFormat="false" ht="15" hidden="false" customHeight="false" outlineLevel="0" collapsed="false">
      <c r="A51" s="0" t="s">
        <v>125</v>
      </c>
      <c r="B51" s="0" t="s">
        <v>126</v>
      </c>
      <c r="C51" s="0" t="s">
        <v>127</v>
      </c>
      <c r="D51" s="0" t="s">
        <v>23</v>
      </c>
      <c r="E51" s="0" t="s">
        <v>433</v>
      </c>
      <c r="F51" s="15" t="n">
        <v>46301</v>
      </c>
      <c r="G51" s="14" t="s">
        <v>21</v>
      </c>
      <c r="H51" s="3" t="n">
        <v>390000</v>
      </c>
      <c r="I51" s="3" t="n">
        <v>390000</v>
      </c>
      <c r="J51" s="3" t="n">
        <f aca="false">N(H51)-N(I51)</f>
        <v>0</v>
      </c>
      <c r="K51" s="14" t="s">
        <v>21</v>
      </c>
    </row>
    <row r="52" customFormat="false" ht="15" hidden="false" customHeight="false" outlineLevel="0" collapsed="false">
      <c r="A52" s="0" t="s">
        <v>128</v>
      </c>
      <c r="B52" s="0" t="s">
        <v>129</v>
      </c>
      <c r="C52" s="0" t="s">
        <v>130</v>
      </c>
      <c r="D52" s="0" t="s">
        <v>23</v>
      </c>
      <c r="E52" s="0" t="s">
        <v>433</v>
      </c>
      <c r="F52" s="15" t="n">
        <v>46311</v>
      </c>
      <c r="G52" s="14" t="s">
        <v>21</v>
      </c>
      <c r="H52" s="3" t="n">
        <v>46001.83</v>
      </c>
      <c r="I52" s="3" t="n">
        <v>46001.83</v>
      </c>
      <c r="J52" s="3" t="n">
        <f aca="false">N(H52)-N(I52)</f>
        <v>0</v>
      </c>
      <c r="K52" s="14" t="s">
        <v>21</v>
      </c>
    </row>
    <row r="53" customFormat="false" ht="15" hidden="false" customHeight="false" outlineLevel="0" collapsed="false">
      <c r="A53" s="0" t="s">
        <v>131</v>
      </c>
      <c r="B53" s="0" t="s">
        <v>132</v>
      </c>
      <c r="C53" s="0" t="s">
        <v>133</v>
      </c>
      <c r="D53" s="0" t="s">
        <v>23</v>
      </c>
      <c r="E53" s="0" t="s">
        <v>433</v>
      </c>
      <c r="F53" s="15" t="n">
        <v>46302</v>
      </c>
      <c r="G53" s="14" t="s">
        <v>21</v>
      </c>
      <c r="H53" s="3" t="n">
        <v>114609.99</v>
      </c>
      <c r="I53" s="3" t="n">
        <v>114609.99</v>
      </c>
      <c r="J53" s="3" t="n">
        <f aca="false">N(H53)-N(I53)</f>
        <v>0</v>
      </c>
      <c r="K53" s="14" t="s">
        <v>21</v>
      </c>
    </row>
    <row r="54" customFormat="false" ht="15" hidden="false" customHeight="false" outlineLevel="0" collapsed="false">
      <c r="A54" s="0" t="s">
        <v>134</v>
      </c>
      <c r="B54" s="0" t="s">
        <v>135</v>
      </c>
      <c r="C54" s="0" t="s">
        <v>136</v>
      </c>
      <c r="D54" s="0" t="s">
        <v>23</v>
      </c>
      <c r="E54" s="0" t="s">
        <v>433</v>
      </c>
      <c r="F54" s="15" t="n">
        <v>46310</v>
      </c>
      <c r="G54" s="14" t="s">
        <v>21</v>
      </c>
      <c r="H54" s="3" t="n">
        <v>104000</v>
      </c>
      <c r="I54" s="3" t="n">
        <v>104000</v>
      </c>
      <c r="J54" s="3" t="n">
        <f aca="false">N(H54)-N(I54)</f>
        <v>0</v>
      </c>
      <c r="K54" s="14" t="s">
        <v>21</v>
      </c>
    </row>
    <row r="55" customFormat="false" ht="15" hidden="false" customHeight="false" outlineLevel="0" collapsed="false">
      <c r="A55" s="0" t="s">
        <v>137</v>
      </c>
      <c r="B55" s="0" t="s">
        <v>138</v>
      </c>
      <c r="C55" s="0" t="s">
        <v>139</v>
      </c>
      <c r="D55" s="0" t="s">
        <v>23</v>
      </c>
      <c r="E55" s="0" t="s">
        <v>433</v>
      </c>
      <c r="F55" s="15" t="n">
        <v>46300</v>
      </c>
      <c r="G55" s="14" t="s">
        <v>21</v>
      </c>
      <c r="H55" s="3" t="n">
        <v>214200</v>
      </c>
      <c r="I55" s="3" t="n">
        <v>214200</v>
      </c>
      <c r="J55" s="3" t="n">
        <f aca="false">N(H55)-N(I55)</f>
        <v>0</v>
      </c>
      <c r="K55" s="14" t="s">
        <v>21</v>
      </c>
    </row>
    <row r="56" customFormat="false" ht="15" hidden="false" customHeight="false" outlineLevel="0" collapsed="false">
      <c r="A56" s="0" t="s">
        <v>137</v>
      </c>
      <c r="B56" s="0" t="s">
        <v>138</v>
      </c>
      <c r="C56" s="0" t="s">
        <v>140</v>
      </c>
      <c r="D56" s="0" t="s">
        <v>23</v>
      </c>
      <c r="E56" s="0" t="s">
        <v>433</v>
      </c>
      <c r="F56" s="15" t="n">
        <v>46300</v>
      </c>
      <c r="G56" s="14" t="s">
        <v>21</v>
      </c>
      <c r="H56" s="3" t="n">
        <v>368543</v>
      </c>
      <c r="I56" s="3" t="n">
        <v>368543</v>
      </c>
      <c r="J56" s="3" t="n">
        <f aca="false">N(H56)-N(I56)</f>
        <v>0</v>
      </c>
      <c r="K56" s="14" t="s">
        <v>21</v>
      </c>
    </row>
    <row r="57" customFormat="false" ht="15" hidden="false" customHeight="false" outlineLevel="0" collapsed="false">
      <c r="A57" s="0" t="s">
        <v>141</v>
      </c>
      <c r="B57" s="0" t="s">
        <v>142</v>
      </c>
      <c r="C57" s="0" t="s">
        <v>143</v>
      </c>
      <c r="D57" s="0" t="s">
        <v>23</v>
      </c>
      <c r="E57" s="0" t="s">
        <v>433</v>
      </c>
      <c r="F57" s="15" t="n">
        <v>46302</v>
      </c>
      <c r="G57" s="14" t="s">
        <v>21</v>
      </c>
      <c r="H57" s="3" t="n">
        <v>1120500</v>
      </c>
      <c r="I57" s="3" t="n">
        <v>1120500</v>
      </c>
      <c r="J57" s="3" t="n">
        <f aca="false">N(H57)-N(I57)</f>
        <v>0</v>
      </c>
      <c r="K57" s="14" t="s">
        <v>21</v>
      </c>
    </row>
    <row r="58" customFormat="false" ht="15" hidden="false" customHeight="false" outlineLevel="0" collapsed="false">
      <c r="A58" s="0" t="s">
        <v>144</v>
      </c>
      <c r="B58" s="0" t="s">
        <v>145</v>
      </c>
      <c r="C58" s="0" t="s">
        <v>146</v>
      </c>
      <c r="D58" s="0" t="s">
        <v>23</v>
      </c>
      <c r="E58" s="0" t="s">
        <v>433</v>
      </c>
      <c r="F58" s="15" t="n">
        <v>46308</v>
      </c>
      <c r="G58" s="14" t="s">
        <v>21</v>
      </c>
      <c r="H58" s="3" t="n">
        <v>954751.28</v>
      </c>
      <c r="I58" s="3" t="n">
        <v>954751.28</v>
      </c>
      <c r="J58" s="3" t="n">
        <f aca="false">N(H58)-N(I58)</f>
        <v>0</v>
      </c>
      <c r="K58" s="14" t="s">
        <v>21</v>
      </c>
    </row>
    <row r="59" customFormat="false" ht="15" hidden="false" customHeight="false" outlineLevel="0" collapsed="false">
      <c r="A59" s="0" t="s">
        <v>147</v>
      </c>
      <c r="B59" s="0" t="s">
        <v>148</v>
      </c>
      <c r="C59" s="0" t="s">
        <v>149</v>
      </c>
      <c r="D59" s="0" t="s">
        <v>23</v>
      </c>
      <c r="E59" s="0" t="s">
        <v>433</v>
      </c>
      <c r="F59" s="15" t="n">
        <v>46315</v>
      </c>
      <c r="G59" s="14" t="s">
        <v>30</v>
      </c>
      <c r="H59" s="3" t="n">
        <v>2400</v>
      </c>
      <c r="I59" s="3"/>
      <c r="J59" s="3" t="n">
        <f aca="false">N(H59)-N(I59)</f>
        <v>2400</v>
      </c>
      <c r="K59" s="14" t="s">
        <v>37</v>
      </c>
    </row>
    <row r="60" customFormat="false" ht="15" hidden="false" customHeight="false" outlineLevel="0" collapsed="false">
      <c r="A60" s="0" t="s">
        <v>150</v>
      </c>
      <c r="B60" s="0" t="s">
        <v>151</v>
      </c>
      <c r="C60" s="0" t="s">
        <v>152</v>
      </c>
      <c r="D60" s="0" t="s">
        <v>23</v>
      </c>
      <c r="E60" s="0" t="s">
        <v>433</v>
      </c>
      <c r="F60" s="15" t="n">
        <v>46308</v>
      </c>
      <c r="G60" s="14" t="s">
        <v>21</v>
      </c>
      <c r="H60" s="3" t="n">
        <v>8806000</v>
      </c>
      <c r="I60" s="3" t="n">
        <v>8806000</v>
      </c>
      <c r="J60" s="3" t="n">
        <f aca="false">N(H60)-N(I60)</f>
        <v>0</v>
      </c>
      <c r="K60" s="14" t="s">
        <v>21</v>
      </c>
    </row>
    <row r="61" customFormat="false" ht="15" hidden="false" customHeight="false" outlineLevel="0" collapsed="false">
      <c r="A61" s="0" t="s">
        <v>153</v>
      </c>
      <c r="B61" s="0" t="s">
        <v>154</v>
      </c>
      <c r="C61" s="0" t="s">
        <v>156</v>
      </c>
      <c r="D61" s="0" t="s">
        <v>23</v>
      </c>
      <c r="E61" s="0" t="s">
        <v>433</v>
      </c>
      <c r="F61" s="15" t="n">
        <v>46296</v>
      </c>
      <c r="G61" s="14" t="s">
        <v>21</v>
      </c>
      <c r="H61" s="3" t="n">
        <v>100361.63</v>
      </c>
      <c r="I61" s="3" t="n">
        <v>100361.63</v>
      </c>
      <c r="J61" s="3" t="n">
        <f aca="false">N(H61)-N(I61)</f>
        <v>0</v>
      </c>
      <c r="K61" s="14" t="s">
        <v>27</v>
      </c>
    </row>
    <row r="62" customFormat="false" ht="15" hidden="false" customHeight="false" outlineLevel="0" collapsed="false">
      <c r="A62" s="0" t="s">
        <v>153</v>
      </c>
      <c r="B62" s="0" t="s">
        <v>154</v>
      </c>
      <c r="C62" s="0" t="s">
        <v>157</v>
      </c>
      <c r="D62" s="0" t="s">
        <v>23</v>
      </c>
      <c r="E62" s="0" t="s">
        <v>433</v>
      </c>
      <c r="F62" s="15" t="n">
        <v>46301</v>
      </c>
      <c r="G62" s="14" t="s">
        <v>21</v>
      </c>
      <c r="H62" s="3" t="n">
        <v>15083.25</v>
      </c>
      <c r="I62" s="3" t="n">
        <v>15083.25</v>
      </c>
      <c r="J62" s="3" t="n">
        <f aca="false">N(H62)-N(I62)</f>
        <v>0</v>
      </c>
      <c r="K62" s="14" t="s">
        <v>27</v>
      </c>
    </row>
    <row r="63" customFormat="false" ht="15" hidden="false" customHeight="false" outlineLevel="0" collapsed="false">
      <c r="A63" s="0" t="s">
        <v>153</v>
      </c>
      <c r="B63" s="0" t="s">
        <v>154</v>
      </c>
      <c r="C63" s="0" t="s">
        <v>158</v>
      </c>
      <c r="D63" s="0" t="s">
        <v>23</v>
      </c>
      <c r="E63" s="0" t="s">
        <v>433</v>
      </c>
      <c r="F63" s="15" t="n">
        <v>46304</v>
      </c>
      <c r="G63" s="14" t="s">
        <v>21</v>
      </c>
      <c r="H63" s="3" t="n">
        <v>211785.79</v>
      </c>
      <c r="I63" s="3" t="n">
        <v>211785.79</v>
      </c>
      <c r="J63" s="3" t="n">
        <f aca="false">N(H63)-N(I63)</f>
        <v>0</v>
      </c>
      <c r="K63" s="14" t="s">
        <v>27</v>
      </c>
    </row>
    <row r="64" customFormat="false" ht="15" hidden="false" customHeight="false" outlineLevel="0" collapsed="false">
      <c r="A64" s="0" t="s">
        <v>153</v>
      </c>
      <c r="B64" s="0" t="s">
        <v>154</v>
      </c>
      <c r="C64" s="0" t="s">
        <v>159</v>
      </c>
      <c r="D64" s="0" t="s">
        <v>23</v>
      </c>
      <c r="E64" s="0" t="s">
        <v>433</v>
      </c>
      <c r="F64" s="15" t="n">
        <v>46309</v>
      </c>
      <c r="G64" s="14" t="s">
        <v>21</v>
      </c>
      <c r="H64" s="3" t="n">
        <v>681832.76</v>
      </c>
      <c r="I64" s="3" t="n">
        <v>681832.76</v>
      </c>
      <c r="J64" s="3" t="n">
        <f aca="false">N(H64)-N(I64)</f>
        <v>0</v>
      </c>
      <c r="K64" s="14" t="s">
        <v>27</v>
      </c>
    </row>
    <row r="65" customFormat="false" ht="15" hidden="false" customHeight="false" outlineLevel="0" collapsed="false">
      <c r="A65" s="0" t="s">
        <v>153</v>
      </c>
      <c r="B65" s="0" t="s">
        <v>154</v>
      </c>
      <c r="C65" s="0" t="s">
        <v>160</v>
      </c>
      <c r="D65" s="0" t="s">
        <v>39</v>
      </c>
      <c r="E65" s="0" t="s">
        <v>434</v>
      </c>
      <c r="F65" s="15" t="n">
        <v>46317</v>
      </c>
      <c r="G65" s="14" t="s">
        <v>30</v>
      </c>
      <c r="H65" s="3" t="n">
        <v>100362</v>
      </c>
      <c r="I65" s="3"/>
      <c r="J65" s="3" t="n">
        <f aca="false">N(H65)-N(I65)</f>
        <v>100362</v>
      </c>
      <c r="K65" s="14" t="s">
        <v>27</v>
      </c>
    </row>
    <row r="66" customFormat="false" ht="15" hidden="false" customHeight="false" outlineLevel="0" collapsed="false">
      <c r="A66" s="0" t="s">
        <v>153</v>
      </c>
      <c r="B66" s="0" t="s">
        <v>154</v>
      </c>
      <c r="C66" s="0" t="s">
        <v>161</v>
      </c>
      <c r="D66" s="0" t="s">
        <v>23</v>
      </c>
      <c r="E66" s="0" t="s">
        <v>433</v>
      </c>
      <c r="F66" s="15" t="n">
        <v>46317</v>
      </c>
      <c r="G66" s="14" t="s">
        <v>21</v>
      </c>
      <c r="H66" s="3" t="n">
        <v>50917.13</v>
      </c>
      <c r="I66" s="3" t="n">
        <v>50917.13</v>
      </c>
      <c r="J66" s="3" t="n">
        <f aca="false">N(H66)-N(I66)</f>
        <v>0</v>
      </c>
      <c r="K66" s="14" t="s">
        <v>27</v>
      </c>
    </row>
    <row r="67" customFormat="false" ht="15" hidden="false" customHeight="false" outlineLevel="0" collapsed="false">
      <c r="A67" s="0" t="s">
        <v>162</v>
      </c>
      <c r="B67" s="0" t="s">
        <v>163</v>
      </c>
      <c r="C67" s="0" t="s">
        <v>164</v>
      </c>
      <c r="D67" s="0" t="s">
        <v>23</v>
      </c>
      <c r="E67" s="0" t="s">
        <v>433</v>
      </c>
      <c r="F67" s="15" t="n">
        <v>46304</v>
      </c>
      <c r="G67" s="14" t="s">
        <v>21</v>
      </c>
      <c r="H67" s="3" t="n">
        <v>14900</v>
      </c>
      <c r="I67" s="3" t="n">
        <v>14900</v>
      </c>
      <c r="J67" s="3" t="n">
        <f aca="false">N(H67)-N(I67)</f>
        <v>0</v>
      </c>
      <c r="K67" s="14" t="s">
        <v>21</v>
      </c>
    </row>
    <row r="68" customFormat="false" ht="15" hidden="false" customHeight="false" outlineLevel="0" collapsed="false">
      <c r="A68" s="0" t="s">
        <v>165</v>
      </c>
      <c r="B68" s="0" t="s">
        <v>166</v>
      </c>
      <c r="C68" s="0" t="s">
        <v>167</v>
      </c>
      <c r="D68" s="0" t="s">
        <v>23</v>
      </c>
      <c r="E68" s="0" t="s">
        <v>433</v>
      </c>
      <c r="F68" s="15" t="n">
        <v>46309</v>
      </c>
      <c r="G68" s="14" t="s">
        <v>30</v>
      </c>
      <c r="H68" s="3" t="n">
        <v>111472.99</v>
      </c>
      <c r="I68" s="3"/>
      <c r="J68" s="3" t="n">
        <f aca="false">N(H68)-N(I68)</f>
        <v>111472.99</v>
      </c>
      <c r="K68" s="14" t="s">
        <v>37</v>
      </c>
    </row>
    <row r="69" customFormat="false" ht="15" hidden="false" customHeight="false" outlineLevel="0" collapsed="false">
      <c r="A69" s="0" t="s">
        <v>168</v>
      </c>
      <c r="B69" s="0" t="s">
        <v>169</v>
      </c>
      <c r="C69" s="0" t="s">
        <v>170</v>
      </c>
      <c r="D69" s="0" t="s">
        <v>23</v>
      </c>
      <c r="E69" s="0" t="s">
        <v>433</v>
      </c>
      <c r="F69" s="15" t="n">
        <v>46300</v>
      </c>
      <c r="G69" s="14" t="s">
        <v>30</v>
      </c>
      <c r="H69" s="3" t="n">
        <v>16387</v>
      </c>
      <c r="I69" s="3"/>
      <c r="J69" s="3" t="n">
        <f aca="false">N(H69)-N(I69)</f>
        <v>16387</v>
      </c>
      <c r="K69" s="14" t="s">
        <v>37</v>
      </c>
    </row>
    <row r="70" customFormat="false" ht="15" hidden="false" customHeight="false" outlineLevel="0" collapsed="false">
      <c r="A70" s="0" t="s">
        <v>168</v>
      </c>
      <c r="B70" s="0" t="s">
        <v>169</v>
      </c>
      <c r="C70" s="0" t="s">
        <v>171</v>
      </c>
      <c r="D70" s="0" t="s">
        <v>23</v>
      </c>
      <c r="E70" s="0" t="s">
        <v>433</v>
      </c>
      <c r="F70" s="15" t="n">
        <v>46300</v>
      </c>
      <c r="G70" s="14" t="s">
        <v>30</v>
      </c>
      <c r="H70" s="3" t="n">
        <v>428400</v>
      </c>
      <c r="I70" s="3"/>
      <c r="J70" s="3" t="n">
        <f aca="false">N(H70)-N(I70)</f>
        <v>428400</v>
      </c>
      <c r="K70" s="14" t="s">
        <v>37</v>
      </c>
    </row>
    <row r="71" customFormat="false" ht="15" hidden="false" customHeight="false" outlineLevel="0" collapsed="false">
      <c r="A71" s="0" t="s">
        <v>168</v>
      </c>
      <c r="B71" s="0" t="s">
        <v>169</v>
      </c>
      <c r="C71" s="0" t="s">
        <v>172</v>
      </c>
      <c r="D71" s="0" t="s">
        <v>23</v>
      </c>
      <c r="E71" s="0" t="s">
        <v>433</v>
      </c>
      <c r="F71" s="15" t="n">
        <v>46300</v>
      </c>
      <c r="G71" s="14" t="s">
        <v>30</v>
      </c>
      <c r="H71" s="3" t="n">
        <v>189867</v>
      </c>
      <c r="I71" s="3"/>
      <c r="J71" s="3" t="n">
        <f aca="false">N(H71)-N(I71)</f>
        <v>189867</v>
      </c>
      <c r="K71" s="14" t="s">
        <v>37</v>
      </c>
    </row>
    <row r="72" customFormat="false" ht="15" hidden="false" customHeight="false" outlineLevel="0" collapsed="false">
      <c r="A72" s="0" t="s">
        <v>168</v>
      </c>
      <c r="B72" s="0" t="s">
        <v>169</v>
      </c>
      <c r="C72" s="0" t="s">
        <v>173</v>
      </c>
      <c r="D72" s="0" t="s">
        <v>23</v>
      </c>
      <c r="E72" s="0" t="s">
        <v>433</v>
      </c>
      <c r="F72" s="15" t="n">
        <v>46303</v>
      </c>
      <c r="G72" s="14" t="s">
        <v>30</v>
      </c>
      <c r="H72" s="3" t="n">
        <v>968223</v>
      </c>
      <c r="I72" s="3"/>
      <c r="J72" s="3" t="n">
        <f aca="false">N(H72)-N(I72)</f>
        <v>968223</v>
      </c>
      <c r="K72" s="14" t="s">
        <v>37</v>
      </c>
    </row>
    <row r="73" customFormat="false" ht="15" hidden="false" customHeight="false" outlineLevel="0" collapsed="false">
      <c r="A73" s="0" t="s">
        <v>168</v>
      </c>
      <c r="B73" s="0" t="s">
        <v>169</v>
      </c>
      <c r="C73" s="0" t="s">
        <v>174</v>
      </c>
      <c r="D73" s="0" t="s">
        <v>175</v>
      </c>
      <c r="E73" s="0" t="s">
        <v>433</v>
      </c>
      <c r="F73" s="15" t="n">
        <v>46308</v>
      </c>
      <c r="G73" s="14" t="s">
        <v>30</v>
      </c>
      <c r="H73" s="3" t="n">
        <v>3076676</v>
      </c>
      <c r="I73" s="3"/>
      <c r="J73" s="3" t="n">
        <f aca="false">N(H73)-N(I73)</f>
        <v>3076676</v>
      </c>
      <c r="K73" s="14" t="s">
        <v>37</v>
      </c>
    </row>
    <row r="74" customFormat="false" ht="15" hidden="false" customHeight="false" outlineLevel="0" collapsed="false">
      <c r="A74" s="0" t="s">
        <v>168</v>
      </c>
      <c r="B74" s="0" t="s">
        <v>169</v>
      </c>
      <c r="C74" s="0" t="s">
        <v>176</v>
      </c>
      <c r="D74" s="0" t="s">
        <v>175</v>
      </c>
      <c r="E74" s="0" t="s">
        <v>433</v>
      </c>
      <c r="F74" s="15" t="n">
        <v>46308</v>
      </c>
      <c r="G74" s="14" t="s">
        <v>30</v>
      </c>
      <c r="H74" s="3" t="n">
        <v>612451</v>
      </c>
      <c r="I74" s="3"/>
      <c r="J74" s="3" t="n">
        <f aca="false">N(H74)-N(I74)</f>
        <v>612451</v>
      </c>
      <c r="K74" s="14" t="s">
        <v>37</v>
      </c>
    </row>
    <row r="75" customFormat="false" ht="15" hidden="false" customHeight="false" outlineLevel="0" collapsed="false">
      <c r="A75" s="0" t="s">
        <v>177</v>
      </c>
      <c r="B75" s="0" t="s">
        <v>178</v>
      </c>
      <c r="C75" s="0" t="s">
        <v>179</v>
      </c>
      <c r="D75" s="0" t="s">
        <v>39</v>
      </c>
      <c r="E75" s="0" t="s">
        <v>434</v>
      </c>
      <c r="F75" s="15" t="n">
        <v>46316</v>
      </c>
      <c r="G75" s="14" t="s">
        <v>30</v>
      </c>
      <c r="H75" s="3" t="n">
        <v>9898594</v>
      </c>
      <c r="I75" s="3"/>
      <c r="J75" s="3" t="n">
        <f aca="false">N(H75)-N(I75)</f>
        <v>9898594</v>
      </c>
      <c r="K75" s="14" t="s">
        <v>37</v>
      </c>
    </row>
    <row r="76" customFormat="false" ht="15" hidden="false" customHeight="false" outlineLevel="0" collapsed="false">
      <c r="A76" s="0" t="s">
        <v>180</v>
      </c>
      <c r="B76" s="0" t="s">
        <v>181</v>
      </c>
      <c r="C76" s="0" t="s">
        <v>182</v>
      </c>
      <c r="D76" s="0" t="s">
        <v>39</v>
      </c>
      <c r="E76" s="0" t="s">
        <v>434</v>
      </c>
      <c r="F76" s="15" t="n">
        <v>46302</v>
      </c>
      <c r="G76" s="14" t="s">
        <v>30</v>
      </c>
      <c r="H76" s="3" t="n">
        <v>25250</v>
      </c>
      <c r="I76" s="3"/>
      <c r="J76" s="3" t="n">
        <f aca="false">N(H76)-N(I76)</f>
        <v>25250</v>
      </c>
      <c r="K76" s="14" t="s">
        <v>37</v>
      </c>
    </row>
    <row r="77" customFormat="false" ht="15" hidden="false" customHeight="false" outlineLevel="0" collapsed="false">
      <c r="A77" s="0" t="s">
        <v>180</v>
      </c>
      <c r="B77" s="0" t="s">
        <v>181</v>
      </c>
      <c r="C77" s="0" t="s">
        <v>183</v>
      </c>
      <c r="D77" s="0" t="s">
        <v>39</v>
      </c>
      <c r="E77" s="0" t="s">
        <v>434</v>
      </c>
      <c r="F77" s="15" t="n">
        <v>46302</v>
      </c>
      <c r="G77" s="14" t="s">
        <v>30</v>
      </c>
      <c r="H77" s="3" t="n">
        <v>29900</v>
      </c>
      <c r="I77" s="3"/>
      <c r="J77" s="3" t="n">
        <f aca="false">N(H77)-N(I77)</f>
        <v>29900</v>
      </c>
      <c r="K77" s="14" t="s">
        <v>37</v>
      </c>
    </row>
    <row r="78" customFormat="false" ht="15" hidden="false" customHeight="false" outlineLevel="0" collapsed="false">
      <c r="A78" s="0" t="s">
        <v>184</v>
      </c>
      <c r="B78" s="0" t="s">
        <v>185</v>
      </c>
      <c r="C78" s="0" t="s">
        <v>186</v>
      </c>
      <c r="D78" s="0" t="s">
        <v>23</v>
      </c>
      <c r="E78" s="0" t="s">
        <v>433</v>
      </c>
      <c r="F78" s="15" t="n">
        <v>46297</v>
      </c>
      <c r="G78" s="14" t="s">
        <v>21</v>
      </c>
      <c r="H78" s="3" t="n">
        <v>4042161.06</v>
      </c>
      <c r="I78" s="3" t="n">
        <v>4042161.06</v>
      </c>
      <c r="J78" s="3" t="n">
        <f aca="false">N(H78)-N(I78)</f>
        <v>0</v>
      </c>
      <c r="K78" s="14" t="s">
        <v>21</v>
      </c>
    </row>
    <row r="79" customFormat="false" ht="15" hidden="false" customHeight="false" outlineLevel="0" collapsed="false">
      <c r="A79" s="0" t="s">
        <v>187</v>
      </c>
      <c r="B79" s="0" t="s">
        <v>188</v>
      </c>
      <c r="C79" s="0" t="s">
        <v>189</v>
      </c>
      <c r="D79" s="0" t="s">
        <v>23</v>
      </c>
      <c r="E79" s="0" t="s">
        <v>433</v>
      </c>
      <c r="F79" s="15" t="n">
        <v>46296</v>
      </c>
      <c r="G79" s="14" t="s">
        <v>21</v>
      </c>
      <c r="H79" s="3" t="n">
        <v>63070000</v>
      </c>
      <c r="I79" s="3" t="n">
        <v>63070000</v>
      </c>
      <c r="J79" s="3" t="n">
        <f aca="false">N(H79)-N(I79)</f>
        <v>0</v>
      </c>
      <c r="K79" s="14" t="s">
        <v>21</v>
      </c>
    </row>
    <row r="80" customFormat="false" ht="15" hidden="false" customHeight="false" outlineLevel="0" collapsed="false">
      <c r="A80" s="0" t="s">
        <v>190</v>
      </c>
      <c r="B80" s="0" t="s">
        <v>191</v>
      </c>
      <c r="C80" s="0" t="s">
        <v>192</v>
      </c>
      <c r="D80" s="0" t="s">
        <v>17</v>
      </c>
      <c r="E80" s="0" t="s">
        <v>432</v>
      </c>
      <c r="F80" s="15" t="n">
        <v>46296</v>
      </c>
      <c r="G80" s="14" t="s">
        <v>18</v>
      </c>
      <c r="H80" s="3"/>
      <c r="I80" s="3" t="n">
        <v>91238</v>
      </c>
      <c r="J80" s="3" t="n">
        <f aca="false">N(H80)-N(I80)</f>
        <v>-91238</v>
      </c>
      <c r="K80" s="14" t="s">
        <v>15</v>
      </c>
    </row>
    <row r="81" customFormat="false" ht="15" hidden="false" customHeight="false" outlineLevel="0" collapsed="false">
      <c r="A81" s="0" t="s">
        <v>190</v>
      </c>
      <c r="B81" s="0" t="s">
        <v>191</v>
      </c>
      <c r="C81" s="0" t="s">
        <v>193</v>
      </c>
      <c r="D81" s="0" t="s">
        <v>17</v>
      </c>
      <c r="E81" s="0" t="s">
        <v>432</v>
      </c>
      <c r="F81" s="15" t="n">
        <v>46296</v>
      </c>
      <c r="G81" s="14" t="s">
        <v>18</v>
      </c>
      <c r="H81" s="3"/>
      <c r="I81" s="3" t="n">
        <v>57693</v>
      </c>
      <c r="J81" s="3" t="n">
        <f aca="false">N(H81)-N(I81)</f>
        <v>-57693</v>
      </c>
      <c r="K81" s="14" t="s">
        <v>15</v>
      </c>
    </row>
    <row r="82" customFormat="false" ht="15" hidden="false" customHeight="false" outlineLevel="0" collapsed="false">
      <c r="A82" s="0" t="s">
        <v>194</v>
      </c>
      <c r="B82" s="0" t="s">
        <v>195</v>
      </c>
      <c r="C82" s="0" t="s">
        <v>196</v>
      </c>
      <c r="D82" s="0" t="s">
        <v>23</v>
      </c>
      <c r="E82" s="0" t="s">
        <v>433</v>
      </c>
      <c r="F82" s="15" t="n">
        <v>46302</v>
      </c>
      <c r="G82" s="14" t="s">
        <v>21</v>
      </c>
      <c r="H82" s="3" t="n">
        <v>1666000</v>
      </c>
      <c r="I82" s="3" t="n">
        <v>1666000</v>
      </c>
      <c r="J82" s="3" t="n">
        <f aca="false">N(H82)-N(I82)</f>
        <v>0</v>
      </c>
      <c r="K82" s="14" t="s">
        <v>21</v>
      </c>
    </row>
    <row r="83" customFormat="false" ht="15" hidden="false" customHeight="false" outlineLevel="0" collapsed="false">
      <c r="A83" s="0" t="s">
        <v>197</v>
      </c>
      <c r="B83" s="0" t="s">
        <v>198</v>
      </c>
      <c r="C83" s="0" t="s">
        <v>199</v>
      </c>
      <c r="D83" s="0" t="s">
        <v>39</v>
      </c>
      <c r="E83" s="0" t="s">
        <v>434</v>
      </c>
      <c r="F83" s="15" t="n">
        <v>46317</v>
      </c>
      <c r="G83" s="14" t="s">
        <v>30</v>
      </c>
      <c r="H83" s="3" t="n">
        <v>15000</v>
      </c>
      <c r="I83" s="3"/>
      <c r="J83" s="3" t="n">
        <f aca="false">N(H83)-N(I83)</f>
        <v>15000</v>
      </c>
      <c r="K83" s="14" t="s">
        <v>37</v>
      </c>
    </row>
    <row r="84" customFormat="false" ht="15" hidden="false" customHeight="false" outlineLevel="0" collapsed="false">
      <c r="A84" s="0" t="s">
        <v>200</v>
      </c>
      <c r="B84" s="0" t="s">
        <v>201</v>
      </c>
      <c r="C84" s="0" t="s">
        <v>202</v>
      </c>
      <c r="D84" s="0" t="s">
        <v>23</v>
      </c>
      <c r="E84" s="0" t="s">
        <v>433</v>
      </c>
      <c r="F84" s="15" t="n">
        <v>46316</v>
      </c>
      <c r="G84" s="14" t="s">
        <v>21</v>
      </c>
      <c r="H84" s="3" t="n">
        <v>19000</v>
      </c>
      <c r="I84" s="3" t="n">
        <v>19000</v>
      </c>
      <c r="J84" s="3" t="n">
        <f aca="false">N(H84)-N(I84)</f>
        <v>0</v>
      </c>
      <c r="K84" s="14" t="s">
        <v>21</v>
      </c>
    </row>
    <row r="85" customFormat="false" ht="15" hidden="false" customHeight="false" outlineLevel="0" collapsed="false">
      <c r="A85" s="0" t="s">
        <v>203</v>
      </c>
      <c r="B85" s="0" t="s">
        <v>204</v>
      </c>
      <c r="C85" s="0" t="s">
        <v>205</v>
      </c>
      <c r="D85" s="0" t="s">
        <v>23</v>
      </c>
      <c r="E85" s="0" t="s">
        <v>433</v>
      </c>
      <c r="F85" s="15" t="n">
        <v>46298</v>
      </c>
      <c r="G85" s="14" t="s">
        <v>21</v>
      </c>
      <c r="H85" s="3" t="n">
        <v>3276502</v>
      </c>
      <c r="I85" s="3" t="n">
        <v>3276502</v>
      </c>
      <c r="J85" s="3" t="n">
        <f aca="false">N(H85)-N(I85)</f>
        <v>0</v>
      </c>
      <c r="K85" s="14" t="s">
        <v>27</v>
      </c>
    </row>
    <row r="86" customFormat="false" ht="15" hidden="false" customHeight="false" outlineLevel="0" collapsed="false">
      <c r="A86" s="0" t="s">
        <v>203</v>
      </c>
      <c r="B86" s="0" t="s">
        <v>204</v>
      </c>
      <c r="C86" s="0" t="s">
        <v>206</v>
      </c>
      <c r="D86" s="0" t="s">
        <v>45</v>
      </c>
      <c r="E86" s="0" t="s">
        <v>433</v>
      </c>
      <c r="F86" s="15" t="n">
        <v>46302</v>
      </c>
      <c r="G86" s="14" t="s">
        <v>30</v>
      </c>
      <c r="H86" s="3" t="n">
        <v>-115352</v>
      </c>
      <c r="I86" s="3"/>
      <c r="J86" s="3" t="n">
        <f aca="false">N(H86)-N(I86)</f>
        <v>-115352</v>
      </c>
      <c r="K86" s="14" t="s">
        <v>27</v>
      </c>
    </row>
    <row r="87" customFormat="false" ht="15" hidden="false" customHeight="false" outlineLevel="0" collapsed="false">
      <c r="A87" s="0" t="s">
        <v>203</v>
      </c>
      <c r="B87" s="0" t="s">
        <v>204</v>
      </c>
      <c r="C87" s="0" t="s">
        <v>207</v>
      </c>
      <c r="D87" s="0" t="s">
        <v>23</v>
      </c>
      <c r="E87" s="0" t="s">
        <v>433</v>
      </c>
      <c r="F87" s="15" t="n">
        <v>46303</v>
      </c>
      <c r="G87" s="14" t="s">
        <v>21</v>
      </c>
      <c r="H87" s="3" t="n">
        <v>290191</v>
      </c>
      <c r="I87" s="3" t="n">
        <v>290191</v>
      </c>
      <c r="J87" s="3" t="n">
        <f aca="false">N(H87)-N(I87)</f>
        <v>0</v>
      </c>
      <c r="K87" s="14" t="s">
        <v>27</v>
      </c>
    </row>
    <row r="88" customFormat="false" ht="15" hidden="false" customHeight="false" outlineLevel="0" collapsed="false">
      <c r="A88" s="0" t="s">
        <v>208</v>
      </c>
      <c r="B88" s="0" t="s">
        <v>209</v>
      </c>
      <c r="C88" s="0" t="s">
        <v>210</v>
      </c>
      <c r="D88" s="0" t="s">
        <v>23</v>
      </c>
      <c r="E88" s="0" t="s">
        <v>433</v>
      </c>
      <c r="F88" s="15" t="n">
        <v>46297</v>
      </c>
      <c r="G88" s="14" t="s">
        <v>21</v>
      </c>
      <c r="H88" s="3" t="n">
        <v>168000</v>
      </c>
      <c r="I88" s="3" t="n">
        <v>168000</v>
      </c>
      <c r="J88" s="3" t="n">
        <f aca="false">N(H88)-N(I88)</f>
        <v>0</v>
      </c>
      <c r="K88" s="14" t="s">
        <v>27</v>
      </c>
    </row>
    <row r="89" customFormat="false" ht="15" hidden="false" customHeight="false" outlineLevel="0" collapsed="false">
      <c r="A89" s="0" t="s">
        <v>208</v>
      </c>
      <c r="B89" s="0" t="s">
        <v>209</v>
      </c>
      <c r="C89" s="0" t="s">
        <v>211</v>
      </c>
      <c r="D89" s="0" t="s">
        <v>45</v>
      </c>
      <c r="E89" s="0" t="s">
        <v>433</v>
      </c>
      <c r="F89" s="15" t="n">
        <v>46301</v>
      </c>
      <c r="G89" s="14" t="s">
        <v>30</v>
      </c>
      <c r="H89" s="3" t="n">
        <v>-168000</v>
      </c>
      <c r="I89" s="3"/>
      <c r="J89" s="3" t="n">
        <f aca="false">N(H89)-N(I89)</f>
        <v>-168000</v>
      </c>
      <c r="K89" s="14" t="s">
        <v>27</v>
      </c>
    </row>
    <row r="90" customFormat="false" ht="15" hidden="false" customHeight="false" outlineLevel="0" collapsed="false">
      <c r="A90" s="0" t="s">
        <v>212</v>
      </c>
      <c r="B90" s="0" t="s">
        <v>213</v>
      </c>
      <c r="C90" s="0" t="s">
        <v>214</v>
      </c>
      <c r="D90" s="0" t="s">
        <v>23</v>
      </c>
      <c r="E90" s="0" t="s">
        <v>433</v>
      </c>
      <c r="F90" s="15" t="n">
        <v>46312</v>
      </c>
      <c r="G90" s="14" t="s">
        <v>21</v>
      </c>
      <c r="H90" s="3" t="n">
        <v>1630300</v>
      </c>
      <c r="I90" s="3" t="n">
        <v>1630300</v>
      </c>
      <c r="J90" s="3" t="n">
        <f aca="false">N(H90)-N(I90)</f>
        <v>0</v>
      </c>
      <c r="K90" s="14" t="s">
        <v>21</v>
      </c>
    </row>
    <row r="91" customFormat="false" ht="15" hidden="false" customHeight="false" outlineLevel="0" collapsed="false">
      <c r="A91" s="0" t="s">
        <v>215</v>
      </c>
      <c r="B91" s="0" t="s">
        <v>216</v>
      </c>
      <c r="C91" s="0" t="s">
        <v>217</v>
      </c>
      <c r="D91" s="0" t="s">
        <v>23</v>
      </c>
      <c r="E91" s="0" t="s">
        <v>433</v>
      </c>
      <c r="F91" s="15" t="n">
        <v>46309</v>
      </c>
      <c r="G91" s="14" t="s">
        <v>21</v>
      </c>
      <c r="H91" s="3" t="n">
        <v>45000</v>
      </c>
      <c r="I91" s="3" t="n">
        <v>45000</v>
      </c>
      <c r="J91" s="3" t="n">
        <f aca="false">N(H91)-N(I91)</f>
        <v>0</v>
      </c>
      <c r="K91" s="14" t="s">
        <v>21</v>
      </c>
    </row>
    <row r="92" customFormat="false" ht="15" hidden="false" customHeight="false" outlineLevel="0" collapsed="false">
      <c r="A92" s="0" t="s">
        <v>218</v>
      </c>
      <c r="B92" s="0" t="s">
        <v>219</v>
      </c>
      <c r="C92" s="0" t="s">
        <v>220</v>
      </c>
      <c r="D92" s="0" t="s">
        <v>23</v>
      </c>
      <c r="E92" s="0" t="s">
        <v>433</v>
      </c>
      <c r="F92" s="15" t="n">
        <v>46296</v>
      </c>
      <c r="G92" s="14" t="s">
        <v>21</v>
      </c>
      <c r="H92" s="3" t="n">
        <v>190749.86</v>
      </c>
      <c r="I92" s="3" t="n">
        <v>190749.86</v>
      </c>
      <c r="J92" s="3" t="n">
        <f aca="false">N(H92)-N(I92)</f>
        <v>0</v>
      </c>
      <c r="K92" s="14" t="s">
        <v>21</v>
      </c>
    </row>
    <row r="93" customFormat="false" ht="15" hidden="false" customHeight="false" outlineLevel="0" collapsed="false">
      <c r="A93" s="0" t="s">
        <v>221</v>
      </c>
      <c r="B93" s="0" t="s">
        <v>222</v>
      </c>
      <c r="C93" s="0" t="s">
        <v>223</v>
      </c>
      <c r="D93" s="0" t="s">
        <v>23</v>
      </c>
      <c r="E93" s="0" t="s">
        <v>433</v>
      </c>
      <c r="F93" s="15" t="n">
        <v>46315</v>
      </c>
      <c r="G93" s="14" t="s">
        <v>21</v>
      </c>
      <c r="H93" s="3" t="n">
        <v>241570</v>
      </c>
      <c r="I93" s="3" t="n">
        <v>241570</v>
      </c>
      <c r="J93" s="3" t="n">
        <f aca="false">N(H93)-N(I93)</f>
        <v>0</v>
      </c>
      <c r="K93" s="14" t="s">
        <v>21</v>
      </c>
    </row>
    <row r="94" customFormat="false" ht="15" hidden="false" customHeight="false" outlineLevel="0" collapsed="false">
      <c r="A94" s="0" t="s">
        <v>224</v>
      </c>
      <c r="B94" s="0" t="s">
        <v>225</v>
      </c>
      <c r="C94" s="0" t="s">
        <v>226</v>
      </c>
      <c r="D94" s="0" t="s">
        <v>39</v>
      </c>
      <c r="E94" s="0" t="s">
        <v>434</v>
      </c>
      <c r="F94" s="15" t="n">
        <v>46302</v>
      </c>
      <c r="G94" s="14" t="s">
        <v>30</v>
      </c>
      <c r="H94" s="3" t="n">
        <v>1420000</v>
      </c>
      <c r="I94" s="3"/>
      <c r="J94" s="3" t="n">
        <f aca="false">N(H94)-N(I94)</f>
        <v>1420000</v>
      </c>
      <c r="K94" s="14" t="s">
        <v>37</v>
      </c>
    </row>
    <row r="95" customFormat="false" ht="15" hidden="false" customHeight="false" outlineLevel="0" collapsed="false">
      <c r="A95" s="0" t="s">
        <v>227</v>
      </c>
      <c r="B95" s="0" t="s">
        <v>228</v>
      </c>
      <c r="C95" s="0" t="s">
        <v>229</v>
      </c>
      <c r="D95" s="0" t="s">
        <v>39</v>
      </c>
      <c r="E95" s="0" t="s">
        <v>434</v>
      </c>
      <c r="F95" s="15" t="n">
        <v>46302</v>
      </c>
      <c r="G95" s="14" t="s">
        <v>30</v>
      </c>
      <c r="H95" s="3" t="n">
        <v>91600</v>
      </c>
      <c r="I95" s="3"/>
      <c r="J95" s="3" t="n">
        <f aca="false">N(H95)-N(I95)</f>
        <v>91600</v>
      </c>
      <c r="K95" s="14" t="s">
        <v>37</v>
      </c>
    </row>
    <row r="96" customFormat="false" ht="15" hidden="false" customHeight="false" outlineLevel="0" collapsed="false">
      <c r="A96" s="0" t="s">
        <v>227</v>
      </c>
      <c r="B96" s="0" t="s">
        <v>228</v>
      </c>
      <c r="C96" s="0" t="s">
        <v>230</v>
      </c>
      <c r="D96" s="0" t="s">
        <v>39</v>
      </c>
      <c r="E96" s="0" t="s">
        <v>434</v>
      </c>
      <c r="F96" s="15" t="n">
        <v>46317</v>
      </c>
      <c r="G96" s="14" t="s">
        <v>30</v>
      </c>
      <c r="H96" s="3" t="n">
        <v>54000</v>
      </c>
      <c r="I96" s="3"/>
      <c r="J96" s="3" t="n">
        <f aca="false">N(H96)-N(I96)</f>
        <v>54000</v>
      </c>
      <c r="K96" s="14" t="s">
        <v>37</v>
      </c>
    </row>
    <row r="97" customFormat="false" ht="15" hidden="false" customHeight="false" outlineLevel="0" collapsed="false">
      <c r="A97" s="0" t="s">
        <v>231</v>
      </c>
      <c r="B97" s="0" t="s">
        <v>232</v>
      </c>
      <c r="C97" s="0" t="s">
        <v>233</v>
      </c>
      <c r="D97" s="0" t="s">
        <v>23</v>
      </c>
      <c r="E97" s="0" t="s">
        <v>433</v>
      </c>
      <c r="F97" s="15" t="n">
        <v>46300</v>
      </c>
      <c r="G97" s="14" t="s">
        <v>21</v>
      </c>
      <c r="H97" s="3" t="n">
        <v>20000</v>
      </c>
      <c r="I97" s="3" t="n">
        <v>20000</v>
      </c>
      <c r="J97" s="3" t="n">
        <f aca="false">N(H97)-N(I97)</f>
        <v>0</v>
      </c>
      <c r="K97" s="14" t="s">
        <v>21</v>
      </c>
    </row>
    <row r="98" customFormat="false" ht="15" hidden="false" customHeight="false" outlineLevel="0" collapsed="false">
      <c r="A98" s="0" t="s">
        <v>231</v>
      </c>
      <c r="B98" s="0" t="s">
        <v>232</v>
      </c>
      <c r="C98" s="0" t="s">
        <v>234</v>
      </c>
      <c r="D98" s="0" t="s">
        <v>23</v>
      </c>
      <c r="E98" s="0" t="s">
        <v>433</v>
      </c>
      <c r="F98" s="15" t="n">
        <v>46310</v>
      </c>
      <c r="G98" s="14" t="s">
        <v>21</v>
      </c>
      <c r="H98" s="3" t="n">
        <v>20000</v>
      </c>
      <c r="I98" s="3" t="n">
        <v>20000</v>
      </c>
      <c r="J98" s="3" t="n">
        <f aca="false">N(H98)-N(I98)</f>
        <v>0</v>
      </c>
      <c r="K98" s="14" t="s">
        <v>21</v>
      </c>
    </row>
    <row r="99" customFormat="false" ht="15" hidden="false" customHeight="false" outlineLevel="0" collapsed="false">
      <c r="A99" s="0" t="s">
        <v>231</v>
      </c>
      <c r="B99" s="0" t="s">
        <v>232</v>
      </c>
      <c r="C99" s="0" t="s">
        <v>235</v>
      </c>
      <c r="D99" s="0" t="s">
        <v>23</v>
      </c>
      <c r="E99" s="0" t="s">
        <v>433</v>
      </c>
      <c r="F99" s="15" t="n">
        <v>46310</v>
      </c>
      <c r="G99" s="14" t="s">
        <v>21</v>
      </c>
      <c r="H99" s="3" t="n">
        <v>20000</v>
      </c>
      <c r="I99" s="3" t="n">
        <v>20000</v>
      </c>
      <c r="J99" s="3" t="n">
        <f aca="false">N(H99)-N(I99)</f>
        <v>0</v>
      </c>
      <c r="K99" s="14" t="s">
        <v>21</v>
      </c>
    </row>
    <row r="100" customFormat="false" ht="15" hidden="false" customHeight="false" outlineLevel="0" collapsed="false">
      <c r="A100" s="0" t="s">
        <v>236</v>
      </c>
      <c r="B100" s="0" t="s">
        <v>237</v>
      </c>
      <c r="C100" s="0" t="s">
        <v>238</v>
      </c>
      <c r="D100" s="0" t="s">
        <v>23</v>
      </c>
      <c r="E100" s="0" t="s">
        <v>433</v>
      </c>
      <c r="F100" s="15" t="n">
        <v>46297</v>
      </c>
      <c r="G100" s="14" t="s">
        <v>21</v>
      </c>
      <c r="H100" s="3" t="n">
        <v>93300</v>
      </c>
      <c r="I100" s="3" t="n">
        <v>93300</v>
      </c>
      <c r="J100" s="3" t="n">
        <f aca="false">N(H100)-N(I100)</f>
        <v>0</v>
      </c>
      <c r="K100" s="14" t="s">
        <v>21</v>
      </c>
    </row>
    <row r="101" customFormat="false" ht="15" hidden="false" customHeight="false" outlineLevel="0" collapsed="false">
      <c r="A101" s="0" t="s">
        <v>236</v>
      </c>
      <c r="B101" s="0" t="s">
        <v>237</v>
      </c>
      <c r="C101" s="0" t="s">
        <v>239</v>
      </c>
      <c r="D101" s="0" t="s">
        <v>23</v>
      </c>
      <c r="E101" s="0" t="s">
        <v>433</v>
      </c>
      <c r="F101" s="15" t="n">
        <v>46298</v>
      </c>
      <c r="G101" s="14" t="s">
        <v>21</v>
      </c>
      <c r="H101" s="3" t="n">
        <v>88100</v>
      </c>
      <c r="I101" s="3" t="n">
        <v>88100</v>
      </c>
      <c r="J101" s="3" t="n">
        <f aca="false">N(H101)-N(I101)</f>
        <v>0</v>
      </c>
      <c r="K101" s="14" t="s">
        <v>21</v>
      </c>
    </row>
    <row r="102" customFormat="false" ht="15" hidden="false" customHeight="false" outlineLevel="0" collapsed="false">
      <c r="A102" s="0" t="s">
        <v>240</v>
      </c>
      <c r="B102" s="0" t="s">
        <v>241</v>
      </c>
      <c r="C102" s="0" t="s">
        <v>242</v>
      </c>
      <c r="D102" s="0" t="s">
        <v>23</v>
      </c>
      <c r="E102" s="0" t="s">
        <v>433</v>
      </c>
      <c r="F102" s="15" t="n">
        <v>46316</v>
      </c>
      <c r="G102" s="14" t="s">
        <v>21</v>
      </c>
      <c r="H102" s="3" t="n">
        <v>212000</v>
      </c>
      <c r="I102" s="3" t="n">
        <v>212000</v>
      </c>
      <c r="J102" s="3" t="n">
        <f aca="false">N(H102)-N(I102)</f>
        <v>0</v>
      </c>
      <c r="K102" s="14" t="s">
        <v>21</v>
      </c>
    </row>
    <row r="103" customFormat="false" ht="15" hidden="false" customHeight="false" outlineLevel="0" collapsed="false">
      <c r="A103" s="0" t="s">
        <v>243</v>
      </c>
      <c r="B103" s="0" t="s">
        <v>244</v>
      </c>
      <c r="C103" s="0" t="s">
        <v>245</v>
      </c>
      <c r="D103" s="0" t="s">
        <v>39</v>
      </c>
      <c r="E103" s="0" t="s">
        <v>434</v>
      </c>
      <c r="F103" s="15" t="n">
        <v>46302</v>
      </c>
      <c r="G103" s="14" t="s">
        <v>30</v>
      </c>
      <c r="H103" s="3" t="n">
        <v>5800000</v>
      </c>
      <c r="I103" s="3"/>
      <c r="J103" s="3" t="n">
        <f aca="false">N(H103)-N(I103)</f>
        <v>5800000</v>
      </c>
      <c r="K103" s="14" t="s">
        <v>37</v>
      </c>
    </row>
    <row r="104" customFormat="false" ht="15" hidden="false" customHeight="false" outlineLevel="0" collapsed="false">
      <c r="A104" s="0" t="s">
        <v>246</v>
      </c>
      <c r="B104" s="0" t="s">
        <v>247</v>
      </c>
      <c r="C104" s="0" t="s">
        <v>248</v>
      </c>
      <c r="D104" s="0" t="s">
        <v>23</v>
      </c>
      <c r="E104" s="0" t="s">
        <v>433</v>
      </c>
      <c r="F104" s="15" t="n">
        <v>46310</v>
      </c>
      <c r="G104" s="14" t="s">
        <v>21</v>
      </c>
      <c r="H104" s="3" t="n">
        <v>4000000</v>
      </c>
      <c r="I104" s="3" t="n">
        <v>4000000</v>
      </c>
      <c r="J104" s="3" t="n">
        <f aca="false">N(H104)-N(I104)</f>
        <v>0</v>
      </c>
      <c r="K104" s="14" t="s">
        <v>21</v>
      </c>
    </row>
    <row r="105" customFormat="false" ht="15" hidden="false" customHeight="false" outlineLevel="0" collapsed="false">
      <c r="A105" s="0" t="s">
        <v>246</v>
      </c>
      <c r="B105" s="0" t="s">
        <v>247</v>
      </c>
      <c r="C105" s="0" t="s">
        <v>249</v>
      </c>
      <c r="D105" s="0" t="s">
        <v>23</v>
      </c>
      <c r="E105" s="0" t="s">
        <v>433</v>
      </c>
      <c r="F105" s="15" t="n">
        <v>46310</v>
      </c>
      <c r="G105" s="14" t="s">
        <v>21</v>
      </c>
      <c r="H105" s="3" t="n">
        <v>17000000</v>
      </c>
      <c r="I105" s="3" t="n">
        <v>17000000</v>
      </c>
      <c r="J105" s="3" t="n">
        <f aca="false">N(H105)-N(I105)</f>
        <v>0</v>
      </c>
      <c r="K105" s="14" t="s">
        <v>21</v>
      </c>
    </row>
    <row r="106" customFormat="false" ht="15" hidden="false" customHeight="false" outlineLevel="0" collapsed="false">
      <c r="A106" s="0" t="s">
        <v>246</v>
      </c>
      <c r="B106" s="0" t="s">
        <v>247</v>
      </c>
      <c r="C106" s="0" t="s">
        <v>250</v>
      </c>
      <c r="D106" s="0" t="s">
        <v>23</v>
      </c>
      <c r="E106" s="0" t="s">
        <v>433</v>
      </c>
      <c r="F106" s="15" t="n">
        <v>46310</v>
      </c>
      <c r="G106" s="14" t="s">
        <v>21</v>
      </c>
      <c r="H106" s="3" t="n">
        <v>2379000</v>
      </c>
      <c r="I106" s="3" t="n">
        <v>2379000</v>
      </c>
      <c r="J106" s="3" t="n">
        <f aca="false">N(H106)-N(I106)</f>
        <v>0</v>
      </c>
      <c r="K106" s="14" t="s">
        <v>21</v>
      </c>
    </row>
    <row r="107" customFormat="false" ht="15" hidden="false" customHeight="false" outlineLevel="0" collapsed="false">
      <c r="A107" s="0" t="s">
        <v>251</v>
      </c>
      <c r="B107" s="0" t="s">
        <v>252</v>
      </c>
      <c r="C107" s="0" t="s">
        <v>253</v>
      </c>
      <c r="D107" s="0" t="s">
        <v>23</v>
      </c>
      <c r="E107" s="0" t="s">
        <v>433</v>
      </c>
      <c r="F107" s="15" t="n">
        <v>46297</v>
      </c>
      <c r="G107" s="14" t="s">
        <v>30</v>
      </c>
      <c r="H107" s="3" t="n">
        <v>3564000</v>
      </c>
      <c r="I107" s="3"/>
      <c r="J107" s="3" t="n">
        <f aca="false">N(H107)-N(I107)</f>
        <v>3564000</v>
      </c>
      <c r="K107" s="14" t="s">
        <v>37</v>
      </c>
    </row>
    <row r="108" customFormat="false" ht="15" hidden="false" customHeight="false" outlineLevel="0" collapsed="false">
      <c r="A108" s="0" t="s">
        <v>254</v>
      </c>
      <c r="B108" s="0" t="s">
        <v>255</v>
      </c>
      <c r="C108" s="0" t="s">
        <v>256</v>
      </c>
      <c r="D108" s="0" t="s">
        <v>23</v>
      </c>
      <c r="E108" s="0" t="s">
        <v>433</v>
      </c>
      <c r="F108" s="15" t="n">
        <v>46304</v>
      </c>
      <c r="G108" s="14" t="s">
        <v>21</v>
      </c>
      <c r="H108" s="3" t="n">
        <v>150000</v>
      </c>
      <c r="I108" s="3" t="n">
        <v>150000</v>
      </c>
      <c r="J108" s="3" t="n">
        <f aca="false">N(H108)-N(I108)</f>
        <v>0</v>
      </c>
      <c r="K108" s="14" t="s">
        <v>21</v>
      </c>
    </row>
    <row r="109" customFormat="false" ht="15" hidden="false" customHeight="false" outlineLevel="0" collapsed="false">
      <c r="A109" s="0" t="s">
        <v>257</v>
      </c>
      <c r="B109" s="0" t="s">
        <v>258</v>
      </c>
      <c r="C109" s="0" t="s">
        <v>259</v>
      </c>
      <c r="D109" s="0" t="s">
        <v>39</v>
      </c>
      <c r="E109" s="0" t="s">
        <v>434</v>
      </c>
      <c r="F109" s="15" t="n">
        <v>46316</v>
      </c>
      <c r="G109" s="14" t="s">
        <v>30</v>
      </c>
      <c r="H109" s="3" t="n">
        <v>1500000</v>
      </c>
      <c r="I109" s="3"/>
      <c r="J109" s="3" t="n">
        <f aca="false">N(H109)-N(I109)</f>
        <v>1500000</v>
      </c>
      <c r="K109" s="14" t="s">
        <v>37</v>
      </c>
    </row>
    <row r="110" customFormat="false" ht="15" hidden="false" customHeight="false" outlineLevel="0" collapsed="false">
      <c r="A110" s="0" t="s">
        <v>260</v>
      </c>
      <c r="B110" s="0" t="s">
        <v>261</v>
      </c>
      <c r="C110" s="0" t="s">
        <v>262</v>
      </c>
      <c r="D110" s="0" t="s">
        <v>17</v>
      </c>
      <c r="E110" s="0" t="s">
        <v>432</v>
      </c>
      <c r="F110" s="15" t="n">
        <v>46318</v>
      </c>
      <c r="G110" s="14" t="s">
        <v>18</v>
      </c>
      <c r="H110" s="3"/>
      <c r="I110" s="3" t="n">
        <v>40850</v>
      </c>
      <c r="J110" s="3" t="n">
        <f aca="false">N(H110)-N(I110)</f>
        <v>-40850</v>
      </c>
      <c r="K110" s="14" t="s">
        <v>15</v>
      </c>
    </row>
    <row r="111" customFormat="false" ht="15" hidden="false" customHeight="false" outlineLevel="0" collapsed="false">
      <c r="A111" s="0" t="s">
        <v>263</v>
      </c>
      <c r="B111" s="0" t="s">
        <v>264</v>
      </c>
      <c r="C111" s="0" t="s">
        <v>265</v>
      </c>
      <c r="D111" s="0" t="s">
        <v>23</v>
      </c>
      <c r="E111" s="0" t="s">
        <v>433</v>
      </c>
      <c r="F111" s="15" t="n">
        <v>46301</v>
      </c>
      <c r="G111" s="14" t="s">
        <v>30</v>
      </c>
      <c r="H111" s="3" t="n">
        <v>25300</v>
      </c>
      <c r="I111" s="3"/>
      <c r="J111" s="3" t="n">
        <f aca="false">N(H111)-N(I111)</f>
        <v>25300</v>
      </c>
      <c r="K111" s="14" t="s">
        <v>37</v>
      </c>
    </row>
    <row r="112" customFormat="false" ht="15" hidden="false" customHeight="false" outlineLevel="0" collapsed="false">
      <c r="A112" s="0" t="s">
        <v>263</v>
      </c>
      <c r="B112" s="0" t="s">
        <v>264</v>
      </c>
      <c r="C112" s="0" t="s">
        <v>266</v>
      </c>
      <c r="D112" s="0" t="s">
        <v>23</v>
      </c>
      <c r="E112" s="0" t="s">
        <v>433</v>
      </c>
      <c r="F112" s="15" t="n">
        <v>46317</v>
      </c>
      <c r="G112" s="14" t="s">
        <v>30</v>
      </c>
      <c r="H112" s="3" t="n">
        <v>58226</v>
      </c>
      <c r="I112" s="3"/>
      <c r="J112" s="3" t="n">
        <f aca="false">N(H112)-N(I112)</f>
        <v>58226</v>
      </c>
      <c r="K112" s="14" t="s">
        <v>37</v>
      </c>
    </row>
    <row r="113" customFormat="false" ht="15" hidden="false" customHeight="false" outlineLevel="0" collapsed="false">
      <c r="A113" s="0" t="s">
        <v>267</v>
      </c>
      <c r="B113" s="0" t="s">
        <v>268</v>
      </c>
      <c r="C113" s="0" t="s">
        <v>269</v>
      </c>
      <c r="D113" s="0" t="s">
        <v>270</v>
      </c>
      <c r="E113" s="0" t="s">
        <v>433</v>
      </c>
      <c r="F113" s="15" t="n">
        <v>46316</v>
      </c>
      <c r="G113" s="14" t="s">
        <v>30</v>
      </c>
      <c r="H113" s="3" t="n">
        <v>28901</v>
      </c>
      <c r="I113" s="3"/>
      <c r="J113" s="3" t="n">
        <f aca="false">N(H113)-N(I113)</f>
        <v>28901</v>
      </c>
      <c r="K113" s="14" t="s">
        <v>37</v>
      </c>
    </row>
    <row r="114" customFormat="false" ht="15" hidden="false" customHeight="false" outlineLevel="0" collapsed="false">
      <c r="A114" s="0" t="s">
        <v>267</v>
      </c>
      <c r="B114" s="0" t="s">
        <v>268</v>
      </c>
      <c r="C114" s="0" t="s">
        <v>271</v>
      </c>
      <c r="D114" s="0" t="s">
        <v>270</v>
      </c>
      <c r="E114" s="0" t="s">
        <v>433</v>
      </c>
      <c r="F114" s="15" t="n">
        <v>46316</v>
      </c>
      <c r="G114" s="14" t="s">
        <v>30</v>
      </c>
      <c r="H114" s="3" t="n">
        <v>28901</v>
      </c>
      <c r="I114" s="3"/>
      <c r="J114" s="3" t="n">
        <f aca="false">N(H114)-N(I114)</f>
        <v>28901</v>
      </c>
      <c r="K114" s="14" t="s">
        <v>37</v>
      </c>
    </row>
    <row r="115" customFormat="false" ht="15" hidden="false" customHeight="false" outlineLevel="0" collapsed="false">
      <c r="A115" s="0" t="s">
        <v>267</v>
      </c>
      <c r="B115" s="0" t="s">
        <v>268</v>
      </c>
      <c r="C115" s="0" t="s">
        <v>272</v>
      </c>
      <c r="D115" s="0" t="s">
        <v>270</v>
      </c>
      <c r="E115" s="0" t="s">
        <v>433</v>
      </c>
      <c r="F115" s="15" t="n">
        <v>46316</v>
      </c>
      <c r="G115" s="14" t="s">
        <v>30</v>
      </c>
      <c r="H115" s="3" t="n">
        <v>28902</v>
      </c>
      <c r="I115" s="3"/>
      <c r="J115" s="3" t="n">
        <f aca="false">N(H115)-N(I115)</f>
        <v>28902</v>
      </c>
      <c r="K115" s="14" t="s">
        <v>37</v>
      </c>
    </row>
    <row r="116" customFormat="false" ht="15" hidden="false" customHeight="false" outlineLevel="0" collapsed="false">
      <c r="A116" s="0" t="s">
        <v>273</v>
      </c>
      <c r="B116" s="0" t="s">
        <v>274</v>
      </c>
      <c r="C116" s="0" t="s">
        <v>275</v>
      </c>
      <c r="D116" s="0" t="s">
        <v>23</v>
      </c>
      <c r="E116" s="0" t="s">
        <v>433</v>
      </c>
      <c r="F116" s="15" t="n">
        <v>46302</v>
      </c>
      <c r="G116" s="14" t="s">
        <v>21</v>
      </c>
      <c r="H116" s="3" t="n">
        <v>110000.03</v>
      </c>
      <c r="I116" s="3" t="n">
        <v>110000.03</v>
      </c>
      <c r="J116" s="3" t="n">
        <f aca="false">N(H116)-N(I116)</f>
        <v>0</v>
      </c>
      <c r="K116" s="14" t="s">
        <v>21</v>
      </c>
    </row>
    <row r="117" customFormat="false" ht="15" hidden="false" customHeight="false" outlineLevel="0" collapsed="false">
      <c r="A117" s="0" t="s">
        <v>276</v>
      </c>
      <c r="B117" s="0" t="s">
        <v>277</v>
      </c>
      <c r="C117" s="0" t="s">
        <v>278</v>
      </c>
      <c r="D117" s="0" t="s">
        <v>39</v>
      </c>
      <c r="E117" s="0" t="s">
        <v>434</v>
      </c>
      <c r="F117" s="15" t="n">
        <v>46317</v>
      </c>
      <c r="G117" s="14" t="s">
        <v>30</v>
      </c>
      <c r="H117" s="3" t="n">
        <v>742000</v>
      </c>
      <c r="I117" s="3"/>
      <c r="J117" s="3" t="n">
        <f aca="false">N(H117)-N(I117)</f>
        <v>742000</v>
      </c>
      <c r="K117" s="14" t="s">
        <v>37</v>
      </c>
    </row>
    <row r="118" customFormat="false" ht="15" hidden="false" customHeight="false" outlineLevel="0" collapsed="false">
      <c r="A118" s="0" t="s">
        <v>279</v>
      </c>
      <c r="B118" s="0" t="s">
        <v>280</v>
      </c>
      <c r="C118" s="0" t="s">
        <v>281</v>
      </c>
      <c r="D118" s="0" t="s">
        <v>23</v>
      </c>
      <c r="E118" s="0" t="s">
        <v>433</v>
      </c>
      <c r="F118" s="15" t="n">
        <v>46296</v>
      </c>
      <c r="G118" s="14" t="s">
        <v>30</v>
      </c>
      <c r="H118" s="3" t="n">
        <v>953971</v>
      </c>
      <c r="I118" s="3"/>
      <c r="J118" s="3" t="n">
        <f aca="false">N(H118)-N(I118)</f>
        <v>953971</v>
      </c>
      <c r="K118" s="14" t="s">
        <v>27</v>
      </c>
    </row>
    <row r="119" customFormat="false" ht="15" hidden="false" customHeight="false" outlineLevel="0" collapsed="false">
      <c r="A119" s="0" t="s">
        <v>279</v>
      </c>
      <c r="B119" s="0" t="s">
        <v>280</v>
      </c>
      <c r="C119" s="0" t="s">
        <v>282</v>
      </c>
      <c r="D119" s="0" t="s">
        <v>23</v>
      </c>
      <c r="E119" s="0" t="s">
        <v>433</v>
      </c>
      <c r="F119" s="15" t="n">
        <v>46311</v>
      </c>
      <c r="G119" s="14" t="s">
        <v>21</v>
      </c>
      <c r="H119" s="3" t="n">
        <v>641810</v>
      </c>
      <c r="I119" s="3" t="n">
        <v>641810</v>
      </c>
      <c r="J119" s="3" t="n">
        <f aca="false">N(H119)-N(I119)</f>
        <v>0</v>
      </c>
      <c r="K119" s="14" t="s">
        <v>27</v>
      </c>
    </row>
    <row r="120" customFormat="false" ht="15" hidden="false" customHeight="false" outlineLevel="0" collapsed="false">
      <c r="A120" s="0" t="s">
        <v>283</v>
      </c>
      <c r="B120" s="0" t="s">
        <v>284</v>
      </c>
      <c r="C120" s="0" t="s">
        <v>285</v>
      </c>
      <c r="D120" s="0" t="s">
        <v>23</v>
      </c>
      <c r="E120" s="0" t="s">
        <v>433</v>
      </c>
      <c r="F120" s="15" t="n">
        <v>46309</v>
      </c>
      <c r="G120" s="14" t="s">
        <v>21</v>
      </c>
      <c r="H120" s="3" t="n">
        <v>18000</v>
      </c>
      <c r="I120" s="3" t="n">
        <v>18000</v>
      </c>
      <c r="J120" s="3" t="n">
        <f aca="false">N(H120)-N(I120)</f>
        <v>0</v>
      </c>
      <c r="K120" s="14" t="s">
        <v>21</v>
      </c>
    </row>
    <row r="121" customFormat="false" ht="15" hidden="false" customHeight="false" outlineLevel="0" collapsed="false">
      <c r="A121" s="0" t="s">
        <v>286</v>
      </c>
      <c r="B121" s="0" t="s">
        <v>287</v>
      </c>
      <c r="C121" s="0" t="s">
        <v>288</v>
      </c>
      <c r="D121" s="0" t="s">
        <v>39</v>
      </c>
      <c r="E121" s="0" t="s">
        <v>434</v>
      </c>
      <c r="F121" s="15" t="n">
        <v>46302</v>
      </c>
      <c r="G121" s="14" t="s">
        <v>30</v>
      </c>
      <c r="H121" s="3" t="n">
        <v>1450000</v>
      </c>
      <c r="I121" s="3"/>
      <c r="J121" s="3" t="n">
        <f aca="false">N(H121)-N(I121)</f>
        <v>1450000</v>
      </c>
      <c r="K121" s="14" t="s">
        <v>37</v>
      </c>
    </row>
    <row r="122" customFormat="false" ht="15" hidden="false" customHeight="false" outlineLevel="0" collapsed="false">
      <c r="A122" s="0" t="s">
        <v>289</v>
      </c>
      <c r="B122" s="0" t="s">
        <v>290</v>
      </c>
      <c r="C122" s="0" t="s">
        <v>291</v>
      </c>
      <c r="D122" s="0" t="s">
        <v>23</v>
      </c>
      <c r="E122" s="0" t="s">
        <v>433</v>
      </c>
      <c r="F122" s="15" t="n">
        <v>46309</v>
      </c>
      <c r="G122" s="14" t="s">
        <v>21</v>
      </c>
      <c r="H122" s="3" t="n">
        <v>2975000</v>
      </c>
      <c r="I122" s="3" t="n">
        <v>2975000</v>
      </c>
      <c r="J122" s="3" t="n">
        <f aca="false">N(H122)-N(I122)</f>
        <v>0</v>
      </c>
      <c r="K122" s="14" t="s">
        <v>21</v>
      </c>
    </row>
    <row r="123" customFormat="false" ht="15" hidden="false" customHeight="false" outlineLevel="0" collapsed="false">
      <c r="A123" s="0" t="s">
        <v>292</v>
      </c>
      <c r="B123" s="0" t="s">
        <v>293</v>
      </c>
      <c r="C123" s="0" t="s">
        <v>294</v>
      </c>
      <c r="D123" s="0" t="s">
        <v>39</v>
      </c>
      <c r="E123" s="0" t="s">
        <v>434</v>
      </c>
      <c r="F123" s="15" t="n">
        <v>46310</v>
      </c>
      <c r="G123" s="14" t="s">
        <v>30</v>
      </c>
      <c r="H123" s="3" t="n">
        <v>500000</v>
      </c>
      <c r="I123" s="3"/>
      <c r="J123" s="3" t="n">
        <f aca="false">N(H123)-N(I123)</f>
        <v>500000</v>
      </c>
      <c r="K123" s="14" t="s">
        <v>37</v>
      </c>
    </row>
    <row r="124" customFormat="false" ht="15" hidden="false" customHeight="false" outlineLevel="0" collapsed="false">
      <c r="A124" s="0" t="s">
        <v>295</v>
      </c>
      <c r="B124" s="0" t="s">
        <v>296</v>
      </c>
      <c r="C124" s="0" t="s">
        <v>298</v>
      </c>
      <c r="D124" s="0" t="s">
        <v>23</v>
      </c>
      <c r="E124" s="0" t="s">
        <v>433</v>
      </c>
      <c r="F124" s="15" t="n">
        <v>46296</v>
      </c>
      <c r="G124" s="14" t="s">
        <v>30</v>
      </c>
      <c r="H124" s="3" t="n">
        <v>5700</v>
      </c>
      <c r="I124" s="3"/>
      <c r="J124" s="3" t="n">
        <f aca="false">N(H124)-N(I124)</f>
        <v>5700</v>
      </c>
      <c r="K124" s="14" t="s">
        <v>37</v>
      </c>
    </row>
    <row r="125" customFormat="false" ht="15" hidden="false" customHeight="false" outlineLevel="0" collapsed="false">
      <c r="A125" s="0" t="s">
        <v>295</v>
      </c>
      <c r="B125" s="0" t="s">
        <v>296</v>
      </c>
      <c r="C125" s="0" t="s">
        <v>299</v>
      </c>
      <c r="D125" s="0" t="s">
        <v>23</v>
      </c>
      <c r="E125" s="0" t="s">
        <v>433</v>
      </c>
      <c r="F125" s="15" t="n">
        <v>46297</v>
      </c>
      <c r="G125" s="14" t="s">
        <v>30</v>
      </c>
      <c r="H125" s="3" t="n">
        <v>13200</v>
      </c>
      <c r="I125" s="3"/>
      <c r="J125" s="3" t="n">
        <f aca="false">N(H125)-N(I125)</f>
        <v>13200</v>
      </c>
      <c r="K125" s="14" t="s">
        <v>37</v>
      </c>
    </row>
    <row r="126" customFormat="false" ht="15" hidden="false" customHeight="false" outlineLevel="0" collapsed="false">
      <c r="A126" s="0" t="s">
        <v>295</v>
      </c>
      <c r="B126" s="0" t="s">
        <v>296</v>
      </c>
      <c r="C126" s="0" t="s">
        <v>300</v>
      </c>
      <c r="D126" s="0" t="s">
        <v>23</v>
      </c>
      <c r="E126" s="0" t="s">
        <v>433</v>
      </c>
      <c r="F126" s="15" t="n">
        <v>46298</v>
      </c>
      <c r="G126" s="14" t="s">
        <v>30</v>
      </c>
      <c r="H126" s="3" t="n">
        <v>13200</v>
      </c>
      <c r="I126" s="3"/>
      <c r="J126" s="3" t="n">
        <f aca="false">N(H126)-N(I126)</f>
        <v>13200</v>
      </c>
      <c r="K126" s="14" t="s">
        <v>37</v>
      </c>
    </row>
    <row r="127" customFormat="false" ht="15" hidden="false" customHeight="false" outlineLevel="0" collapsed="false">
      <c r="A127" s="0" t="s">
        <v>295</v>
      </c>
      <c r="B127" s="0" t="s">
        <v>296</v>
      </c>
      <c r="C127" s="0" t="s">
        <v>301</v>
      </c>
      <c r="D127" s="0" t="s">
        <v>23</v>
      </c>
      <c r="E127" s="0" t="s">
        <v>433</v>
      </c>
      <c r="F127" s="15" t="n">
        <v>46298</v>
      </c>
      <c r="G127" s="14" t="s">
        <v>30</v>
      </c>
      <c r="H127" s="3" t="n">
        <v>13200</v>
      </c>
      <c r="I127" s="3"/>
      <c r="J127" s="3" t="n">
        <f aca="false">N(H127)-N(I127)</f>
        <v>13200</v>
      </c>
      <c r="K127" s="14" t="s">
        <v>37</v>
      </c>
    </row>
    <row r="128" customFormat="false" ht="15" hidden="false" customHeight="false" outlineLevel="0" collapsed="false">
      <c r="A128" s="0" t="s">
        <v>295</v>
      </c>
      <c r="B128" s="0" t="s">
        <v>296</v>
      </c>
      <c r="C128" s="0" t="s">
        <v>302</v>
      </c>
      <c r="D128" s="0" t="s">
        <v>23</v>
      </c>
      <c r="E128" s="0" t="s">
        <v>433</v>
      </c>
      <c r="F128" s="15" t="n">
        <v>46305</v>
      </c>
      <c r="G128" s="14" t="s">
        <v>30</v>
      </c>
      <c r="H128" s="3" t="n">
        <v>13200</v>
      </c>
      <c r="I128" s="3"/>
      <c r="J128" s="3" t="n">
        <f aca="false">N(H128)-N(I128)</f>
        <v>13200</v>
      </c>
      <c r="K128" s="14" t="s">
        <v>37</v>
      </c>
    </row>
    <row r="129" customFormat="false" ht="15" hidden="false" customHeight="false" outlineLevel="0" collapsed="false">
      <c r="A129" s="0" t="s">
        <v>295</v>
      </c>
      <c r="B129" s="0" t="s">
        <v>296</v>
      </c>
      <c r="C129" s="0" t="s">
        <v>303</v>
      </c>
      <c r="D129" s="0" t="s">
        <v>23</v>
      </c>
      <c r="E129" s="0" t="s">
        <v>433</v>
      </c>
      <c r="F129" s="15" t="n">
        <v>46307</v>
      </c>
      <c r="G129" s="14" t="s">
        <v>30</v>
      </c>
      <c r="H129" s="3" t="n">
        <v>7160</v>
      </c>
      <c r="I129" s="3"/>
      <c r="J129" s="3" t="n">
        <f aca="false">N(H129)-N(I129)</f>
        <v>7160</v>
      </c>
      <c r="K129" s="14" t="s">
        <v>37</v>
      </c>
    </row>
    <row r="130" customFormat="false" ht="15" hidden="false" customHeight="false" outlineLevel="0" collapsed="false">
      <c r="A130" s="0" t="s">
        <v>295</v>
      </c>
      <c r="B130" s="0" t="s">
        <v>296</v>
      </c>
      <c r="C130" s="0" t="s">
        <v>304</v>
      </c>
      <c r="D130" s="0" t="s">
        <v>23</v>
      </c>
      <c r="E130" s="0" t="s">
        <v>433</v>
      </c>
      <c r="F130" s="15" t="n">
        <v>46308</v>
      </c>
      <c r="G130" s="14" t="s">
        <v>30</v>
      </c>
      <c r="H130" s="3" t="n">
        <v>5700</v>
      </c>
      <c r="I130" s="3"/>
      <c r="J130" s="3" t="n">
        <f aca="false">N(H130)-N(I130)</f>
        <v>5700</v>
      </c>
      <c r="K130" s="14" t="s">
        <v>37</v>
      </c>
    </row>
    <row r="131" customFormat="false" ht="15" hidden="false" customHeight="false" outlineLevel="0" collapsed="false">
      <c r="A131" s="0" t="s">
        <v>295</v>
      </c>
      <c r="B131" s="0" t="s">
        <v>296</v>
      </c>
      <c r="C131" s="0" t="s">
        <v>305</v>
      </c>
      <c r="D131" s="0" t="s">
        <v>23</v>
      </c>
      <c r="E131" s="0" t="s">
        <v>433</v>
      </c>
      <c r="F131" s="15" t="n">
        <v>46309</v>
      </c>
      <c r="G131" s="14" t="s">
        <v>30</v>
      </c>
      <c r="H131" s="3" t="n">
        <v>5700</v>
      </c>
      <c r="I131" s="3"/>
      <c r="J131" s="3" t="n">
        <f aca="false">N(H131)-N(I131)</f>
        <v>5700</v>
      </c>
      <c r="K131" s="14" t="s">
        <v>37</v>
      </c>
    </row>
    <row r="132" customFormat="false" ht="15" hidden="false" customHeight="false" outlineLevel="0" collapsed="false">
      <c r="A132" s="0" t="s">
        <v>295</v>
      </c>
      <c r="B132" s="0" t="s">
        <v>296</v>
      </c>
      <c r="C132" s="0" t="s">
        <v>306</v>
      </c>
      <c r="D132" s="0" t="s">
        <v>23</v>
      </c>
      <c r="E132" s="0" t="s">
        <v>433</v>
      </c>
      <c r="F132" s="15" t="n">
        <v>46312</v>
      </c>
      <c r="G132" s="14" t="s">
        <v>30</v>
      </c>
      <c r="H132" s="3" t="n">
        <v>13200</v>
      </c>
      <c r="I132" s="3"/>
      <c r="J132" s="3" t="n">
        <f aca="false">N(H132)-N(I132)</f>
        <v>13200</v>
      </c>
      <c r="K132" s="14" t="s">
        <v>37</v>
      </c>
    </row>
    <row r="133" customFormat="false" ht="15" hidden="false" customHeight="false" outlineLevel="0" collapsed="false">
      <c r="A133" s="0" t="s">
        <v>307</v>
      </c>
      <c r="B133" s="0" t="s">
        <v>308</v>
      </c>
      <c r="C133" s="0" t="s">
        <v>309</v>
      </c>
      <c r="D133" s="0" t="s">
        <v>23</v>
      </c>
      <c r="E133" s="0" t="s">
        <v>433</v>
      </c>
      <c r="F133" s="15" t="n">
        <v>46301</v>
      </c>
      <c r="G133" s="14" t="s">
        <v>30</v>
      </c>
      <c r="H133" s="3" t="n">
        <v>63223</v>
      </c>
      <c r="I133" s="3"/>
      <c r="J133" s="3" t="n">
        <f aca="false">N(H133)-N(I133)</f>
        <v>63223</v>
      </c>
      <c r="K133" s="14" t="s">
        <v>27</v>
      </c>
    </row>
    <row r="134" customFormat="false" ht="15" hidden="false" customHeight="false" outlineLevel="0" collapsed="false">
      <c r="A134" s="0" t="s">
        <v>307</v>
      </c>
      <c r="B134" s="0" t="s">
        <v>308</v>
      </c>
      <c r="C134" s="0" t="s">
        <v>310</v>
      </c>
      <c r="D134" s="0" t="s">
        <v>23</v>
      </c>
      <c r="E134" s="0" t="s">
        <v>433</v>
      </c>
      <c r="F134" s="15" t="n">
        <v>46303</v>
      </c>
      <c r="G134" s="14" t="s">
        <v>21</v>
      </c>
      <c r="H134" s="3" t="n">
        <v>20400</v>
      </c>
      <c r="I134" s="3" t="n">
        <v>20400</v>
      </c>
      <c r="J134" s="3" t="n">
        <f aca="false">N(H134)-N(I134)</f>
        <v>0</v>
      </c>
      <c r="K134" s="14" t="s">
        <v>27</v>
      </c>
    </row>
    <row r="135" customFormat="false" ht="15" hidden="false" customHeight="false" outlineLevel="0" collapsed="false">
      <c r="A135" s="0" t="s">
        <v>311</v>
      </c>
      <c r="B135" s="0" t="s">
        <v>312</v>
      </c>
      <c r="C135" s="0" t="s">
        <v>313</v>
      </c>
      <c r="D135" s="0" t="s">
        <v>23</v>
      </c>
      <c r="E135" s="0" t="s">
        <v>433</v>
      </c>
      <c r="F135" s="15" t="n">
        <v>46300</v>
      </c>
      <c r="G135" s="14" t="s">
        <v>21</v>
      </c>
      <c r="H135" s="3" t="n">
        <v>10005520</v>
      </c>
      <c r="I135" s="3" t="n">
        <v>10005520</v>
      </c>
      <c r="J135" s="3" t="n">
        <f aca="false">N(H135)-N(I135)</f>
        <v>0</v>
      </c>
      <c r="K135" s="14" t="s">
        <v>21</v>
      </c>
    </row>
    <row r="136" customFormat="false" ht="15" hidden="false" customHeight="false" outlineLevel="0" collapsed="false">
      <c r="A136" s="0" t="s">
        <v>314</v>
      </c>
      <c r="B136" s="0" t="s">
        <v>315</v>
      </c>
      <c r="C136" s="0" t="s">
        <v>316</v>
      </c>
      <c r="D136" s="0" t="s">
        <v>39</v>
      </c>
      <c r="E136" s="0" t="s">
        <v>434</v>
      </c>
      <c r="F136" s="15" t="n">
        <v>46310</v>
      </c>
      <c r="G136" s="14" t="s">
        <v>30</v>
      </c>
      <c r="H136" s="3" t="n">
        <v>4000000</v>
      </c>
      <c r="I136" s="3"/>
      <c r="J136" s="3" t="n">
        <f aca="false">N(H136)-N(I136)</f>
        <v>4000000</v>
      </c>
      <c r="K136" s="14" t="s">
        <v>37</v>
      </c>
    </row>
    <row r="137" customFormat="false" ht="15" hidden="false" customHeight="false" outlineLevel="0" collapsed="false">
      <c r="A137" s="0" t="s">
        <v>317</v>
      </c>
      <c r="B137" s="0" t="s">
        <v>318</v>
      </c>
      <c r="C137" s="0" t="s">
        <v>319</v>
      </c>
      <c r="D137" s="0" t="s">
        <v>39</v>
      </c>
      <c r="E137" s="0" t="s">
        <v>434</v>
      </c>
      <c r="F137" s="15" t="n">
        <v>46317</v>
      </c>
      <c r="G137" s="14" t="s">
        <v>30</v>
      </c>
      <c r="H137" s="3" t="n">
        <v>1500000</v>
      </c>
      <c r="I137" s="3"/>
      <c r="J137" s="3" t="n">
        <f aca="false">N(H137)-N(I137)</f>
        <v>1500000</v>
      </c>
      <c r="K137" s="14" t="s">
        <v>37</v>
      </c>
    </row>
    <row r="138" customFormat="false" ht="15" hidden="false" customHeight="false" outlineLevel="0" collapsed="false">
      <c r="A138" s="0" t="s">
        <v>320</v>
      </c>
      <c r="B138" s="0" t="s">
        <v>321</v>
      </c>
      <c r="C138" s="0" t="s">
        <v>322</v>
      </c>
      <c r="D138" s="0" t="s">
        <v>23</v>
      </c>
      <c r="E138" s="0" t="s">
        <v>433</v>
      </c>
      <c r="F138" s="15" t="n">
        <v>46309</v>
      </c>
      <c r="G138" s="14" t="s">
        <v>21</v>
      </c>
      <c r="H138" s="3" t="n">
        <v>545042</v>
      </c>
      <c r="I138" s="3" t="n">
        <v>545042</v>
      </c>
      <c r="J138" s="3" t="n">
        <f aca="false">N(H138)-N(I138)</f>
        <v>0</v>
      </c>
      <c r="K138" s="14" t="s">
        <v>21</v>
      </c>
    </row>
    <row r="139" customFormat="false" ht="15" hidden="false" customHeight="false" outlineLevel="0" collapsed="false">
      <c r="A139" s="0" t="s">
        <v>320</v>
      </c>
      <c r="B139" s="0" t="s">
        <v>321</v>
      </c>
      <c r="C139" s="0" t="s">
        <v>323</v>
      </c>
      <c r="D139" s="0" t="s">
        <v>23</v>
      </c>
      <c r="E139" s="0" t="s">
        <v>433</v>
      </c>
      <c r="F139" s="15" t="n">
        <v>46309</v>
      </c>
      <c r="G139" s="14" t="s">
        <v>21</v>
      </c>
      <c r="H139" s="3" t="n">
        <v>545042</v>
      </c>
      <c r="I139" s="3" t="n">
        <v>545042</v>
      </c>
      <c r="J139" s="3" t="n">
        <f aca="false">N(H139)-N(I139)</f>
        <v>0</v>
      </c>
      <c r="K139" s="14" t="s">
        <v>21</v>
      </c>
    </row>
    <row r="140" customFormat="false" ht="15" hidden="false" customHeight="false" outlineLevel="0" collapsed="false">
      <c r="A140" s="0" t="s">
        <v>324</v>
      </c>
      <c r="B140" s="0" t="s">
        <v>325</v>
      </c>
      <c r="C140" s="0" t="s">
        <v>326</v>
      </c>
      <c r="D140" s="0" t="s">
        <v>23</v>
      </c>
      <c r="E140" s="0" t="s">
        <v>433</v>
      </c>
      <c r="F140" s="15" t="n">
        <v>46300</v>
      </c>
      <c r="G140" s="14" t="s">
        <v>21</v>
      </c>
      <c r="H140" s="3" t="n">
        <v>30000</v>
      </c>
      <c r="I140" s="3" t="n">
        <v>30000</v>
      </c>
      <c r="J140" s="3" t="n">
        <f aca="false">N(H140)-N(I140)</f>
        <v>0</v>
      </c>
      <c r="K140" s="14" t="s">
        <v>21</v>
      </c>
    </row>
    <row r="141" customFormat="false" ht="15" hidden="false" customHeight="false" outlineLevel="0" collapsed="false">
      <c r="A141" s="0" t="s">
        <v>327</v>
      </c>
      <c r="B141" s="0" t="s">
        <v>328</v>
      </c>
      <c r="C141" s="0" t="s">
        <v>329</v>
      </c>
      <c r="D141" s="0" t="s">
        <v>23</v>
      </c>
      <c r="E141" s="0" t="s">
        <v>433</v>
      </c>
      <c r="F141" s="15" t="n">
        <v>46296</v>
      </c>
      <c r="G141" s="14" t="s">
        <v>21</v>
      </c>
      <c r="H141" s="3" t="n">
        <v>41900</v>
      </c>
      <c r="I141" s="3" t="n">
        <v>41900</v>
      </c>
      <c r="J141" s="3" t="n">
        <f aca="false">N(H141)-N(I141)</f>
        <v>0</v>
      </c>
      <c r="K141" s="14" t="s">
        <v>21</v>
      </c>
    </row>
    <row r="142" customFormat="false" ht="15" hidden="false" customHeight="false" outlineLevel="0" collapsed="false">
      <c r="A142" s="0" t="s">
        <v>330</v>
      </c>
      <c r="B142" s="0" t="s">
        <v>331</v>
      </c>
      <c r="C142" s="0" t="s">
        <v>332</v>
      </c>
      <c r="D142" s="0" t="s">
        <v>23</v>
      </c>
      <c r="E142" s="0" t="s">
        <v>433</v>
      </c>
      <c r="F142" s="15" t="n">
        <v>46314</v>
      </c>
      <c r="G142" s="14" t="s">
        <v>21</v>
      </c>
      <c r="H142" s="3" t="n">
        <v>315116.34</v>
      </c>
      <c r="I142" s="3" t="n">
        <v>315116.34</v>
      </c>
      <c r="J142" s="3" t="n">
        <f aca="false">N(H142)-N(I142)</f>
        <v>0</v>
      </c>
      <c r="K142" s="14" t="s">
        <v>21</v>
      </c>
    </row>
    <row r="143" customFormat="false" ht="15" hidden="false" customHeight="false" outlineLevel="0" collapsed="false">
      <c r="A143" s="0" t="s">
        <v>333</v>
      </c>
      <c r="B143" s="0" t="s">
        <v>334</v>
      </c>
      <c r="C143" s="0" t="s">
        <v>335</v>
      </c>
      <c r="D143" s="0" t="s">
        <v>39</v>
      </c>
      <c r="E143" s="0" t="s">
        <v>434</v>
      </c>
      <c r="F143" s="15" t="n">
        <v>46302</v>
      </c>
      <c r="G143" s="14" t="s">
        <v>30</v>
      </c>
      <c r="H143" s="3" t="n">
        <v>3000</v>
      </c>
      <c r="I143" s="3"/>
      <c r="J143" s="3" t="n">
        <f aca="false">N(H143)-N(I143)</f>
        <v>3000</v>
      </c>
      <c r="K143" s="14" t="s">
        <v>37</v>
      </c>
    </row>
    <row r="144" customFormat="false" ht="15" hidden="false" customHeight="false" outlineLevel="0" collapsed="false">
      <c r="A144" s="0" t="s">
        <v>333</v>
      </c>
      <c r="B144" s="0" t="s">
        <v>334</v>
      </c>
      <c r="C144" s="0" t="s">
        <v>336</v>
      </c>
      <c r="D144" s="0" t="s">
        <v>39</v>
      </c>
      <c r="E144" s="0" t="s">
        <v>434</v>
      </c>
      <c r="F144" s="15" t="n">
        <v>46302</v>
      </c>
      <c r="G144" s="14" t="s">
        <v>30</v>
      </c>
      <c r="H144" s="3" t="n">
        <v>5000</v>
      </c>
      <c r="I144" s="3"/>
      <c r="J144" s="3" t="n">
        <f aca="false">N(H144)-N(I144)</f>
        <v>5000</v>
      </c>
      <c r="K144" s="14" t="s">
        <v>37</v>
      </c>
    </row>
    <row r="145" customFormat="false" ht="15" hidden="false" customHeight="false" outlineLevel="0" collapsed="false">
      <c r="A145" s="0" t="s">
        <v>333</v>
      </c>
      <c r="B145" s="0" t="s">
        <v>334</v>
      </c>
      <c r="C145" s="0" t="s">
        <v>337</v>
      </c>
      <c r="D145" s="0" t="s">
        <v>39</v>
      </c>
      <c r="E145" s="0" t="s">
        <v>434</v>
      </c>
      <c r="F145" s="15" t="n">
        <v>46317</v>
      </c>
      <c r="G145" s="14" t="s">
        <v>30</v>
      </c>
      <c r="H145" s="3" t="n">
        <v>2000</v>
      </c>
      <c r="I145" s="3"/>
      <c r="J145" s="3" t="n">
        <f aca="false">N(H145)-N(I145)</f>
        <v>2000</v>
      </c>
      <c r="K145" s="14" t="s">
        <v>37</v>
      </c>
    </row>
    <row r="146" customFormat="false" ht="15" hidden="false" customHeight="false" outlineLevel="0" collapsed="false">
      <c r="A146" s="0" t="s">
        <v>338</v>
      </c>
      <c r="B146" s="0" t="s">
        <v>339</v>
      </c>
      <c r="C146" s="0" t="s">
        <v>340</v>
      </c>
      <c r="D146" s="0" t="s">
        <v>23</v>
      </c>
      <c r="E146" s="0" t="s">
        <v>433</v>
      </c>
      <c r="F146" s="15" t="n">
        <v>46309</v>
      </c>
      <c r="G146" s="14" t="s">
        <v>21</v>
      </c>
      <c r="H146" s="3" t="n">
        <v>40000</v>
      </c>
      <c r="I146" s="3" t="n">
        <v>40000</v>
      </c>
      <c r="J146" s="3" t="n">
        <f aca="false">N(H146)-N(I146)</f>
        <v>0</v>
      </c>
      <c r="K146" s="14" t="s">
        <v>21</v>
      </c>
    </row>
    <row r="147" customFormat="false" ht="15" hidden="false" customHeight="false" outlineLevel="0" collapsed="false">
      <c r="A147" s="0" t="s">
        <v>341</v>
      </c>
      <c r="B147" s="0" t="s">
        <v>342</v>
      </c>
      <c r="C147" s="0" t="s">
        <v>343</v>
      </c>
      <c r="D147" s="0" t="s">
        <v>23</v>
      </c>
      <c r="E147" s="0" t="s">
        <v>433</v>
      </c>
      <c r="F147" s="15" t="n">
        <v>46308</v>
      </c>
      <c r="G147" s="14" t="s">
        <v>21</v>
      </c>
      <c r="H147" s="3" t="n">
        <v>1190000</v>
      </c>
      <c r="I147" s="3" t="n">
        <v>1190000</v>
      </c>
      <c r="J147" s="3" t="n">
        <f aca="false">N(H147)-N(I147)</f>
        <v>0</v>
      </c>
      <c r="K147" s="14" t="s">
        <v>21</v>
      </c>
    </row>
    <row r="148" customFormat="false" ht="15" hidden="false" customHeight="false" outlineLevel="0" collapsed="false">
      <c r="A148" s="0" t="s">
        <v>344</v>
      </c>
      <c r="B148" s="0" t="s">
        <v>345</v>
      </c>
      <c r="C148" s="0" t="s">
        <v>347</v>
      </c>
      <c r="D148" s="0" t="s">
        <v>23</v>
      </c>
      <c r="E148" s="0" t="s">
        <v>433</v>
      </c>
      <c r="F148" s="15" t="n">
        <v>46300</v>
      </c>
      <c r="G148" s="14" t="s">
        <v>21</v>
      </c>
      <c r="H148" s="3" t="n">
        <v>100000</v>
      </c>
      <c r="I148" s="3" t="n">
        <v>100000</v>
      </c>
      <c r="J148" s="3" t="n">
        <f aca="false">N(H148)-N(I148)</f>
        <v>0</v>
      </c>
      <c r="K148" s="14" t="s">
        <v>21</v>
      </c>
    </row>
    <row r="149" customFormat="false" ht="15" hidden="false" customHeight="false" outlineLevel="0" collapsed="false">
      <c r="A149" s="0" t="s">
        <v>344</v>
      </c>
      <c r="B149" s="0" t="s">
        <v>345</v>
      </c>
      <c r="C149" s="0" t="s">
        <v>348</v>
      </c>
      <c r="D149" s="0" t="s">
        <v>23</v>
      </c>
      <c r="E149" s="0" t="s">
        <v>433</v>
      </c>
      <c r="F149" s="15" t="n">
        <v>46303</v>
      </c>
      <c r="G149" s="14" t="s">
        <v>21</v>
      </c>
      <c r="H149" s="3" t="n">
        <v>50000</v>
      </c>
      <c r="I149" s="3" t="n">
        <v>50000</v>
      </c>
      <c r="J149" s="3" t="n">
        <f aca="false">N(H149)-N(I149)</f>
        <v>0</v>
      </c>
      <c r="K149" s="14" t="s">
        <v>21</v>
      </c>
    </row>
    <row r="150" customFormat="false" ht="15" hidden="false" customHeight="false" outlineLevel="0" collapsed="false">
      <c r="A150" s="0" t="s">
        <v>344</v>
      </c>
      <c r="B150" s="0" t="s">
        <v>345</v>
      </c>
      <c r="C150" s="0" t="s">
        <v>349</v>
      </c>
      <c r="D150" s="0" t="s">
        <v>23</v>
      </c>
      <c r="E150" s="0" t="s">
        <v>433</v>
      </c>
      <c r="F150" s="15" t="n">
        <v>46311</v>
      </c>
      <c r="G150" s="14" t="s">
        <v>21</v>
      </c>
      <c r="H150" s="3" t="n">
        <v>180093</v>
      </c>
      <c r="I150" s="3" t="n">
        <v>180093</v>
      </c>
      <c r="J150" s="3" t="n">
        <f aca="false">N(H150)-N(I150)</f>
        <v>0</v>
      </c>
      <c r="K150" s="14" t="s">
        <v>21</v>
      </c>
    </row>
    <row r="151" customFormat="false" ht="15" hidden="false" customHeight="false" outlineLevel="0" collapsed="false">
      <c r="A151" s="0" t="s">
        <v>344</v>
      </c>
      <c r="B151" s="0" t="s">
        <v>345</v>
      </c>
      <c r="C151" s="0" t="s">
        <v>350</v>
      </c>
      <c r="D151" s="0" t="s">
        <v>23</v>
      </c>
      <c r="E151" s="0" t="s">
        <v>433</v>
      </c>
      <c r="F151" s="15" t="n">
        <v>46314</v>
      </c>
      <c r="G151" s="14" t="s">
        <v>21</v>
      </c>
      <c r="H151" s="3" t="n">
        <v>100000</v>
      </c>
      <c r="I151" s="3" t="n">
        <v>100000</v>
      </c>
      <c r="J151" s="3" t="n">
        <f aca="false">N(H151)-N(I151)</f>
        <v>0</v>
      </c>
      <c r="K151" s="14" t="s">
        <v>21</v>
      </c>
    </row>
    <row r="152" customFormat="false" ht="15" hidden="false" customHeight="false" outlineLevel="0" collapsed="false">
      <c r="A152" s="0" t="s">
        <v>344</v>
      </c>
      <c r="B152" s="0" t="s">
        <v>345</v>
      </c>
      <c r="C152" s="0" t="s">
        <v>351</v>
      </c>
      <c r="D152" s="0" t="s">
        <v>23</v>
      </c>
      <c r="E152" s="0" t="s">
        <v>433</v>
      </c>
      <c r="F152" s="15" t="n">
        <v>46317</v>
      </c>
      <c r="G152" s="14" t="s">
        <v>21</v>
      </c>
      <c r="H152" s="3" t="n">
        <v>100000</v>
      </c>
      <c r="I152" s="3" t="n">
        <v>100000</v>
      </c>
      <c r="J152" s="3" t="n">
        <f aca="false">N(H152)-N(I152)</f>
        <v>0</v>
      </c>
      <c r="K152" s="14" t="s">
        <v>21</v>
      </c>
    </row>
    <row r="153" customFormat="false" ht="15" hidden="false" customHeight="false" outlineLevel="0" collapsed="false">
      <c r="A153" s="0" t="s">
        <v>352</v>
      </c>
      <c r="B153" s="0" t="s">
        <v>353</v>
      </c>
      <c r="C153" s="0" t="s">
        <v>354</v>
      </c>
      <c r="D153" s="0" t="s">
        <v>23</v>
      </c>
      <c r="E153" s="0" t="s">
        <v>433</v>
      </c>
      <c r="F153" s="15" t="n">
        <v>46302</v>
      </c>
      <c r="G153" s="14" t="s">
        <v>30</v>
      </c>
      <c r="H153" s="3" t="n">
        <v>25614366.77</v>
      </c>
      <c r="I153" s="3"/>
      <c r="J153" s="3" t="n">
        <f aca="false">N(H153)-N(I153)</f>
        <v>25614366.77</v>
      </c>
      <c r="K153" s="14" t="s">
        <v>37</v>
      </c>
    </row>
    <row r="154" customFormat="false" ht="15" hidden="false" customHeight="false" outlineLevel="0" collapsed="false">
      <c r="A154" s="0" t="s">
        <v>355</v>
      </c>
      <c r="B154" s="0" t="s">
        <v>356</v>
      </c>
      <c r="C154" s="0" t="s">
        <v>357</v>
      </c>
      <c r="D154" s="0" t="s">
        <v>23</v>
      </c>
      <c r="E154" s="0" t="s">
        <v>433</v>
      </c>
      <c r="F154" s="15" t="n">
        <v>46296</v>
      </c>
      <c r="G154" s="14" t="s">
        <v>21</v>
      </c>
      <c r="H154" s="3" t="n">
        <v>398202</v>
      </c>
      <c r="I154" s="3" t="n">
        <v>398202</v>
      </c>
      <c r="J154" s="3" t="n">
        <f aca="false">N(H154)-N(I154)</f>
        <v>0</v>
      </c>
      <c r="K154" s="14" t="s">
        <v>21</v>
      </c>
    </row>
    <row r="155" customFormat="false" ht="15" hidden="false" customHeight="false" outlineLevel="0" collapsed="false">
      <c r="A155" s="0" t="s">
        <v>358</v>
      </c>
      <c r="B155" s="0" t="s">
        <v>359</v>
      </c>
      <c r="C155" s="0" t="s">
        <v>360</v>
      </c>
      <c r="D155" s="0" t="s">
        <v>23</v>
      </c>
      <c r="E155" s="0" t="s">
        <v>433</v>
      </c>
      <c r="F155" s="15" t="n">
        <v>46296</v>
      </c>
      <c r="G155" s="14" t="s">
        <v>21</v>
      </c>
      <c r="H155" s="3" t="n">
        <v>172550</v>
      </c>
      <c r="I155" s="3" t="n">
        <v>172550</v>
      </c>
      <c r="J155" s="3" t="n">
        <f aca="false">N(H155)-N(I155)</f>
        <v>0</v>
      </c>
      <c r="K155" s="14" t="s">
        <v>21</v>
      </c>
    </row>
    <row r="156" customFormat="false" ht="15" hidden="false" customHeight="false" outlineLevel="0" collapsed="false">
      <c r="A156" s="0" t="s">
        <v>361</v>
      </c>
      <c r="B156" s="0" t="s">
        <v>362</v>
      </c>
      <c r="C156" s="0" t="s">
        <v>363</v>
      </c>
      <c r="D156" s="0" t="s">
        <v>23</v>
      </c>
      <c r="E156" s="0" t="s">
        <v>433</v>
      </c>
      <c r="F156" s="15" t="n">
        <v>46301</v>
      </c>
      <c r="G156" s="14" t="s">
        <v>21</v>
      </c>
      <c r="H156" s="3" t="n">
        <v>1330374</v>
      </c>
      <c r="I156" s="3" t="n">
        <v>1330374</v>
      </c>
      <c r="J156" s="3" t="n">
        <f aca="false">N(H156)-N(I156)</f>
        <v>0</v>
      </c>
      <c r="K156" s="14" t="s">
        <v>21</v>
      </c>
    </row>
    <row r="157" customFormat="false" ht="15" hidden="false" customHeight="false" outlineLevel="0" collapsed="false">
      <c r="A157" s="0" t="s">
        <v>364</v>
      </c>
      <c r="B157" s="0" t="s">
        <v>365</v>
      </c>
      <c r="C157" s="0" t="s">
        <v>366</v>
      </c>
      <c r="D157" s="0" t="s">
        <v>23</v>
      </c>
      <c r="E157" s="0" t="s">
        <v>433</v>
      </c>
      <c r="F157" s="15" t="n">
        <v>46296</v>
      </c>
      <c r="G157" s="14" t="s">
        <v>30</v>
      </c>
      <c r="H157" s="3" t="n">
        <v>189800.01</v>
      </c>
      <c r="I157" s="3"/>
      <c r="J157" s="3" t="n">
        <f aca="false">N(H157)-N(I157)</f>
        <v>189800.01</v>
      </c>
      <c r="K157" s="14" t="s">
        <v>37</v>
      </c>
    </row>
    <row r="158" customFormat="false" ht="15" hidden="false" customHeight="false" outlineLevel="0" collapsed="false">
      <c r="A158" s="0" t="s">
        <v>367</v>
      </c>
      <c r="B158" s="0" t="s">
        <v>368</v>
      </c>
      <c r="C158" s="0" t="s">
        <v>369</v>
      </c>
      <c r="D158" s="0" t="s">
        <v>23</v>
      </c>
      <c r="E158" s="0" t="s">
        <v>433</v>
      </c>
      <c r="F158" s="15" t="n">
        <v>46301</v>
      </c>
      <c r="G158" s="14" t="s">
        <v>21</v>
      </c>
      <c r="H158" s="3" t="n">
        <v>15000</v>
      </c>
      <c r="I158" s="3" t="n">
        <v>15000</v>
      </c>
      <c r="J158" s="3" t="n">
        <f aca="false">N(H158)-N(I158)</f>
        <v>0</v>
      </c>
      <c r="K158" s="14" t="s">
        <v>21</v>
      </c>
    </row>
    <row r="159" customFormat="false" ht="15" hidden="false" customHeight="false" outlineLevel="0" collapsed="false">
      <c r="A159" s="0" t="s">
        <v>370</v>
      </c>
      <c r="B159" s="0" t="s">
        <v>371</v>
      </c>
      <c r="C159" s="0" t="s">
        <v>372</v>
      </c>
      <c r="D159" s="0" t="s">
        <v>23</v>
      </c>
      <c r="E159" s="0" t="s">
        <v>433</v>
      </c>
      <c r="F159" s="15" t="n">
        <v>46311</v>
      </c>
      <c r="G159" s="14" t="s">
        <v>30</v>
      </c>
      <c r="H159" s="3" t="n">
        <v>20300</v>
      </c>
      <c r="I159" s="3"/>
      <c r="J159" s="3" t="n">
        <f aca="false">N(H159)-N(I159)</f>
        <v>20300</v>
      </c>
      <c r="K159" s="14" t="s">
        <v>37</v>
      </c>
    </row>
    <row r="160" customFormat="false" ht="15" hidden="false" customHeight="false" outlineLevel="0" collapsed="false">
      <c r="A160" s="0" t="s">
        <v>373</v>
      </c>
      <c r="B160" s="0" t="s">
        <v>374</v>
      </c>
      <c r="C160" s="0" t="s">
        <v>375</v>
      </c>
      <c r="D160" s="0" t="s">
        <v>23</v>
      </c>
      <c r="E160" s="0" t="s">
        <v>433</v>
      </c>
      <c r="F160" s="15" t="n">
        <v>46317</v>
      </c>
      <c r="G160" s="14" t="s">
        <v>30</v>
      </c>
      <c r="H160" s="3" t="n">
        <v>160000</v>
      </c>
      <c r="I160" s="3"/>
      <c r="J160" s="3" t="n">
        <f aca="false">N(H160)-N(I160)</f>
        <v>160000</v>
      </c>
      <c r="K160" s="14" t="s">
        <v>37</v>
      </c>
    </row>
    <row r="161" customFormat="false" ht="15" hidden="false" customHeight="false" outlineLevel="0" collapsed="false">
      <c r="A161" s="0" t="s">
        <v>376</v>
      </c>
      <c r="B161" s="0" t="s">
        <v>377</v>
      </c>
      <c r="C161" s="0" t="s">
        <v>379</v>
      </c>
      <c r="D161" s="0" t="s">
        <v>23</v>
      </c>
      <c r="E161" s="0" t="s">
        <v>433</v>
      </c>
      <c r="F161" s="15" t="n">
        <v>46298</v>
      </c>
      <c r="G161" s="14" t="s">
        <v>21</v>
      </c>
      <c r="H161" s="3" t="n">
        <v>865063</v>
      </c>
      <c r="I161" s="3" t="n">
        <v>865063</v>
      </c>
      <c r="J161" s="3" t="n">
        <f aca="false">N(H161)-N(I161)</f>
        <v>0</v>
      </c>
      <c r="K161" s="14" t="s">
        <v>21</v>
      </c>
    </row>
    <row r="162" customFormat="false" ht="15" hidden="false" customHeight="false" outlineLevel="0" collapsed="false">
      <c r="A162" s="0" t="s">
        <v>376</v>
      </c>
      <c r="B162" s="0" t="s">
        <v>377</v>
      </c>
      <c r="C162" s="0" t="s">
        <v>380</v>
      </c>
      <c r="D162" s="0" t="s">
        <v>23</v>
      </c>
      <c r="E162" s="0" t="s">
        <v>433</v>
      </c>
      <c r="F162" s="15" t="n">
        <v>46298</v>
      </c>
      <c r="G162" s="14" t="s">
        <v>21</v>
      </c>
      <c r="H162" s="3" t="n">
        <v>2736154</v>
      </c>
      <c r="I162" s="3" t="n">
        <v>2736154</v>
      </c>
      <c r="J162" s="3" t="n">
        <f aca="false">N(H162)-N(I162)</f>
        <v>0</v>
      </c>
      <c r="K162" s="14" t="s">
        <v>21</v>
      </c>
    </row>
    <row r="163" customFormat="false" ht="15" hidden="false" customHeight="false" outlineLevel="0" collapsed="false">
      <c r="A163" s="0" t="s">
        <v>376</v>
      </c>
      <c r="B163" s="0" t="s">
        <v>377</v>
      </c>
      <c r="C163" s="0" t="s">
        <v>381</v>
      </c>
      <c r="D163" s="0" t="s">
        <v>23</v>
      </c>
      <c r="E163" s="0" t="s">
        <v>433</v>
      </c>
      <c r="F163" s="15" t="n">
        <v>46309</v>
      </c>
      <c r="G163" s="14" t="s">
        <v>21</v>
      </c>
      <c r="H163" s="3" t="n">
        <v>189616</v>
      </c>
      <c r="I163" s="3" t="n">
        <v>189616</v>
      </c>
      <c r="J163" s="3" t="n">
        <f aca="false">N(H163)-N(I163)</f>
        <v>0</v>
      </c>
      <c r="K163" s="14" t="s">
        <v>21</v>
      </c>
    </row>
    <row r="164" customFormat="false" ht="15" hidden="false" customHeight="false" outlineLevel="0" collapsed="false">
      <c r="A164" s="0" t="s">
        <v>376</v>
      </c>
      <c r="B164" s="0" t="s">
        <v>377</v>
      </c>
      <c r="C164" s="0" t="s">
        <v>382</v>
      </c>
      <c r="D164" s="0" t="s">
        <v>23</v>
      </c>
      <c r="E164" s="0" t="s">
        <v>433</v>
      </c>
      <c r="F164" s="15" t="n">
        <v>46310</v>
      </c>
      <c r="G164" s="14" t="s">
        <v>21</v>
      </c>
      <c r="H164" s="3" t="n">
        <v>6834170</v>
      </c>
      <c r="I164" s="3" t="n">
        <v>6834170</v>
      </c>
      <c r="J164" s="3" t="n">
        <f aca="false">N(H164)-N(I164)</f>
        <v>0</v>
      </c>
      <c r="K164" s="14" t="s">
        <v>21</v>
      </c>
    </row>
    <row r="165" customFormat="false" ht="15" hidden="false" customHeight="false" outlineLevel="0" collapsed="false">
      <c r="A165" s="0" t="s">
        <v>383</v>
      </c>
      <c r="B165" s="0" t="s">
        <v>384</v>
      </c>
      <c r="C165" s="0" t="s">
        <v>385</v>
      </c>
      <c r="D165" s="0" t="s">
        <v>23</v>
      </c>
      <c r="E165" s="0" t="s">
        <v>433</v>
      </c>
      <c r="F165" s="15" t="n">
        <v>46303</v>
      </c>
      <c r="G165" s="14" t="s">
        <v>30</v>
      </c>
      <c r="H165" s="3" t="n">
        <v>15900</v>
      </c>
      <c r="I165" s="3"/>
      <c r="J165" s="3" t="n">
        <f aca="false">N(H165)-N(I165)</f>
        <v>15900</v>
      </c>
      <c r="K165" s="14" t="s">
        <v>37</v>
      </c>
    </row>
    <row r="166" customFormat="false" ht="15" hidden="false" customHeight="false" outlineLevel="0" collapsed="false">
      <c r="A166" s="0" t="s">
        <v>383</v>
      </c>
      <c r="B166" s="0" t="s">
        <v>384</v>
      </c>
      <c r="C166" s="0" t="s">
        <v>386</v>
      </c>
      <c r="D166" s="0" t="s">
        <v>23</v>
      </c>
      <c r="E166" s="0" t="s">
        <v>433</v>
      </c>
      <c r="F166" s="15" t="n">
        <v>46305</v>
      </c>
      <c r="G166" s="14" t="s">
        <v>30</v>
      </c>
      <c r="H166" s="3" t="n">
        <v>84300</v>
      </c>
      <c r="I166" s="3"/>
      <c r="J166" s="3" t="n">
        <f aca="false">N(H166)-N(I166)</f>
        <v>84300</v>
      </c>
      <c r="K166" s="14" t="s">
        <v>37</v>
      </c>
    </row>
    <row r="167" customFormat="false" ht="15" hidden="false" customHeight="false" outlineLevel="0" collapsed="false">
      <c r="A167" s="0" t="s">
        <v>387</v>
      </c>
      <c r="B167" s="0" t="s">
        <v>388</v>
      </c>
      <c r="C167" s="0" t="s">
        <v>389</v>
      </c>
      <c r="D167" s="0" t="s">
        <v>23</v>
      </c>
      <c r="E167" s="0" t="s">
        <v>433</v>
      </c>
      <c r="F167" s="15" t="n">
        <v>46308</v>
      </c>
      <c r="G167" s="14" t="s">
        <v>21</v>
      </c>
      <c r="H167" s="3" t="n">
        <v>98770</v>
      </c>
      <c r="I167" s="3" t="n">
        <v>98770</v>
      </c>
      <c r="J167" s="3" t="n">
        <f aca="false">N(H167)-N(I167)</f>
        <v>0</v>
      </c>
      <c r="K167" s="14" t="s">
        <v>21</v>
      </c>
    </row>
    <row r="168" customFormat="false" ht="15" hidden="false" customHeight="false" outlineLevel="0" collapsed="false">
      <c r="A168" s="0" t="s">
        <v>390</v>
      </c>
      <c r="B168" s="0" t="s">
        <v>391</v>
      </c>
      <c r="C168" s="0" t="s">
        <v>392</v>
      </c>
      <c r="D168" s="0" t="s">
        <v>23</v>
      </c>
      <c r="E168" s="0" t="s">
        <v>433</v>
      </c>
      <c r="F168" s="15" t="n">
        <v>46316</v>
      </c>
      <c r="G168" s="14" t="s">
        <v>21</v>
      </c>
      <c r="H168" s="3" t="n">
        <v>83781950</v>
      </c>
      <c r="I168" s="3" t="n">
        <v>83781950</v>
      </c>
      <c r="J168" s="3" t="n">
        <f aca="false">N(H168)-N(I168)</f>
        <v>0</v>
      </c>
      <c r="K168" s="14" t="s">
        <v>21</v>
      </c>
    </row>
    <row r="169" customFormat="false" ht="15" hidden="false" customHeight="false" outlineLevel="0" collapsed="false">
      <c r="A169" s="0" t="s">
        <v>393</v>
      </c>
      <c r="B169" s="0" t="s">
        <v>394</v>
      </c>
      <c r="C169" s="0" t="s">
        <v>395</v>
      </c>
      <c r="D169" s="0" t="s">
        <v>23</v>
      </c>
      <c r="E169" s="0" t="s">
        <v>433</v>
      </c>
      <c r="F169" s="15" t="n">
        <v>46314</v>
      </c>
      <c r="G169" s="14" t="s">
        <v>21</v>
      </c>
      <c r="H169" s="3" t="n">
        <v>220850</v>
      </c>
      <c r="I169" s="3" t="n">
        <v>220850</v>
      </c>
      <c r="J169" s="3" t="n">
        <f aca="false">N(H169)-N(I169)</f>
        <v>0</v>
      </c>
      <c r="K169" s="14" t="s">
        <v>21</v>
      </c>
    </row>
    <row r="170" customFormat="false" ht="15" hidden="false" customHeight="false" outlineLevel="0" collapsed="false">
      <c r="A170" s="0" t="s">
        <v>396</v>
      </c>
      <c r="B170" s="0" t="s">
        <v>397</v>
      </c>
      <c r="C170" s="0" t="s">
        <v>398</v>
      </c>
      <c r="D170" s="0" t="s">
        <v>23</v>
      </c>
      <c r="E170" s="0" t="s">
        <v>433</v>
      </c>
      <c r="F170" s="15" t="n">
        <v>46310</v>
      </c>
      <c r="G170" s="14" t="s">
        <v>21</v>
      </c>
      <c r="H170" s="3" t="n">
        <v>41000</v>
      </c>
      <c r="I170" s="3" t="n">
        <v>41000</v>
      </c>
      <c r="J170" s="3" t="n">
        <f aca="false">N(H170)-N(I170)</f>
        <v>0</v>
      </c>
      <c r="K170" s="14" t="s">
        <v>21</v>
      </c>
    </row>
    <row r="171" customFormat="false" ht="15" hidden="false" customHeight="false" outlineLevel="0" collapsed="false">
      <c r="A171" s="0" t="s">
        <v>399</v>
      </c>
      <c r="B171" s="0" t="s">
        <v>400</v>
      </c>
      <c r="C171" s="0" t="s">
        <v>401</v>
      </c>
      <c r="D171" s="0" t="s">
        <v>23</v>
      </c>
      <c r="E171" s="0" t="s">
        <v>433</v>
      </c>
      <c r="F171" s="15" t="n">
        <v>46297</v>
      </c>
      <c r="G171" s="14" t="s">
        <v>21</v>
      </c>
      <c r="H171" s="3" t="n">
        <v>260000</v>
      </c>
      <c r="I171" s="3" t="n">
        <v>260000</v>
      </c>
      <c r="J171" s="3" t="n">
        <f aca="false">N(H171)-N(I171)</f>
        <v>0</v>
      </c>
      <c r="K171" s="14" t="s">
        <v>21</v>
      </c>
    </row>
    <row r="172" customFormat="false" ht="15" hidden="false" customHeight="false" outlineLevel="0" collapsed="false">
      <c r="A172" s="0" t="s">
        <v>399</v>
      </c>
      <c r="B172" s="0" t="s">
        <v>400</v>
      </c>
      <c r="C172" s="0" t="s">
        <v>402</v>
      </c>
      <c r="D172" s="0" t="s">
        <v>23</v>
      </c>
      <c r="E172" s="0" t="s">
        <v>433</v>
      </c>
      <c r="F172" s="15" t="n">
        <v>46302</v>
      </c>
      <c r="G172" s="14" t="s">
        <v>21</v>
      </c>
      <c r="H172" s="3" t="n">
        <v>20000</v>
      </c>
      <c r="I172" s="3" t="n">
        <v>20000</v>
      </c>
      <c r="J172" s="3" t="n">
        <f aca="false">N(H172)-N(I172)</f>
        <v>0</v>
      </c>
      <c r="K172" s="14" t="s">
        <v>21</v>
      </c>
    </row>
    <row r="173" customFormat="false" ht="15" hidden="false" customHeight="false" outlineLevel="0" collapsed="false">
      <c r="A173" s="0" t="s">
        <v>399</v>
      </c>
      <c r="B173" s="0" t="s">
        <v>400</v>
      </c>
      <c r="C173" s="0" t="s">
        <v>403</v>
      </c>
      <c r="D173" s="0" t="s">
        <v>23</v>
      </c>
      <c r="E173" s="0" t="s">
        <v>433</v>
      </c>
      <c r="F173" s="15" t="n">
        <v>46303</v>
      </c>
      <c r="G173" s="14" t="s">
        <v>21</v>
      </c>
      <c r="H173" s="3" t="n">
        <v>20000</v>
      </c>
      <c r="I173" s="3" t="n">
        <v>20000</v>
      </c>
      <c r="J173" s="3" t="n">
        <f aca="false">N(H173)-N(I173)</f>
        <v>0</v>
      </c>
      <c r="K173" s="14" t="s">
        <v>21</v>
      </c>
    </row>
    <row r="174" customFormat="false" ht="15" hidden="false" customHeight="false" outlineLevel="0" collapsed="false">
      <c r="A174" s="0" t="s">
        <v>399</v>
      </c>
      <c r="B174" s="0" t="s">
        <v>400</v>
      </c>
      <c r="C174" s="0" t="s">
        <v>404</v>
      </c>
      <c r="D174" s="0" t="s">
        <v>23</v>
      </c>
      <c r="E174" s="0" t="s">
        <v>433</v>
      </c>
      <c r="F174" s="15" t="n">
        <v>46309</v>
      </c>
      <c r="G174" s="14" t="s">
        <v>21</v>
      </c>
      <c r="H174" s="3" t="n">
        <v>138000</v>
      </c>
      <c r="I174" s="3" t="n">
        <v>138000</v>
      </c>
      <c r="J174" s="3" t="n">
        <f aca="false">N(H174)-N(I174)</f>
        <v>0</v>
      </c>
      <c r="K174" s="14" t="s">
        <v>21</v>
      </c>
    </row>
    <row r="175" customFormat="false" ht="15" hidden="false" customHeight="false" outlineLevel="0" collapsed="false">
      <c r="A175" s="0" t="s">
        <v>405</v>
      </c>
      <c r="B175" s="0" t="s">
        <v>406</v>
      </c>
      <c r="C175" s="0" t="s">
        <v>407</v>
      </c>
      <c r="D175" s="0" t="s">
        <v>39</v>
      </c>
      <c r="E175" s="0" t="s">
        <v>434</v>
      </c>
      <c r="F175" s="15" t="n">
        <v>46316</v>
      </c>
      <c r="G175" s="14" t="s">
        <v>30</v>
      </c>
      <c r="H175" s="3" t="n">
        <v>253800</v>
      </c>
      <c r="I175" s="3"/>
      <c r="J175" s="3" t="n">
        <f aca="false">N(H175)-N(I175)</f>
        <v>253800</v>
      </c>
      <c r="K175" s="14" t="s">
        <v>37</v>
      </c>
    </row>
    <row r="176" customFormat="false" ht="15" hidden="false" customHeight="false" outlineLevel="0" collapsed="false">
      <c r="A176" s="0" t="s">
        <v>408</v>
      </c>
      <c r="B176" s="0" t="s">
        <v>409</v>
      </c>
      <c r="C176" s="0" t="s">
        <v>410</v>
      </c>
      <c r="D176" s="0" t="s">
        <v>23</v>
      </c>
      <c r="E176" s="0" t="s">
        <v>433</v>
      </c>
      <c r="F176" s="15" t="n">
        <v>46307</v>
      </c>
      <c r="G176" s="14" t="s">
        <v>21</v>
      </c>
      <c r="H176" s="3" t="n">
        <v>589908</v>
      </c>
      <c r="I176" s="3" t="n">
        <v>589908</v>
      </c>
      <c r="J176" s="3" t="n">
        <f aca="false">N(H176)-N(I176)</f>
        <v>0</v>
      </c>
      <c r="K176" s="14" t="s">
        <v>21</v>
      </c>
    </row>
    <row r="177" customFormat="false" ht="15" hidden="false" customHeight="false" outlineLevel="0" collapsed="false">
      <c r="A177" s="0" t="s">
        <v>408</v>
      </c>
      <c r="B177" s="0" t="s">
        <v>409</v>
      </c>
      <c r="C177" s="0" t="s">
        <v>411</v>
      </c>
      <c r="D177" s="0" t="s">
        <v>23</v>
      </c>
      <c r="E177" s="0" t="s">
        <v>433</v>
      </c>
      <c r="F177" s="15" t="n">
        <v>46314</v>
      </c>
      <c r="G177" s="14" t="s">
        <v>21</v>
      </c>
      <c r="H177" s="3" t="n">
        <v>89825</v>
      </c>
      <c r="I177" s="3" t="n">
        <v>89825</v>
      </c>
      <c r="J177" s="3" t="n">
        <f aca="false">N(H177)-N(I177)</f>
        <v>0</v>
      </c>
      <c r="K177" s="14" t="s">
        <v>21</v>
      </c>
    </row>
    <row r="178" customFormat="false" ht="15" hidden="false" customHeight="false" outlineLevel="0" collapsed="false">
      <c r="A178" s="0" t="s">
        <v>412</v>
      </c>
      <c r="B178" s="0" t="s">
        <v>413</v>
      </c>
      <c r="C178" s="0" t="s">
        <v>414</v>
      </c>
      <c r="D178" s="0" t="s">
        <v>23</v>
      </c>
      <c r="E178" s="0" t="s">
        <v>433</v>
      </c>
      <c r="F178" s="15" t="n">
        <v>46316</v>
      </c>
      <c r="G178" s="14" t="s">
        <v>21</v>
      </c>
      <c r="H178" s="3" t="n">
        <v>3570000</v>
      </c>
      <c r="I178" s="3" t="n">
        <v>3570000</v>
      </c>
      <c r="J178" s="3" t="n">
        <f aca="false">N(H178)-N(I178)</f>
        <v>0</v>
      </c>
      <c r="K178" s="14" t="s">
        <v>27</v>
      </c>
    </row>
    <row r="179" customFormat="false" ht="15" hidden="false" customHeight="false" outlineLevel="0" collapsed="false">
      <c r="A179" s="0" t="s">
        <v>412</v>
      </c>
      <c r="B179" s="0" t="s">
        <v>413</v>
      </c>
      <c r="C179" s="0" t="s">
        <v>415</v>
      </c>
      <c r="D179" s="0" t="s">
        <v>23</v>
      </c>
      <c r="E179" s="0" t="s">
        <v>433</v>
      </c>
      <c r="F179" s="15" t="n">
        <v>46316</v>
      </c>
      <c r="G179" s="14" t="s">
        <v>21</v>
      </c>
      <c r="H179" s="3" t="n">
        <v>3570000</v>
      </c>
      <c r="I179" s="3" t="n">
        <v>3570000</v>
      </c>
      <c r="J179" s="3" t="n">
        <f aca="false">N(H179)-N(I179)</f>
        <v>0</v>
      </c>
      <c r="K179" s="14" t="s">
        <v>27</v>
      </c>
    </row>
    <row r="180" customFormat="false" ht="15" hidden="false" customHeight="false" outlineLevel="0" collapsed="false">
      <c r="A180" s="0" t="s">
        <v>412</v>
      </c>
      <c r="B180" s="0" t="s">
        <v>413</v>
      </c>
      <c r="C180" s="0" t="s">
        <v>416</v>
      </c>
      <c r="D180" s="0" t="s">
        <v>45</v>
      </c>
      <c r="E180" s="0" t="s">
        <v>433</v>
      </c>
      <c r="F180" s="15" t="n">
        <v>46317</v>
      </c>
      <c r="G180" s="14" t="s">
        <v>30</v>
      </c>
      <c r="H180" s="3" t="n">
        <v>-3570000</v>
      </c>
      <c r="I180" s="3"/>
      <c r="J180" s="3" t="n">
        <f aca="false">N(H180)-N(I180)</f>
        <v>-3570000</v>
      </c>
      <c r="K180" s="14" t="s">
        <v>27</v>
      </c>
    </row>
    <row r="181" customFormat="false" ht="15" hidden="false" customHeight="false" outlineLevel="0" collapsed="false">
      <c r="A181" s="0" t="s">
        <v>417</v>
      </c>
      <c r="B181" s="0" t="s">
        <v>418</v>
      </c>
      <c r="C181" s="0" t="s">
        <v>419</v>
      </c>
      <c r="D181" s="0" t="s">
        <v>23</v>
      </c>
      <c r="E181" s="0" t="s">
        <v>433</v>
      </c>
      <c r="F181" s="15" t="n">
        <v>46296</v>
      </c>
      <c r="G181" s="14" t="s">
        <v>21</v>
      </c>
      <c r="H181" s="3" t="n">
        <v>7500000</v>
      </c>
      <c r="I181" s="3" t="n">
        <v>7500000</v>
      </c>
      <c r="J181" s="3" t="n">
        <f aca="false">N(H181)-N(I181)</f>
        <v>0</v>
      </c>
      <c r="K181" s="14" t="s">
        <v>21</v>
      </c>
    </row>
    <row r="182" customFormat="false" ht="15" hidden="false" customHeight="false" outlineLevel="0" collapsed="false">
      <c r="A182" s="0" t="s">
        <v>420</v>
      </c>
      <c r="B182" s="0" t="s">
        <v>421</v>
      </c>
      <c r="C182" s="0" t="s">
        <v>422</v>
      </c>
      <c r="D182" s="0" t="s">
        <v>39</v>
      </c>
      <c r="E182" s="0" t="s">
        <v>434</v>
      </c>
      <c r="F182" s="15" t="n">
        <v>46310</v>
      </c>
      <c r="G182" s="14" t="s">
        <v>30</v>
      </c>
      <c r="H182" s="3" t="n">
        <v>471942</v>
      </c>
      <c r="I182" s="3"/>
      <c r="J182" s="3" t="n">
        <f aca="false">N(H182)-N(I182)</f>
        <v>471942</v>
      </c>
      <c r="K182" s="14" t="s">
        <v>37</v>
      </c>
    </row>
    <row r="183" customFormat="false" ht="15" hidden="false" customHeight="false" outlineLevel="0" collapsed="false">
      <c r="A183" s="0" t="s">
        <v>423</v>
      </c>
      <c r="B183" s="0" t="s">
        <v>424</v>
      </c>
      <c r="C183" s="0" t="s">
        <v>425</v>
      </c>
      <c r="D183" s="0" t="s">
        <v>23</v>
      </c>
      <c r="E183" s="0" t="s">
        <v>433</v>
      </c>
      <c r="F183" s="15" t="n">
        <v>46296</v>
      </c>
      <c r="G183" s="14" t="s">
        <v>21</v>
      </c>
      <c r="H183" s="3" t="n">
        <v>980700</v>
      </c>
      <c r="I183" s="3" t="n">
        <v>980700</v>
      </c>
      <c r="J183" s="3" t="n">
        <f aca="false">N(H183)-N(I183)</f>
        <v>0</v>
      </c>
      <c r="K183" s="14" t="s">
        <v>27</v>
      </c>
    </row>
    <row r="184" customFormat="false" ht="15" hidden="false" customHeight="false" outlineLevel="0" collapsed="false">
      <c r="A184" s="0" t="s">
        <v>423</v>
      </c>
      <c r="B184" s="0" t="s">
        <v>424</v>
      </c>
      <c r="C184" s="0" t="s">
        <v>426</v>
      </c>
      <c r="D184" s="0" t="s">
        <v>23</v>
      </c>
      <c r="E184" s="0" t="s">
        <v>433</v>
      </c>
      <c r="F184" s="15" t="n">
        <v>46315</v>
      </c>
      <c r="G184" s="14" t="s">
        <v>21</v>
      </c>
      <c r="H184" s="3" t="n">
        <v>2255000</v>
      </c>
      <c r="I184" s="3" t="n">
        <v>2255000</v>
      </c>
      <c r="J184" s="3" t="n">
        <f aca="false">N(H184)-N(I184)</f>
        <v>0</v>
      </c>
      <c r="K184" s="14" t="s">
        <v>27</v>
      </c>
    </row>
    <row r="185" customFormat="false" ht="15" hidden="false" customHeight="false" outlineLevel="0" collapsed="false">
      <c r="A185" s="0" t="s">
        <v>423</v>
      </c>
      <c r="B185" s="0" t="s">
        <v>424</v>
      </c>
      <c r="C185" s="0" t="s">
        <v>427</v>
      </c>
      <c r="D185" s="0" t="s">
        <v>45</v>
      </c>
      <c r="E185" s="0" t="s">
        <v>433</v>
      </c>
      <c r="F185" s="15" t="n">
        <v>46317</v>
      </c>
      <c r="G185" s="14" t="s">
        <v>30</v>
      </c>
      <c r="H185" s="3" t="n">
        <v>-828000</v>
      </c>
      <c r="I185" s="3"/>
      <c r="J185" s="3" t="n">
        <f aca="false">N(H185)-N(I185)</f>
        <v>-828000</v>
      </c>
      <c r="K185" s="14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2026-10-26T14:27:15Z</dcterms:created>
  <dc:creator>openpyxl</dc:creator>
  <dc:description/>
  <dc:language>en-US</dc:language>
  <cp:lastModifiedBy/>
  <dcterms:modified xsi:type="dcterms:W3CDTF">2026-10-26T14:27:15Z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