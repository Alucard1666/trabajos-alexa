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O NOMINA" sheetId="1" state="visible" r:id="rId3"/>
    <sheet name="TABLA RETENCIÓN" sheetId="2" state="visible" r:id="rId4"/>
    <sheet name="CONTABILIZACION DE LA NOMIN (2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<sst xmlns="http://schemas.openxmlformats.org/spreadsheetml/2006/main" count="238" uniqueCount="211">
  <si>
    <t xml:space="preserve">SALARIO MÍNIMO</t>
  </si>
  <si>
    <t xml:space="preserve">AUXILIO DE TRANSPORTE</t>
  </si>
  <si>
    <t xml:space="preserve">NOMINA PARA PAGO DE SUELDOS</t>
  </si>
  <si>
    <t xml:space="preserve">DEPURACION PROCEDIMIENTO 1 - RETENCION POR SALARIOS</t>
  </si>
  <si>
    <t xml:space="preserve">TOTAL INGRESOS POR PAGOS LABORALES:</t>
  </si>
  <si>
    <t xml:space="preserve">PERIODO DE PAGO</t>
  </si>
  <si>
    <t xml:space="preserve">DEL</t>
  </si>
  <si>
    <t xml:space="preserve">AL</t>
  </si>
  <si>
    <t xml:space="preserve">(-) INGRESOS NO GRAVADOS:</t>
  </si>
  <si>
    <t xml:space="preserve">NOMBRE DEL EMPLEADO</t>
  </si>
  <si>
    <t xml:space="preserve">SUELDO BASICO</t>
  </si>
  <si>
    <t xml:space="preserve">  DIAS </t>
  </si>
  <si>
    <t xml:space="preserve">DEVENGADO</t>
  </si>
  <si>
    <t xml:space="preserve">DEDUCCIONES</t>
  </si>
  <si>
    <t xml:space="preserve">Aportes obligatorios a salud (Sobre ingresos del mismo mes)</t>
  </si>
  <si>
    <t xml:space="preserve">BASICO</t>
  </si>
  <si>
    <t xml:space="preserve">AUX. TRASP</t>
  </si>
  <si>
    <t xml:space="preserve">BONIFICACION</t>
  </si>
  <si>
    <t xml:space="preserve">H. E. Y RECARGOS</t>
  </si>
  <si>
    <t xml:space="preserve">INCAP. Y LIC.</t>
  </si>
  <si>
    <t xml:space="preserve">TOTAL DEVENG</t>
  </si>
  <si>
    <t xml:space="preserve">SALUD</t>
  </si>
  <si>
    <t xml:space="preserve">PENSIÓN</t>
  </si>
  <si>
    <t xml:space="preserve">FSP</t>
  </si>
  <si>
    <t xml:space="preserve">RETENCIÓN</t>
  </si>
  <si>
    <t xml:space="preserve">EMBARGOS</t>
  </si>
  <si>
    <t xml:space="preserve">COOPERATIVA</t>
  </si>
  <si>
    <t xml:space="preserve">TOTAL DEDUCC</t>
  </si>
  <si>
    <t xml:space="preserve">NETO PAGADO</t>
  </si>
  <si>
    <t xml:space="preserve">Aportes obligatorios a pensión (Sobre ingresos del mismo mes)</t>
  </si>
  <si>
    <t xml:space="preserve">BERNARDO ROJAS</t>
  </si>
  <si>
    <t xml:space="preserve">Total Ingresos No Gravados</t>
  </si>
  <si>
    <t xml:space="preserve">LEONARDO ROSAS</t>
  </si>
  <si>
    <t xml:space="preserve">SUBTOTAL 1 = (TOTAL INGRESOS NETOS LABORALES DEL MES- TOTAL INGRESOS NO GRAVADOS)</t>
  </si>
  <si>
    <t xml:space="preserve">GERARDO VALVERDE</t>
  </si>
  <si>
    <t xml:space="preserve">(-) DEDUCCIONES:</t>
  </si>
  <si>
    <t xml:space="preserve">Prepagada</t>
  </si>
  <si>
    <t xml:space="preserve">EDUARDO BLANCO</t>
  </si>
  <si>
    <t xml:space="preserve">Intereses en préstamos para adquisición de vivienda del trabajador, límite 100 UVT mensuales</t>
  </si>
  <si>
    <t xml:space="preserve">Personas a C</t>
  </si>
  <si>
    <t xml:space="preserve">GILDARDO AMARILLA</t>
  </si>
  <si>
    <t xml:space="preserve">Pagos  durante el año anterior por concepto de medicina prepagada, limite 16 UVT, mensuales</t>
  </si>
  <si>
    <t xml:space="preserve">Intereses V</t>
  </si>
  <si>
    <t xml:space="preserve">JASMIN PEÑALOZA</t>
  </si>
  <si>
    <t xml:space="preserve">Deducciones por concepto de dependientes o personas a cargo 10% limitados a 32 UVT mes</t>
  </si>
  <si>
    <t xml:space="preserve">Total Deducciones</t>
  </si>
  <si>
    <t xml:space="preserve">(-) RENTAS EXENTAS</t>
  </si>
  <si>
    <t xml:space="preserve">Aportes voluntarios a los fondos de pensiones (hasta 30% del ingreso Bruto mensual, sin exceder 3.800 UVT al año)</t>
  </si>
  <si>
    <t xml:space="preserve">AFC = Ahorro para el Fomento de la Construcción</t>
  </si>
  <si>
    <t xml:space="preserve">Aportes voluntarios a las cuentas de ahorro AFC y AVC (Limite igual a los aportes voluntarios a pensión)</t>
  </si>
  <si>
    <t xml:space="preserve">AVC = Ahorro Voluntario Contractual</t>
  </si>
  <si>
    <t xml:space="preserve">TOTALES</t>
  </si>
  <si>
    <t xml:space="preserve">Total Rentas Exentas</t>
  </si>
  <si>
    <t xml:space="preserve">SUBTOTAL 2  = (SUBTOTAL 1 - TOTAL DEDUCCIONES - TOTAL RENTAS EXENTAS)</t>
  </si>
  <si>
    <t xml:space="preserve">APROPIACIONES</t>
  </si>
  <si>
    <t xml:space="preserve">SENA</t>
  </si>
  <si>
    <t xml:space="preserve">ICBF </t>
  </si>
  <si>
    <t xml:space="preserve">CAJA DE COMP</t>
  </si>
  <si>
    <t xml:space="preserve">PENSION</t>
  </si>
  <si>
    <t xml:space="preserve">ARL</t>
  </si>
  <si>
    <t xml:space="preserve">VACACIONES</t>
  </si>
  <si>
    <t xml:space="preserve">CESANTIAS</t>
  </si>
  <si>
    <t xml:space="preserve">INTERESES</t>
  </si>
  <si>
    <t xml:space="preserve">PRIMA</t>
  </si>
  <si>
    <t xml:space="preserve">(-) 25% del subtotal 2, sin que anualmente exceda de 790 UVT </t>
  </si>
  <si>
    <t xml:space="preserve">SUBTOTAL 3 = (SUBTOTAL 2 - 25%)</t>
  </si>
  <si>
    <t xml:space="preserve">VALOR DE LA UVT AÑO 2026</t>
  </si>
  <si>
    <t xml:space="preserve">40% DEL SUBTOTAL 1</t>
  </si>
  <si>
    <t xml:space="preserve">TOTAL DEDUCCIONES + TOTAL RENTAS EXENTAS + 25% EXENTO</t>
  </si>
  <si>
    <t xml:space="preserve">INGRESO BASE DE RETENCIÓN EN PESOS</t>
  </si>
  <si>
    <t xml:space="preserve">INGRESO BASE DE RETENCIÓN ENUVT</t>
  </si>
  <si>
    <t xml:space="preserve">VALOR DE LA RETENCIÓN</t>
  </si>
  <si>
    <t xml:space="preserve">CALCULO DEL PAGO DE INCAPACIDADES CORRESPONDIENTES A EMLPLEADOR, EPS Y ARL</t>
  </si>
  <si>
    <t xml:space="preserve">COMO DETERMINAR EL INGRESO LABORAL GRAVADO EXPRESADO EN PESOS</t>
  </si>
  <si>
    <t xml:space="preserve">NOMBRES DE LOS TRABAJADORES</t>
  </si>
  <si>
    <t xml:space="preserve">NUMERO DE HORAS EXTRAS Y RECARGOS</t>
  </si>
  <si>
    <t xml:space="preserve">ENFERMEDAD GENERAL</t>
  </si>
  <si>
    <t xml:space="preserve">RIESGOS LABORALES</t>
  </si>
  <si>
    <t xml:space="preserve">LICENCIA MATERNIDAD</t>
  </si>
  <si>
    <t xml:space="preserve">CASO 1: CUANDO EL 40% DEL SUBTORAL 1 ES MAYOR QUE (TOTAL DEDUCCIONES + TOTAL RENTAS EXENTAS + 25% EXENTO)</t>
  </si>
  <si>
    <t xml:space="preserve">D Y F</t>
  </si>
  <si>
    <t xml:space="preserve">RN</t>
  </si>
  <si>
    <t xml:space="preserve">HEDO</t>
  </si>
  <si>
    <t xml:space="preserve">HENO</t>
  </si>
  <si>
    <t xml:space="preserve">HEDF</t>
  </si>
  <si>
    <t xml:space="preserve">HENF</t>
  </si>
  <si>
    <t xml:space="preserve">EMPLEADOR</t>
  </si>
  <si>
    <t xml:space="preserve">EPS</t>
  </si>
  <si>
    <t xml:space="preserve">EN ESTE CASO, EL INGRESO LABORAL GRAVADO ES IGUAL AL SUBTOTAL 3</t>
  </si>
  <si>
    <t xml:space="preserve">PAGAEPS</t>
  </si>
  <si>
    <t xml:space="preserve">CASO 2: CUANDO EL 40% DEL SUBTORAL 1 ES MENOR QUE (TOTAL DEDUCCIONES + TOTAL RENTAS EXENTAS + 25% EXENTO)</t>
  </si>
  <si>
    <t xml:space="preserve">EN ESTE CASO, EL INGRESO LABORAL GRAVADO SE OBTIENEN MEDIANTE LOS SIGUIENTES CÁLCULOS:</t>
  </si>
  <si>
    <t xml:space="preserve">(-) 40% DEL SUBTOTAL 1</t>
  </si>
  <si>
    <t xml:space="preserve">(+) SUBTOTAL 3 </t>
  </si>
  <si>
    <t xml:space="preserve">FACTORES PARA CALCULAR HORA EXTRAS Y RECARGO</t>
  </si>
  <si>
    <t xml:space="preserve">(=) (INGRESO LABORAL GRAVADO EXPRESADO EN PESOS</t>
  </si>
  <si>
    <t xml:space="preserve">TOTAL EMPLEADOR  = </t>
  </si>
  <si>
    <t xml:space="preserve">CASO 2: OTRA FORMA DE CALCULARLO</t>
  </si>
  <si>
    <t xml:space="preserve">PAGO POR CUENTA DE TERCEROS 237.333+500.000+520.000</t>
  </si>
  <si>
    <t xml:space="preserve">SUBOTAL 1</t>
  </si>
  <si>
    <t xml:space="preserve">UVT</t>
  </si>
  <si>
    <t xml:space="preserve">Rangos en UVT</t>
  </si>
  <si>
    <t xml:space="preserve">Tarifa marginal</t>
  </si>
  <si>
    <t xml:space="preserve">Instrucción para calcular la retención ("impuesto") en $</t>
  </si>
  <si>
    <t xml:space="preserve">&gt;0</t>
  </si>
  <si>
    <t xml:space="preserve">&gt;95</t>
  </si>
  <si>
    <t xml:space="preserve">(Ingreso laboral gravado expresado en UVT menos 95 UVT) × 19 %</t>
  </si>
  <si>
    <t xml:space="preserve">&gt;150</t>
  </si>
  <si>
    <t xml:space="preserve">(Ingreso laboral gravado expresado en UVT menos 150 UVT) × 28 % más 10 UVT</t>
  </si>
  <si>
    <t xml:space="preserve">&gt;360</t>
  </si>
  <si>
    <t xml:space="preserve">(Ingreso laboral gravado expresado en UVT menos 360 UVT) × 33 % más 69 UVT</t>
  </si>
  <si>
    <t xml:space="preserve">&gt;640</t>
  </si>
  <si>
    <t xml:space="preserve">(Ingreso laboral gravado expresado en UVT menos 640 UVT) × 35 % más 162 UVT</t>
  </si>
  <si>
    <t xml:space="preserve">&gt;945</t>
  </si>
  <si>
    <t xml:space="preserve">(Ingreso laboral gravado expresado en UVT menos 945 UVT) × 37 % más 268 UVT</t>
  </si>
  <si>
    <t xml:space="preserve">&gt;2300</t>
  </si>
  <si>
    <t xml:space="preserve">En adelante</t>
  </si>
  <si>
    <t xml:space="preserve">(Ingreso laboral gravado expresado en UVT menos 2300 UVT) × 39 % más 770 UVT</t>
  </si>
  <si>
    <t xml:space="preserve">CONTABILIZACION DE LOS VALORES DEVENGADOS, LAS DEDUCCIONES Y EL NETO A PAGAR
  LA NOMINA MEDIANTE  CUENTAS T</t>
  </si>
  <si>
    <t xml:space="preserve">CONTABILIZACION DE LOS VALORES DEVENGADOS, LAS DEDUCCIONES Y EL NETO A PAGAR DE   LA NOMINA MEDIANTE  COMPROBANTE DE CONTABILIDAD</t>
  </si>
  <si>
    <t xml:space="preserve">510506 SUELDOS</t>
  </si>
  <si>
    <t xml:space="preserve">510515 HORAS EXTRAS Y RECARGOS</t>
  </si>
  <si>
    <t xml:space="preserve">CODIGO</t>
  </si>
  <si>
    <t xml:space="preserve">CUENTAS </t>
  </si>
  <si>
    <t xml:space="preserve">PARCIALES</t>
  </si>
  <si>
    <t xml:space="preserve">DEBITOS </t>
  </si>
  <si>
    <t xml:space="preserve">CREDITOS</t>
  </si>
  <si>
    <t xml:space="preserve">GASTOS DE PERSONAL</t>
  </si>
  <si>
    <t xml:space="preserve">Sueldos</t>
  </si>
  <si>
    <t xml:space="preserve">510518 BONIFICASIONES</t>
  </si>
  <si>
    <t xml:space="preserve">510524 INCAPACIDADES</t>
  </si>
  <si>
    <t xml:space="preserve">Horas Extras y Recargos</t>
  </si>
  <si>
    <t xml:space="preserve">Bonificasiones</t>
  </si>
  <si>
    <t xml:space="preserve">Incapacidades</t>
  </si>
  <si>
    <t xml:space="preserve">138025 PAGOS POR CUENTA DE TERCEROS</t>
  </si>
  <si>
    <t xml:space="preserve">510527 AUXILIO DE TRANSPORTE</t>
  </si>
  <si>
    <t xml:space="preserve">Auxilio de Transporte</t>
  </si>
  <si>
    <t xml:space="preserve">DEUDORES VARIOS</t>
  </si>
  <si>
    <t xml:space="preserve">Pagos por Cuenta de Terceros</t>
  </si>
  <si>
    <t xml:space="preserve">237040 A COOPERATIVAS</t>
  </si>
  <si>
    <t xml:space="preserve">236505 SALARIOS Y PAGOS LABORALES</t>
  </si>
  <si>
    <t xml:space="preserve">RETENCION EN LA FUENTE</t>
  </si>
  <si>
    <t xml:space="preserve">Salarios y Pagos Laborales</t>
  </si>
  <si>
    <t xml:space="preserve">RETENCIONES Y APORTES DE NOMINA</t>
  </si>
  <si>
    <t xml:space="preserve">237005 APORTES A EPS</t>
  </si>
  <si>
    <t xml:space="preserve">237025 EMBARGOS JUDICIALES</t>
  </si>
  <si>
    <t xml:space="preserve">Aportes a EPS</t>
  </si>
  <si>
    <t xml:space="preserve">Embargos</t>
  </si>
  <si>
    <t xml:space="preserve">Cooperativas</t>
  </si>
  <si>
    <t xml:space="preserve">238030 FONDOS DE C. Y/O PENSIONES</t>
  </si>
  <si>
    <t xml:space="preserve">111005 MONEDA NACIONAL</t>
  </si>
  <si>
    <t xml:space="preserve">ACREEDORES VARIOS</t>
  </si>
  <si>
    <t xml:space="preserve">Fondos de Cesantias y/o Pensiones</t>
  </si>
  <si>
    <t xml:space="preserve">BANCOS</t>
  </si>
  <si>
    <t xml:space="preserve">Moneda Nacional</t>
  </si>
  <si>
    <t xml:space="preserve">EXPLICACION A LOS REGISTROS CONTABLES</t>
  </si>
  <si>
    <t xml:space="preserve">VALORES DEVENGADOS</t>
  </si>
  <si>
    <t xml:space="preserve">Los pagos por salarios, bonificaciones, horas extras, auxilio de transporte, </t>
  </si>
  <si>
    <t xml:space="preserve">constituye para la empresa gasto de personal, que como sabemos son cuentas</t>
  </si>
  <si>
    <t xml:space="preserve">de naturaleza debito, que según el caso se deben clasificar como gastos de </t>
  </si>
  <si>
    <t xml:space="preserve">administraciòn (grupo 51) o gasto de ventas (grupo 52)</t>
  </si>
  <si>
    <t xml:space="preserve">Los valores descontados por salud, pensiòn, retenciòn en la fuente, embargos,</t>
  </si>
  <si>
    <t xml:space="preserve">La diferencia entre lo devengado y las deducciones, es lo que se le debe entregar al</t>
  </si>
  <si>
    <t xml:space="preserve">constituye para la empresa pasivos, ya que son valore que debe pagar, normalmente,</t>
  </si>
  <si>
    <t xml:space="preserve">trabajador. Sì el pago es inmediato con dinero del banco, se disminuye la cuenta 1110</t>
  </si>
  <si>
    <t xml:space="preserve">al mes siguiente. En cuanto al anticipo, corresponde al pago anticipado que de su</t>
  </si>
  <si>
    <t xml:space="preserve">acreditandola. Sì por el contrario se les queda debiendo, se acredita la cuenta de pasivo </t>
  </si>
  <si>
    <t xml:space="preserve">salario hace la empresa a sus trabajadores, por los cuales debita la cuenta de activo</t>
  </si>
  <si>
    <t xml:space="preserve">2505 Salarios por  Pagar</t>
  </si>
  <si>
    <t xml:space="preserve">1330 al momento del anticipo y acredita, cuando le hace el descuento a traves de la</t>
  </si>
  <si>
    <t xml:space="preserve">nòmina.</t>
  </si>
  <si>
    <t xml:space="preserve">CONTABILIZACION DE LAS APROPIACIONES  DE   LA NOMINA MEDIANTE   LA UTILIZACION DE LAS CUENTAS T</t>
  </si>
  <si>
    <t xml:space="preserve">510530 CESANTIAS</t>
  </si>
  <si>
    <t xml:space="preserve">510533 INTERESES SOBRE CESANTIAS</t>
  </si>
  <si>
    <t xml:space="preserve">Cesantias</t>
  </si>
  <si>
    <t xml:space="preserve">510536 PRIMA DE SERVICIOS</t>
  </si>
  <si>
    <t xml:space="preserve">510539 VACACIONES</t>
  </si>
  <si>
    <t xml:space="preserve">Intereses Sobre Cesantias</t>
  </si>
  <si>
    <t xml:space="preserve">Prima De Servicios</t>
  </si>
  <si>
    <t xml:space="preserve">Vacaciones</t>
  </si>
  <si>
    <t xml:space="preserve">510568 APORTES A ARL</t>
  </si>
  <si>
    <t xml:space="preserve">510569 APORTES A EPS</t>
  </si>
  <si>
    <t xml:space="preserve">Aportes a ARL</t>
  </si>
  <si>
    <t xml:space="preserve">Aportes a Fondos de Pensiones</t>
  </si>
  <si>
    <t xml:space="preserve">510570 APORTES A FONDOS DE PENSIONES</t>
  </si>
  <si>
    <t xml:space="preserve">510572 APORTES A CAJA DE COMPENSACION</t>
  </si>
  <si>
    <t xml:space="preserve">Aportes a Caja de Compensaciòn</t>
  </si>
  <si>
    <t xml:space="preserve">Aportes a ICBF</t>
  </si>
  <si>
    <t xml:space="preserve">510575 APORTES ICBF</t>
  </si>
  <si>
    <t xml:space="preserve">510578 SENA</t>
  </si>
  <si>
    <t xml:space="preserve">237006 APORTES A ARL</t>
  </si>
  <si>
    <t xml:space="preserve">Aportes Al ICBF, SENA, CCF</t>
  </si>
  <si>
    <t xml:space="preserve">237010 APORTES AL ICBF, SENA, CCF</t>
  </si>
  <si>
    <t xml:space="preserve">238030 FONDO DE PENSIONES</t>
  </si>
  <si>
    <t xml:space="preserve">Fondos de Pensiones</t>
  </si>
  <si>
    <t xml:space="preserve">CESANTIAS CONSOLIDADAS</t>
  </si>
  <si>
    <t xml:space="preserve">Beneficios a Empleados Cesantias</t>
  </si>
  <si>
    <t xml:space="preserve">INTERESES SOBRE CESANTIAS</t>
  </si>
  <si>
    <t xml:space="preserve">251005 Beneficios Empleados Cesantìas</t>
  </si>
  <si>
    <t xml:space="preserve">251505 Beeneficios a Empleados Interes</t>
  </si>
  <si>
    <t xml:space="preserve">Beneficios a Empleados Intereses</t>
  </si>
  <si>
    <t xml:space="preserve">PRIMA DE SERVICIOS</t>
  </si>
  <si>
    <t xml:space="preserve">Beneficios a Empleados Prima</t>
  </si>
  <si>
    <t xml:space="preserve">252005 Beneficios a Empleados Prima</t>
  </si>
  <si>
    <t xml:space="preserve">2525 Beneficios a Empleados Vacaciones</t>
  </si>
  <si>
    <t xml:space="preserve">VACACIONES CONSOLIDADAS</t>
  </si>
  <si>
    <t xml:space="preserve">Beneficios a Empleados Vacaciones</t>
  </si>
  <si>
    <t xml:space="preserve">EXPLICACION A LOS REGISTROS CONTABLES APROPIACIONES</t>
  </si>
  <si>
    <t xml:space="preserve">Las causaciones que mensualmente hace la empresa por concepto Cesantías, Intereses, Primas, Vacaciones, EPS, AFP, ARL, SENA, ICBF y Caja de Compensación, constituyen para ella  gastos</t>
  </si>
  <si>
    <t xml:space="preserve">que se pagaran en un periodo futuro y que por lo tanto se convierten en un pasivo.</t>
  </si>
  <si>
    <t xml:space="preserve">Como se puede notar en los registros contables, los valores registrados al débito del gasto correspondiente, es el mismo valor registrado al crédito de las cuentas de pasivo.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</si>
</sst>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_);_(* \(#,##0\);_(* \-_);_(@_)"/>
    <numFmt numFmtId="166" formatCode="_(* #,##0.00_);_(* \(#,##0.00\);_(* \-??_);_(@_)"/>
    <numFmt numFmtId="167" formatCode="_(* #,##0_);_(* \(#,##0\);_(* \-??_);_(@_)"/>
    <numFmt numFmtId="168" formatCode="_-* #,##0_-;\-* #,##0_-;_-* \-_-;_-@_-"/>
    <numFmt numFmtId="169" formatCode="dd/mm/yyyy"/>
    <numFmt numFmtId="170" formatCode="0"/>
    <numFmt numFmtId="171" formatCode="0%"/>
    <numFmt numFmtId="172" formatCode="0.00%"/>
    <numFmt numFmtId="173" formatCode="0.000%"/>
    <numFmt numFmtId="174" formatCode="_-* #,##0.00_-;\-* #,##0.00_-;_-* \-??_-;_-@_-"/>
    <numFmt numFmtId="175" formatCode="General"/>
    <numFmt numFmtId="176" formatCode="0.00"/>
    <numFmt numFmtId="177" formatCode="\$#,##0;[RED]&quot;-$&quot;#,##0"/>
    <numFmt numFmtId="178" formatCode="#,##0"/>
    <numFmt numFmtId="179" formatCode="&quot;$ &quot;#,##0;[RED]&quot;$ -&quot;#,##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36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B0F0"/>
      <name val="Calibri"/>
      <family val="2"/>
      <charset val="1"/>
    </font>
    <font>
      <b val="true"/>
      <sz val="11"/>
      <color theme="7" tint="0.3999"/>
      <name val="Calibri"/>
      <family val="2"/>
      <charset val="1"/>
    </font>
    <font>
      <b val="true"/>
      <sz val="14"/>
      <color rgb="FF7030A0"/>
      <name val="Calibri"/>
      <family val="2"/>
      <charset val="1"/>
    </font>
    <font>
      <b val="true"/>
      <sz val="11"/>
      <color rgb="FF7030A0"/>
      <name val="Calibri"/>
      <family val="2"/>
      <charset val="1"/>
    </font>
    <font>
      <b val="true"/>
      <sz val="1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1"/>
      <color rgb="FF8D0104"/>
      <name val="Calibri"/>
      <family val="2"/>
      <charset val="1"/>
    </font>
    <font>
      <b val="true"/>
      <sz val="11"/>
      <color rgb="FF0000CC"/>
      <name val="Calibri"/>
      <family val="2"/>
      <charset val="1"/>
    </font>
    <font>
      <sz val="8"/>
      <color theme="1"/>
      <name val="Calibri"/>
      <family val="2"/>
      <charset val="1"/>
    </font>
    <font>
      <sz val="22"/>
      <color theme="1"/>
      <name val="Calibri"/>
      <family val="2"/>
      <charset val="1"/>
    </font>
    <font>
      <b val="true"/>
      <sz val="22"/>
      <color theme="1"/>
      <name val="Calibri"/>
      <family val="2"/>
      <charset val="1"/>
    </font>
    <font>
      <b val="true"/>
      <sz val="11"/>
      <color theme="0"/>
      <name val="Arial"/>
      <family val="2"/>
      <charset val="1"/>
    </font>
    <font>
      <i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70C0"/>
      <name val="Calibri"/>
      <family val="2"/>
      <charset val="1"/>
    </font>
    <font>
      <b val="true"/>
      <sz val="9"/>
      <color rgb="FF0070C0"/>
      <name val="Calibri"/>
      <family val="2"/>
      <charset val="1"/>
    </font>
    <font>
      <b val="true"/>
      <sz val="8"/>
      <color rgb="FF0070C0"/>
      <name val="Calibri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theme="4" tint="0.7999"/>
        <bgColor rgb="FFD6DCE5"/>
      </patternFill>
    </fill>
    <fill>
      <patternFill patternType="solid">
        <fgColor theme="0" tint="-0.05"/>
        <bgColor rgb="FFF3F3F3"/>
      </patternFill>
    </fill>
    <fill>
      <patternFill patternType="solid">
        <fgColor rgb="FFFFFFCC"/>
        <bgColor rgb="FFFFF2CC"/>
      </patternFill>
    </fill>
    <fill>
      <patternFill patternType="solid">
        <fgColor rgb="FFFFFF00"/>
        <bgColor rgb="FFCCFF66"/>
      </patternFill>
    </fill>
    <fill>
      <patternFill patternType="solid">
        <fgColor theme="3" tint="0.7999"/>
        <bgColor rgb="FFD9D9D9"/>
      </patternFill>
    </fill>
    <fill>
      <patternFill patternType="solid">
        <fgColor rgb="FFFFCCFF"/>
        <bgColor rgb="FFE7E6E6"/>
      </patternFill>
    </fill>
    <fill>
      <patternFill patternType="solid">
        <fgColor rgb="FF66CCFF"/>
        <bgColor rgb="FFA6A6A6"/>
      </patternFill>
    </fill>
    <fill>
      <patternFill patternType="solid">
        <fgColor rgb="FFFF6699"/>
        <bgColor rgb="FFFF7C80"/>
      </patternFill>
    </fill>
    <fill>
      <patternFill patternType="solid">
        <fgColor theme="1"/>
        <bgColor rgb="FF003300"/>
      </patternFill>
    </fill>
    <fill>
      <patternFill patternType="solid">
        <fgColor theme="2"/>
        <bgColor rgb="FFDAE3F3"/>
      </patternFill>
    </fill>
    <fill>
      <patternFill patternType="solid">
        <fgColor rgb="FFFFC000"/>
        <bgColor rgb="FFFFD966"/>
      </patternFill>
    </fill>
    <fill>
      <patternFill patternType="solid">
        <fgColor rgb="FF92D050"/>
        <bgColor rgb="FFA6A6A6"/>
      </patternFill>
    </fill>
    <fill>
      <patternFill patternType="solid">
        <fgColor rgb="FFCAEAFE"/>
        <bgColor rgb="FFDAE3F3"/>
      </patternFill>
    </fill>
    <fill>
      <patternFill patternType="solid">
        <fgColor theme="9" tint="0.7999"/>
        <bgColor rgb="FFE7E6E6"/>
      </patternFill>
    </fill>
    <fill>
      <patternFill patternType="solid">
        <fgColor theme="0" tint="-0.5"/>
        <bgColor rgb="FF666699"/>
      </patternFill>
    </fill>
    <fill>
      <patternFill patternType="solid">
        <fgColor theme="7" tint="0.7999"/>
        <bgColor rgb="FFFFFFCC"/>
      </patternFill>
    </fill>
    <fill>
      <patternFill patternType="solid">
        <fgColor rgb="FFFF0000"/>
        <bgColor rgb="FF8D0104"/>
      </patternFill>
    </fill>
    <fill>
      <patternFill patternType="solid">
        <fgColor rgb="FFFF7C80"/>
        <bgColor rgb="FFFF6699"/>
      </patternFill>
    </fill>
    <fill>
      <patternFill patternType="solid">
        <fgColor theme="0" tint="-0.15"/>
        <bgColor rgb="FFD6DCE5"/>
      </patternFill>
    </fill>
    <fill>
      <patternFill patternType="solid">
        <fgColor rgb="FFCCFFFF"/>
        <bgColor rgb="FFCAEAFE"/>
      </patternFill>
    </fill>
    <fill>
      <patternFill patternType="solid">
        <fgColor rgb="FFCCFF66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rgb="FFF3F3F3"/>
        <bgColor rgb="FFF2F2F2"/>
      </patternFill>
    </fill>
    <fill>
      <patternFill patternType="solid">
        <fgColor theme="0" tint="-0.35"/>
        <bgColor rgb="FF808080"/>
      </patternFill>
    </fill>
    <fill>
      <patternFill patternType="solid">
        <fgColor rgb="FF3F47ED"/>
        <bgColor rgb="FF333399"/>
      </patternFill>
    </fill>
    <fill>
      <patternFill patternType="solid">
        <fgColor theme="0"/>
        <bgColor rgb="FFF3F3F3"/>
      </patternFill>
    </fill>
  </fills>
  <borders count="5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>
        <color rgb="FF00B050"/>
      </right>
      <top style="thin"/>
      <bottom style="thin"/>
      <diagonal/>
    </border>
    <border diagonalUp="false" diagonalDown="false">
      <left/>
      <right style="medium">
        <color rgb="FF00B050"/>
      </right>
      <top style="medium">
        <color rgb="FF00B050"/>
      </top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>
        <color rgb="FF00B050"/>
      </left>
      <right style="thin">
        <color rgb="FF00B050"/>
      </right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>
        <color rgb="FFFF0000"/>
      </bottom>
      <diagonal/>
    </border>
    <border diagonalUp="false" diagonalDown="false">
      <left/>
      <right/>
      <top style="thin">
        <color theme="1"/>
      </top>
      <bottom style="thin"/>
      <diagonal/>
    </border>
    <border diagonalUp="false" diagonalDown="false">
      <left style="thin"/>
      <right style="thin">
        <color theme="1"/>
      </right>
      <top style="medium">
        <color rgb="FF00B050"/>
      </top>
      <bottom/>
      <diagonal/>
    </border>
    <border diagonalUp="false" diagonalDown="false">
      <left style="thin">
        <color theme="1"/>
      </left>
      <right/>
      <top/>
      <bottom/>
      <diagonal/>
    </border>
    <border diagonalUp="false" diagonalDown="false">
      <left style="thin"/>
      <right style="thin"/>
      <top style="medium">
        <color rgb="FF00B050"/>
      </top>
      <bottom style="double">
        <color rgb="FF00B050"/>
      </bottom>
      <diagonal/>
    </border>
    <border diagonalUp="false" diagonalDown="false"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thick">
        <color rgb="FFFF0000"/>
      </bottom>
      <diagonal/>
    </border>
    <border diagonalUp="false" diagonalDown="false">
      <left style="medium"/>
      <right/>
      <top style="thick">
        <color rgb="FFFF0000"/>
      </top>
      <bottom style="thin"/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/>
      <right style="thick">
        <color rgb="FFFF0000"/>
      </right>
      <top style="thick">
        <color rgb="FFFF0000"/>
      </top>
      <bottom/>
      <diagonal/>
    </border>
    <border diagonalUp="false" diagonalDown="false">
      <left style="medium"/>
      <right style="thin"/>
      <top style="thin"/>
      <bottom style="thick">
        <color rgb="FFFF0000"/>
      </bottom>
      <diagonal/>
    </border>
    <border diagonalUp="false" diagonalDown="false">
      <left style="thin"/>
      <right style="thin"/>
      <top style="thin"/>
      <bottom style="thick">
        <color rgb="FFFF0000"/>
      </bottom>
      <diagonal/>
    </border>
    <border diagonalUp="false" diagonalDown="false">
      <left style="thin"/>
      <right style="thick">
        <color rgb="FFFF0000"/>
      </right>
      <top/>
      <bottom style="thick">
        <color rgb="FFFF0000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ck">
        <color rgb="FF00B050"/>
      </bottom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thick">
        <color rgb="FF00B050"/>
      </top>
      <bottom/>
      <diagonal/>
    </border>
    <border diagonalUp="false" diagonalDown="false">
      <left/>
      <right style="medium">
        <color rgb="FF00B050"/>
      </right>
      <top style="thick">
        <color rgb="FF00B050"/>
      </top>
      <bottom/>
      <diagonal/>
    </border>
    <border diagonalUp="false" diagonalDown="false">
      <left style="medium">
        <color rgb="FF00B050"/>
      </left>
      <right/>
      <top/>
      <bottom/>
      <diagonal/>
    </border>
    <border diagonalUp="false" diagonalDown="false">
      <left/>
      <right style="medium">
        <color rgb="FF00B050"/>
      </right>
      <top/>
      <bottom/>
      <diagonal/>
    </border>
    <border diagonalUp="false" diagonalDown="false">
      <left style="thin"/>
      <right style="medium">
        <color rgb="FF00B050"/>
      </right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10" borderId="2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8" fontId="0" fillId="3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14" borderId="3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1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1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8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9" borderId="3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3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3" borderId="3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4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4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4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19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1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3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5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5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2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1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2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7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4" fillId="27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24" fillId="27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7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27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27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7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5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5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5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[0] 2" xfId="20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F2F2F2"/>
      <rgbColor rgb="FF8D0104"/>
      <rgbColor rgb="FF008000"/>
      <rgbColor rgb="FF000080"/>
      <rgbColor rgb="FF808000"/>
      <rgbColor rgb="FF800080"/>
      <rgbColor rgb="FF008080"/>
      <rgbColor rgb="FFD9D9D9"/>
      <rgbColor rgb="FF808080"/>
      <rgbColor rgb="FFDAE3F3"/>
      <rgbColor rgb="FF7030A0"/>
      <rgbColor rgb="FFFFFFCC"/>
      <rgbColor rgb="FFCCFFFF"/>
      <rgbColor rgb="FF660066"/>
      <rgbColor rgb="FFFF7C80"/>
      <rgbColor rgb="FF0070C0"/>
      <rgbColor rgb="FFD6DCE5"/>
      <rgbColor rgb="FF000080"/>
      <rgbColor rgb="FFFF00FF"/>
      <rgbColor rgb="FFCCFF66"/>
      <rgbColor rgb="FFF3F3F3"/>
      <rgbColor rgb="FF800080"/>
      <rgbColor rgb="FF800000"/>
      <rgbColor rgb="FF008080"/>
      <rgbColor rgb="FF0000FF"/>
      <rgbColor rgb="FF00B0F0"/>
      <rgbColor rgb="FFCAEAFE"/>
      <rgbColor rgb="FFE2F0D9"/>
      <rgbColor rgb="FFFFE699"/>
      <rgbColor rgb="FF66CCFF"/>
      <rgbColor rgb="FFFF6699"/>
      <rgbColor rgb="FFFFCCFF"/>
      <rgbColor rgb="FFFFD966"/>
      <rgbColor rgb="FF3F47ED"/>
      <rgbColor rgb="FFE7E6E6"/>
      <rgbColor rgb="FF92D050"/>
      <rgbColor rgb="FFFFC000"/>
      <rgbColor rgb="FFFFF2CC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1:AA43"/>
  <sheetViews>
    <sheetView showFormulas="false" showGridLines="fals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M24" activeCellId="0" sqref="M24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.71"/>
    <col collapsed="false" customWidth="true" hidden="false" outlineLevel="0" max="2" min="2" style="1" width="28.29"/>
    <col collapsed="false" customWidth="true" hidden="false" outlineLevel="0" max="3" min="3" style="1" width="13.29"/>
    <col collapsed="false" customWidth="true" hidden="false" outlineLevel="0" max="4" min="4" style="1" width="7.57"/>
    <col collapsed="false" customWidth="true" hidden="false" outlineLevel="0" max="5" min="5" style="1" width="12.86"/>
    <col collapsed="false" customWidth="true" hidden="false" outlineLevel="0" max="6" min="6" style="1" width="12.42"/>
    <col collapsed="false" customWidth="true" hidden="false" outlineLevel="0" max="7" min="7" style="1" width="12.86"/>
    <col collapsed="false" customWidth="true" hidden="false" outlineLevel="0" max="8" min="8" style="1" width="13"/>
    <col collapsed="false" customWidth="true" hidden="false" outlineLevel="0" max="9" min="9" style="1" width="12.42"/>
    <col collapsed="false" customWidth="true" hidden="false" outlineLevel="0" max="10" min="10" style="1" width="14"/>
    <col collapsed="false" customWidth="true" hidden="false" outlineLevel="0" max="11" min="11" style="1" width="12.29"/>
    <col collapsed="false" customWidth="true" hidden="false" outlineLevel="0" max="12" min="12" style="1" width="13.86"/>
    <col collapsed="false" customWidth="true" hidden="false" outlineLevel="0" max="18" min="17" style="1" width="13.42"/>
    <col collapsed="false" customWidth="true" hidden="false" outlineLevel="0" max="19" min="19" style="1" width="3.71"/>
    <col collapsed="false" customWidth="true" hidden="false" outlineLevel="0" max="20" min="20" style="1" width="78.85"/>
    <col collapsed="false" customWidth="true" hidden="false" outlineLevel="0" max="22" min="21" style="1" width="13.71"/>
    <col collapsed="false" customWidth="true" hidden="false" outlineLevel="0" max="24" min="24" style="1" width="13.57"/>
    <col collapsed="false" customWidth="true" hidden="false" outlineLevel="0" max="26" min="26" style="1" width="13.29"/>
  </cols>
  <sheetData>
    <row r="1" customFormat="false" ht="15.75" hidden="false" customHeight="true" outlineLevel="0" collapsed="false">
      <c r="B1" s="2" t="s">
        <v>0</v>
      </c>
      <c r="C1" s="3" t="n">
        <v>1750905</v>
      </c>
      <c r="D1" s="4" t="s">
        <v>1</v>
      </c>
      <c r="E1" s="4"/>
      <c r="F1" s="4"/>
      <c r="G1" s="3" t="n">
        <v>249095</v>
      </c>
      <c r="V1" s="5"/>
    </row>
    <row r="2" customFormat="false" ht="47.25" hidden="false" customHeight="true" outlineLevel="0" collapsed="false">
      <c r="B2" s="6"/>
      <c r="C2" s="6"/>
      <c r="D2" s="6"/>
      <c r="E2" s="6"/>
      <c r="F2" s="6"/>
      <c r="G2" s="7" t="s">
        <v>2</v>
      </c>
      <c r="H2" s="8"/>
      <c r="I2" s="9"/>
      <c r="J2" s="9"/>
      <c r="K2" s="9"/>
      <c r="L2" s="9"/>
      <c r="M2" s="9"/>
      <c r="N2" s="9"/>
      <c r="O2" s="9"/>
      <c r="P2" s="9"/>
      <c r="Q2" s="9"/>
      <c r="R2" s="10"/>
      <c r="T2" s="1" t="s">
        <v>3</v>
      </c>
      <c r="U2" s="5"/>
    </row>
    <row r="3" customFormat="false" ht="15.75" hidden="false" customHeight="true" outlineLevel="0" collapsed="false">
      <c r="T3" s="11" t="s">
        <v>4</v>
      </c>
      <c r="U3" s="12"/>
      <c r="V3" s="13" t="n">
        <f aca="false">J7</f>
        <v>17900000</v>
      </c>
    </row>
    <row r="4" customFormat="false" ht="15.75" hidden="false" customHeight="true" outlineLevel="0" collapsed="false">
      <c r="B4" s="14"/>
      <c r="C4" s="14"/>
      <c r="D4" s="15"/>
      <c r="E4" s="15"/>
      <c r="F4" s="16"/>
      <c r="G4" s="17" t="s">
        <v>5</v>
      </c>
      <c r="H4" s="18"/>
      <c r="I4" s="18"/>
      <c r="J4" s="18" t="s">
        <v>6</v>
      </c>
      <c r="K4" s="19" t="n">
        <v>46143</v>
      </c>
      <c r="L4" s="18"/>
      <c r="M4" s="18" t="s">
        <v>7</v>
      </c>
      <c r="N4" s="19" t="n">
        <v>46173</v>
      </c>
      <c r="O4" s="18"/>
      <c r="P4" s="18"/>
      <c r="Q4" s="18"/>
      <c r="R4" s="20"/>
      <c r="T4" s="21" t="s">
        <v>8</v>
      </c>
      <c r="U4" s="22"/>
      <c r="V4" s="23"/>
    </row>
    <row r="5" customFormat="false" ht="16.5" hidden="false" customHeight="true" outlineLevel="0" collapsed="false">
      <c r="B5" s="24" t="s">
        <v>9</v>
      </c>
      <c r="C5" s="25" t="s">
        <v>10</v>
      </c>
      <c r="D5" s="26" t="s">
        <v>11</v>
      </c>
      <c r="E5" s="27" t="s">
        <v>12</v>
      </c>
      <c r="F5" s="27"/>
      <c r="G5" s="27"/>
      <c r="H5" s="27"/>
      <c r="I5" s="27"/>
      <c r="J5" s="27"/>
      <c r="K5" s="28" t="s">
        <v>13</v>
      </c>
      <c r="L5" s="28"/>
      <c r="M5" s="28"/>
      <c r="N5" s="28"/>
      <c r="O5" s="28"/>
      <c r="P5" s="28"/>
      <c r="Q5" s="28"/>
      <c r="R5" s="28"/>
      <c r="T5" s="29" t="s">
        <v>14</v>
      </c>
      <c r="U5" s="30" t="n">
        <f aca="false">K7</f>
        <v>716000</v>
      </c>
      <c r="V5" s="23"/>
    </row>
    <row r="6" customFormat="false" ht="15.75" hidden="false" customHeight="true" outlineLevel="0" collapsed="false">
      <c r="B6" s="24"/>
      <c r="C6" s="24"/>
      <c r="D6" s="24"/>
      <c r="E6" s="31" t="s">
        <v>15</v>
      </c>
      <c r="F6" s="32" t="s">
        <v>16</v>
      </c>
      <c r="G6" s="32" t="s">
        <v>17</v>
      </c>
      <c r="H6" s="33" t="s">
        <v>18</v>
      </c>
      <c r="I6" s="34" t="s">
        <v>19</v>
      </c>
      <c r="J6" s="32" t="s">
        <v>20</v>
      </c>
      <c r="K6" s="35" t="s">
        <v>21</v>
      </c>
      <c r="L6" s="35" t="s">
        <v>22</v>
      </c>
      <c r="M6" s="35" t="s">
        <v>23</v>
      </c>
      <c r="N6" s="35" t="s">
        <v>24</v>
      </c>
      <c r="O6" s="35" t="s">
        <v>25</v>
      </c>
      <c r="P6" s="35" t="s">
        <v>26</v>
      </c>
      <c r="Q6" s="35" t="s">
        <v>27</v>
      </c>
      <c r="R6" s="35" t="s">
        <v>28</v>
      </c>
      <c r="T6" s="29" t="s">
        <v>29</v>
      </c>
      <c r="U6" s="36" t="n">
        <f aca="false">L7+M7</f>
        <v>895000</v>
      </c>
      <c r="V6" s="23"/>
    </row>
    <row r="7" customFormat="false" ht="15.75" hidden="false" customHeight="true" outlineLevel="0" collapsed="false">
      <c r="B7" s="37" t="s">
        <v>30</v>
      </c>
      <c r="C7" s="38" t="n">
        <v>17600000</v>
      </c>
      <c r="D7" s="39" t="n">
        <v>30</v>
      </c>
      <c r="E7" s="40" t="n">
        <f aca="false">C7*D7/30</f>
        <v>17600000</v>
      </c>
      <c r="F7" s="40" t="n">
        <f aca="false">IF(C7&lt;=2*$C$1,$G$1*D7/30,0)</f>
        <v>0</v>
      </c>
      <c r="G7" s="40" t="n">
        <v>300000</v>
      </c>
      <c r="H7" s="37"/>
      <c r="I7" s="37"/>
      <c r="J7" s="40" t="n">
        <f aca="false">SUM(E7:I7)</f>
        <v>17900000</v>
      </c>
      <c r="K7" s="41" t="n">
        <f aca="false">(J7-F7)*4%</f>
        <v>716000</v>
      </c>
      <c r="L7" s="41" t="n">
        <f aca="false">(J7-F7)*4%</f>
        <v>716000</v>
      </c>
      <c r="M7" s="41" t="n">
        <f aca="false">IF((J7-F7)&gt;=4*$C$1,(J7-F7)*0.01,0)</f>
        <v>179000</v>
      </c>
      <c r="N7" s="41" t="n">
        <f aca="false">U27</f>
        <v>1184000</v>
      </c>
      <c r="O7" s="37"/>
      <c r="P7" s="37"/>
      <c r="Q7" s="40" t="n">
        <f aca="false">SUM(K7:P7)</f>
        <v>2795000</v>
      </c>
      <c r="R7" s="40" t="n">
        <f aca="false">J7-Q7</f>
        <v>15105000</v>
      </c>
      <c r="T7" s="42" t="s">
        <v>31</v>
      </c>
      <c r="U7" s="42"/>
      <c r="V7" s="43" t="n">
        <f aca="false">U5+U6</f>
        <v>1611000</v>
      </c>
    </row>
    <row r="8" customFormat="false" ht="15" hidden="false" customHeight="false" outlineLevel="0" collapsed="false">
      <c r="B8" s="37" t="s">
        <v>32</v>
      </c>
      <c r="C8" s="41" t="n">
        <v>1900000</v>
      </c>
      <c r="D8" s="37" t="n">
        <v>14</v>
      </c>
      <c r="E8" s="40" t="n">
        <f aca="false">C8*D8/30</f>
        <v>886666.666666667</v>
      </c>
      <c r="F8" s="41" t="n">
        <f aca="false">IF(C8&lt;=2*$C$1,$G$1*D8/30,0)</f>
        <v>116244.333333333</v>
      </c>
      <c r="G8" s="37"/>
      <c r="H8" s="41" t="n">
        <f aca="false">(C8*E37*E32/210)+(C8*I37*I32/210)</f>
        <v>529285.714285714</v>
      </c>
      <c r="I8" s="37"/>
      <c r="J8" s="40" t="n">
        <f aca="false">SUM(E8:I8)</f>
        <v>1532196.71428571</v>
      </c>
      <c r="K8" s="41" t="n">
        <f aca="false">(J8-F8)*4%</f>
        <v>56638.0952380952</v>
      </c>
      <c r="L8" s="41" t="n">
        <f aca="false">(J8-F8)*4%</f>
        <v>56638.0952380952</v>
      </c>
      <c r="M8" s="41" t="n">
        <f aca="false">IF((J8-F8)&gt;=4*$C$1,(J8-F8)*0.01,0)</f>
        <v>0</v>
      </c>
      <c r="N8" s="41"/>
      <c r="O8" s="37"/>
      <c r="P8" s="40" t="n">
        <v>100000</v>
      </c>
      <c r="Q8" s="40" t="n">
        <f aca="false">SUM(K8:P8)</f>
        <v>213276.19047619</v>
      </c>
      <c r="R8" s="40" t="n">
        <f aca="false">J8-Q8</f>
        <v>1318920.52380952</v>
      </c>
      <c r="T8" s="11" t="s">
        <v>33</v>
      </c>
      <c r="U8" s="44"/>
      <c r="V8" s="45" t="n">
        <f aca="false">V3-V7</f>
        <v>16289000</v>
      </c>
      <c r="X8" s="46"/>
      <c r="Y8" s="47"/>
      <c r="Z8" s="47"/>
      <c r="AA8" s="48"/>
    </row>
    <row r="9" customFormat="false" ht="15" hidden="false" customHeight="false" outlineLevel="0" collapsed="false">
      <c r="B9" s="37" t="s">
        <v>34</v>
      </c>
      <c r="C9" s="41" t="n">
        <v>2460000</v>
      </c>
      <c r="D9" s="37" t="n">
        <v>23</v>
      </c>
      <c r="E9" s="40" t="n">
        <f aca="false">C9*D9/30</f>
        <v>1886000</v>
      </c>
      <c r="F9" s="40" t="n">
        <f aca="false">IF(C9&lt;=2*$C$1,$G$1*D9/30,0)</f>
        <v>190972.833333333</v>
      </c>
      <c r="G9" s="37"/>
      <c r="H9" s="37"/>
      <c r="I9" s="40" t="n">
        <f aca="false">R33</f>
        <v>408544.5</v>
      </c>
      <c r="J9" s="40" t="n">
        <f aca="false">SUM(E9:I9)</f>
        <v>2485517.33333333</v>
      </c>
      <c r="K9" s="41" t="n">
        <f aca="false">(J9-F9)*4%</f>
        <v>91781.78</v>
      </c>
      <c r="L9" s="41" t="n">
        <f aca="false">(J9-F9)*4%</f>
        <v>91781.78</v>
      </c>
      <c r="M9" s="41" t="n">
        <f aca="false">IF((J9-F9)&gt;=4*$C$1,(J9-F9)*0.01,0)</f>
        <v>0</v>
      </c>
      <c r="N9" s="41"/>
      <c r="O9" s="37"/>
      <c r="P9" s="37"/>
      <c r="Q9" s="40" t="n">
        <f aca="false">SUM(K9:P9)</f>
        <v>183563.56</v>
      </c>
      <c r="R9" s="40" t="n">
        <f aca="false">J9-Q9</f>
        <v>2301953.77333333</v>
      </c>
      <c r="T9" s="21" t="s">
        <v>35</v>
      </c>
      <c r="U9" s="49"/>
      <c r="V9" s="50"/>
      <c r="X9" s="51"/>
      <c r="Y9" s="52" t="n">
        <v>16</v>
      </c>
      <c r="Z9" s="40" t="n">
        <f aca="false">$X$10*Y9</f>
        <v>837984</v>
      </c>
      <c r="AA9" s="53" t="s">
        <v>36</v>
      </c>
    </row>
    <row r="10" customFormat="false" ht="15.75" hidden="false" customHeight="true" outlineLevel="0" collapsed="false">
      <c r="B10" s="37" t="s">
        <v>37</v>
      </c>
      <c r="C10" s="41" t="n">
        <f aca="false">$C$1</f>
        <v>1750905</v>
      </c>
      <c r="D10" s="37" t="n">
        <v>25</v>
      </c>
      <c r="E10" s="40" t="n">
        <f aca="false">C10*D10/30</f>
        <v>1459087.5</v>
      </c>
      <c r="F10" s="40" t="n">
        <f aca="false">IF(C10&lt;=2*$C$1,$G$1*D10/30,0)</f>
        <v>207579.166666667</v>
      </c>
      <c r="G10" s="37"/>
      <c r="H10" s="40" t="n">
        <f aca="false">C10*E37*E34/210</f>
        <v>253464.342857143</v>
      </c>
      <c r="I10" s="40" t="n">
        <f aca="false">R34</f>
        <v>291817.5</v>
      </c>
      <c r="J10" s="40" t="n">
        <f aca="false">SUM(E10:I10)</f>
        <v>2211948.50952381</v>
      </c>
      <c r="K10" s="41" t="n">
        <f aca="false">(J10-F10)*4%</f>
        <v>80174.7737142857</v>
      </c>
      <c r="L10" s="41" t="n">
        <f aca="false">(J10-F10)*4%</f>
        <v>80174.7737142857</v>
      </c>
      <c r="M10" s="41" t="n">
        <f aca="false">IF((J10-F10)&gt;=4*$C$1,(J10-F10)*0.01,0)</f>
        <v>0</v>
      </c>
      <c r="N10" s="41"/>
      <c r="O10" s="37"/>
      <c r="P10" s="37"/>
      <c r="Q10" s="40" t="n">
        <f aca="false">SUM(K10:P10)</f>
        <v>160349.547428571</v>
      </c>
      <c r="R10" s="40" t="n">
        <f aca="false">J10-Q10</f>
        <v>2051598.96209524</v>
      </c>
      <c r="T10" s="21" t="s">
        <v>38</v>
      </c>
      <c r="U10" s="54" t="n">
        <v>980000</v>
      </c>
      <c r="V10" s="22"/>
      <c r="X10" s="55" t="n">
        <v>52374</v>
      </c>
      <c r="Y10" s="52" t="n">
        <v>32</v>
      </c>
      <c r="Z10" s="40" t="n">
        <f aca="false">$X$10*Y10</f>
        <v>1675968</v>
      </c>
      <c r="AA10" s="53" t="s">
        <v>39</v>
      </c>
    </row>
    <row r="11" customFormat="false" ht="15.75" hidden="false" customHeight="true" outlineLevel="0" collapsed="false">
      <c r="B11" s="37" t="s">
        <v>40</v>
      </c>
      <c r="C11" s="40" t="n">
        <v>1820000</v>
      </c>
      <c r="D11" s="37" t="n">
        <v>30</v>
      </c>
      <c r="E11" s="40" t="n">
        <f aca="false">C11*D11/30</f>
        <v>1820000</v>
      </c>
      <c r="F11" s="40" t="n">
        <f aca="false">IF(C11&lt;=2*$C$1,$G$1*D11/30,0)</f>
        <v>249095</v>
      </c>
      <c r="G11" s="37"/>
      <c r="H11" s="40" t="n">
        <f aca="false">(C11*F37*F35/210)+(C11*H37*H35/210)</f>
        <v>1031333.33333333</v>
      </c>
      <c r="I11" s="37"/>
      <c r="J11" s="40" t="n">
        <f aca="false">SUM(E11:I11)</f>
        <v>3100428.33333333</v>
      </c>
      <c r="K11" s="41" t="n">
        <f aca="false">(J11-F11)*4%</f>
        <v>114053.333333333</v>
      </c>
      <c r="L11" s="41" t="n">
        <f aca="false">(J11-F11)*4%</f>
        <v>114053.333333333</v>
      </c>
      <c r="M11" s="41" t="n">
        <f aca="false">IF((J11-F11)&gt;=4*$C$1,(J11-F11)*0.01,0)</f>
        <v>0</v>
      </c>
      <c r="N11" s="41"/>
      <c r="O11" s="40" t="n">
        <f aca="false">(C11-$C$1)/5</f>
        <v>13819</v>
      </c>
      <c r="P11" s="37"/>
      <c r="Q11" s="40" t="n">
        <f aca="false">SUM(K11:P11)</f>
        <v>241925.666666667</v>
      </c>
      <c r="R11" s="40" t="n">
        <f aca="false">J11-Q11</f>
        <v>2858502.66666667</v>
      </c>
      <c r="T11" s="21" t="s">
        <v>41</v>
      </c>
      <c r="U11" s="54" t="n">
        <v>0</v>
      </c>
      <c r="V11" s="30"/>
      <c r="X11" s="56"/>
      <c r="Y11" s="57" t="n">
        <v>100</v>
      </c>
      <c r="Z11" s="40" t="n">
        <f aca="false">$X$10*Y11</f>
        <v>5237400</v>
      </c>
      <c r="AA11" s="58" t="s">
        <v>42</v>
      </c>
    </row>
    <row r="12" customFormat="false" ht="15.75" hidden="false" customHeight="true" outlineLevel="0" collapsed="false">
      <c r="B12" s="37" t="s">
        <v>43</v>
      </c>
      <c r="C12" s="40" t="n">
        <v>1930000</v>
      </c>
      <c r="D12" s="37" t="n">
        <v>18</v>
      </c>
      <c r="E12" s="40" t="n">
        <f aca="false">C12*D12/30</f>
        <v>1158000</v>
      </c>
      <c r="F12" s="40" t="n">
        <f aca="false">IF(C12&lt;=2*$C$1,$G$1*D12/30,0)</f>
        <v>149457</v>
      </c>
      <c r="G12" s="37"/>
      <c r="H12" s="37"/>
      <c r="I12" s="40" t="n">
        <f aca="false">R36</f>
        <v>772000</v>
      </c>
      <c r="J12" s="40" t="n">
        <f aca="false">SUM(E12:I12)</f>
        <v>2079457</v>
      </c>
      <c r="K12" s="41" t="n">
        <f aca="false">(J12-F12)*4%</f>
        <v>77200</v>
      </c>
      <c r="L12" s="41" t="n">
        <f aca="false">(J12-F12)*4%</f>
        <v>77200</v>
      </c>
      <c r="M12" s="41" t="n">
        <f aca="false">IF((J12-F12)&gt;=4*$C$1,(J12-F12)*0.01,0)</f>
        <v>0</v>
      </c>
      <c r="N12" s="41"/>
      <c r="O12" s="37"/>
      <c r="P12" s="37"/>
      <c r="Q12" s="40" t="n">
        <f aca="false">SUM(K12:P12)</f>
        <v>154400</v>
      </c>
      <c r="R12" s="40" t="n">
        <f aca="false">J12-Q12</f>
        <v>1925057</v>
      </c>
      <c r="T12" s="21" t="s">
        <v>44</v>
      </c>
      <c r="U12" s="59" t="n">
        <f aca="false">MIN(V3*0.1,$Z$10)</f>
        <v>1675968</v>
      </c>
      <c r="V12" s="30"/>
    </row>
    <row r="13" customFormat="false" ht="15" hidden="false" customHeight="false" outlineLevel="0" collapsed="false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T13" s="11" t="s">
        <v>45</v>
      </c>
      <c r="U13" s="60"/>
      <c r="V13" s="13" t="n">
        <f aca="false">SUM(U10:U12)</f>
        <v>2655968</v>
      </c>
      <c r="W13" s="5"/>
      <c r="X13" s="5"/>
    </row>
    <row r="14" customFormat="false" ht="15" hidden="false" customHeight="false" outlineLevel="0" collapsed="false"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T14" s="21" t="s">
        <v>46</v>
      </c>
      <c r="U14" s="30"/>
      <c r="V14" s="30"/>
      <c r="X14" s="61"/>
    </row>
    <row r="15" customFormat="false" ht="15" hidden="false" customHeight="false" outlineLevel="0" collapsed="false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T15" s="21" t="s">
        <v>47</v>
      </c>
      <c r="U15" s="62" t="n">
        <v>0</v>
      </c>
      <c r="V15" s="62"/>
      <c r="X15" s="63" t="s">
        <v>48</v>
      </c>
      <c r="Y15" s="63"/>
      <c r="Z15" s="63"/>
      <c r="AA15" s="63"/>
    </row>
    <row r="16" customFormat="false" ht="15.75" hidden="false" customHeight="true" outlineLevel="0" collapsed="false"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T16" s="21" t="s">
        <v>49</v>
      </c>
      <c r="U16" s="64" t="n">
        <v>0</v>
      </c>
      <c r="V16" s="65"/>
      <c r="X16" s="63" t="s">
        <v>50</v>
      </c>
      <c r="Y16" s="63"/>
      <c r="Z16" s="63"/>
      <c r="AA16" s="63"/>
    </row>
    <row r="17" customFormat="false" ht="15.75" hidden="false" customHeight="true" outlineLevel="0" collapsed="false">
      <c r="B17" s="37" t="s">
        <v>51</v>
      </c>
      <c r="C17" s="37"/>
      <c r="D17" s="37"/>
      <c r="E17" s="40" t="n">
        <f aca="false">SUM(E7:E16)</f>
        <v>24809754.1666667</v>
      </c>
      <c r="F17" s="40" t="n">
        <f aca="false">SUM(F7:F16)</f>
        <v>913348.333333333</v>
      </c>
      <c r="G17" s="40" t="n">
        <f aca="false">SUM(G7:G16)</f>
        <v>300000</v>
      </c>
      <c r="H17" s="40" t="n">
        <f aca="false">SUM(H7:H16)</f>
        <v>1814083.39047619</v>
      </c>
      <c r="I17" s="40" t="n">
        <f aca="false">SUM(I7:I16)</f>
        <v>1472362</v>
      </c>
      <c r="J17" s="40" t="n">
        <f aca="false">SUM(J7:J16)</f>
        <v>29309547.8904762</v>
      </c>
      <c r="K17" s="40" t="n">
        <f aca="false">SUM(K7:K16)</f>
        <v>1135847.98228571</v>
      </c>
      <c r="L17" s="40" t="n">
        <f aca="false">SUM(L7:L16)</f>
        <v>1135847.98228571</v>
      </c>
      <c r="M17" s="40" t="n">
        <f aca="false">SUM(M7:M16)</f>
        <v>179000</v>
      </c>
      <c r="N17" s="40" t="n">
        <f aca="false">SUM(N7:N16)</f>
        <v>1184000</v>
      </c>
      <c r="O17" s="40" t="n">
        <f aca="false">SUM(O7:O16)</f>
        <v>13819</v>
      </c>
      <c r="P17" s="40" t="n">
        <f aca="false">SUM(P7:P16)</f>
        <v>100000</v>
      </c>
      <c r="Q17" s="40" t="n">
        <f aca="false">SUM(Q7:Q16)</f>
        <v>3748514.96457143</v>
      </c>
      <c r="R17" s="40" t="n">
        <f aca="false">SUM(R7:R16)</f>
        <v>25561032.9259048</v>
      </c>
      <c r="T17" s="11" t="s">
        <v>52</v>
      </c>
      <c r="U17" s="60"/>
      <c r="V17" s="65" t="n">
        <f aca="false">U15+U16</f>
        <v>0</v>
      </c>
    </row>
    <row r="18" customFormat="false" ht="15" hidden="false" customHeight="false" outlineLevel="0" collapsed="false">
      <c r="R18" s="66"/>
      <c r="T18" s="67" t="s">
        <v>53</v>
      </c>
      <c r="U18" s="30"/>
      <c r="V18" s="68" t="n">
        <f aca="false">V8-V13-V17</f>
        <v>13633032</v>
      </c>
      <c r="W18" s="69"/>
    </row>
    <row r="19" customFormat="false" ht="15.75" hidden="false" customHeight="true" outlineLevel="0" collapsed="false">
      <c r="C19" s="70" t="s">
        <v>54</v>
      </c>
      <c r="D19" s="70"/>
      <c r="E19" s="70"/>
      <c r="F19" s="71" t="s">
        <v>55</v>
      </c>
      <c r="G19" s="71" t="s">
        <v>56</v>
      </c>
      <c r="H19" s="72" t="s">
        <v>57</v>
      </c>
      <c r="I19" s="73"/>
      <c r="J19" s="71" t="s">
        <v>21</v>
      </c>
      <c r="K19" s="72" t="s">
        <v>58</v>
      </c>
      <c r="L19" s="72" t="s">
        <v>59</v>
      </c>
      <c r="M19" s="73"/>
      <c r="N19" s="72" t="s">
        <v>60</v>
      </c>
      <c r="O19" s="72" t="s">
        <v>61</v>
      </c>
      <c r="P19" s="72"/>
      <c r="Q19" s="72" t="s">
        <v>62</v>
      </c>
      <c r="R19" s="72" t="s">
        <v>63</v>
      </c>
      <c r="T19" s="21" t="s">
        <v>64</v>
      </c>
      <c r="U19" s="30"/>
      <c r="V19" s="74" t="n">
        <f aca="false">V18*0.25</f>
        <v>3408258</v>
      </c>
    </row>
    <row r="20" customFormat="false" ht="15.75" hidden="false" customHeight="true" outlineLevel="0" collapsed="false">
      <c r="C20" s="70"/>
      <c r="D20" s="70"/>
      <c r="E20" s="70"/>
      <c r="F20" s="75" t="n">
        <v>0.02</v>
      </c>
      <c r="G20" s="75" t="n">
        <v>0.03</v>
      </c>
      <c r="H20" s="76" t="n">
        <v>0.04</v>
      </c>
      <c r="I20" s="73"/>
      <c r="J20" s="77" t="n">
        <v>0.085</v>
      </c>
      <c r="K20" s="76" t="n">
        <v>0.12</v>
      </c>
      <c r="L20" s="78" t="n">
        <v>0.01044</v>
      </c>
      <c r="M20" s="73"/>
      <c r="N20" s="79" t="n">
        <v>0.0417</v>
      </c>
      <c r="O20" s="79" t="n">
        <v>0.0833</v>
      </c>
      <c r="P20" s="79"/>
      <c r="Q20" s="76" t="n">
        <v>0.01</v>
      </c>
      <c r="R20" s="79" t="n">
        <v>0.0833</v>
      </c>
      <c r="T20" s="80" t="s">
        <v>65</v>
      </c>
      <c r="U20" s="81"/>
      <c r="V20" s="82" t="n">
        <f aca="false">V18-V19</f>
        <v>10224774</v>
      </c>
      <c r="X20" s="83"/>
    </row>
    <row r="21" customFormat="false" ht="16.5" hidden="false" customHeight="true" outlineLevel="0" collapsed="false">
      <c r="C21" s="70"/>
      <c r="D21" s="70"/>
      <c r="E21" s="70"/>
      <c r="F21" s="40" t="n">
        <f aca="false">(J7-I7-F7)*F20</f>
        <v>358000</v>
      </c>
      <c r="G21" s="40" t="n">
        <f aca="false">(J7-I7-F7)*G20</f>
        <v>537000</v>
      </c>
      <c r="H21" s="40" t="n">
        <f aca="false">(J17-I17-F17)*H20</f>
        <v>1076953.50228571</v>
      </c>
      <c r="I21" s="73"/>
      <c r="J21" s="84" t="n">
        <f aca="false">(J7-I7-F7)*J20</f>
        <v>1521500</v>
      </c>
      <c r="K21" s="40" t="n">
        <f aca="false">(J17-F17)*K20</f>
        <v>3407543.94685714</v>
      </c>
      <c r="L21" s="84" t="n">
        <f aca="false">(J17-I17-F17)*L20</f>
        <v>281084.864096571</v>
      </c>
      <c r="M21" s="73"/>
      <c r="N21" s="84" t="n">
        <f aca="false">(J17-I17-F17)*N20</f>
        <v>1122724.02613286</v>
      </c>
      <c r="O21" s="84" t="n">
        <f aca="false">$J$17*O20</f>
        <v>2441485.33927667</v>
      </c>
      <c r="P21" s="84"/>
      <c r="Q21" s="84" t="n">
        <f aca="false">$J$17*Q20</f>
        <v>293095.478904762</v>
      </c>
      <c r="R21" s="84" t="n">
        <f aca="false">$J$17*R20</f>
        <v>2441485.33927667</v>
      </c>
      <c r="T21" s="85"/>
    </row>
    <row r="22" customFormat="false" ht="15" hidden="false" customHeight="true" outlineLevel="0" collapsed="false">
      <c r="T22" s="86" t="s">
        <v>66</v>
      </c>
      <c r="U22" s="87" t="n">
        <v>52374</v>
      </c>
      <c r="V22" s="88"/>
    </row>
    <row r="23" customFormat="false" ht="15" hidden="false" customHeight="false" outlineLevel="0" collapsed="false">
      <c r="T23" s="89" t="s">
        <v>67</v>
      </c>
      <c r="U23" s="90" t="n">
        <f aca="false">V8*0.4</f>
        <v>6515600</v>
      </c>
      <c r="V23" s="91" t="n">
        <f aca="false">V8*0.4</f>
        <v>6515600</v>
      </c>
    </row>
    <row r="24" customFormat="false" ht="15" hidden="false" customHeight="false" outlineLevel="0" collapsed="false">
      <c r="T24" s="89" t="s">
        <v>68</v>
      </c>
      <c r="U24" s="91" t="n">
        <f aca="false">V13+V17+V19</f>
        <v>6064226</v>
      </c>
      <c r="V24" s="91" t="n">
        <f aca="false">V13+V17+V19</f>
        <v>6064226</v>
      </c>
      <c r="Y24" s="5"/>
    </row>
    <row r="25" customFormat="false" ht="15" hidden="false" customHeight="false" outlineLevel="0" collapsed="false">
      <c r="T25" s="92" t="s">
        <v>69</v>
      </c>
      <c r="U25" s="92"/>
      <c r="V25" s="93" t="n">
        <f aca="false">V20</f>
        <v>10224774</v>
      </c>
      <c r="Y25" s="5"/>
    </row>
    <row r="26" customFormat="false" ht="15" hidden="false" customHeight="false" outlineLevel="0" collapsed="false">
      <c r="T26" s="94" t="s">
        <v>70</v>
      </c>
      <c r="U26" s="94"/>
      <c r="V26" s="95" t="n">
        <f aca="false">ROUND(V25/U22,0)</f>
        <v>195</v>
      </c>
      <c r="W26" s="96" t="n">
        <f aca="false">V25/U22</f>
        <v>195.226142742582</v>
      </c>
    </row>
    <row r="27" customFormat="false" ht="15" hidden="false" customHeight="false" outlineLevel="0" collapsed="false">
      <c r="T27" s="97" t="s">
        <v>71</v>
      </c>
      <c r="U27" s="98" t="n">
        <f aca="false">ROUND(V27*U22,-3)</f>
        <v>1184000</v>
      </c>
      <c r="V27" s="99" t="n">
        <f aca="false">(V26-150)*0.28+10</f>
        <v>22.6</v>
      </c>
    </row>
    <row r="28" customFormat="false" ht="19.5" hidden="false" customHeight="true" outlineLevel="0" collapsed="false">
      <c r="L28" s="100" t="s">
        <v>72</v>
      </c>
      <c r="M28" s="100"/>
      <c r="N28" s="100"/>
      <c r="O28" s="100"/>
      <c r="P28" s="100"/>
      <c r="Q28" s="100"/>
      <c r="R28" s="100"/>
      <c r="T28" s="101" t="s">
        <v>73</v>
      </c>
      <c r="U28" s="101"/>
      <c r="V28" s="101"/>
      <c r="W28" s="101"/>
    </row>
    <row r="29" customFormat="false" ht="16.5" hidden="false" customHeight="true" outlineLevel="0" collapsed="false">
      <c r="B29" s="102" t="s">
        <v>74</v>
      </c>
      <c r="C29" s="102"/>
      <c r="D29" s="102"/>
      <c r="E29" s="103" t="s">
        <v>75</v>
      </c>
      <c r="F29" s="103"/>
      <c r="G29" s="103"/>
      <c r="H29" s="103"/>
      <c r="I29" s="103"/>
      <c r="J29" s="103"/>
      <c r="L29" s="104" t="s">
        <v>76</v>
      </c>
      <c r="M29" s="104"/>
      <c r="N29" s="104" t="s">
        <v>77</v>
      </c>
      <c r="O29" s="104"/>
      <c r="P29" s="105" t="s">
        <v>78</v>
      </c>
      <c r="Q29" s="105"/>
      <c r="R29" s="104" t="s">
        <v>51</v>
      </c>
      <c r="T29" s="106" t="s">
        <v>79</v>
      </c>
      <c r="U29" s="107"/>
      <c r="V29" s="107"/>
      <c r="W29" s="108"/>
    </row>
    <row r="30" customFormat="false" ht="15.75" hidden="false" customHeight="true" outlineLevel="0" collapsed="false">
      <c r="B30" s="109"/>
      <c r="C30" s="109"/>
      <c r="D30" s="109"/>
      <c r="E30" s="110" t="s">
        <v>80</v>
      </c>
      <c r="F30" s="111" t="s">
        <v>81</v>
      </c>
      <c r="G30" s="111" t="s">
        <v>82</v>
      </c>
      <c r="H30" s="111" t="s">
        <v>83</v>
      </c>
      <c r="I30" s="110" t="s">
        <v>84</v>
      </c>
      <c r="J30" s="110" t="s">
        <v>85</v>
      </c>
      <c r="L30" s="104" t="s">
        <v>86</v>
      </c>
      <c r="M30" s="104" t="s">
        <v>87</v>
      </c>
      <c r="N30" s="104" t="s">
        <v>86</v>
      </c>
      <c r="O30" s="104" t="s">
        <v>59</v>
      </c>
      <c r="P30" s="112"/>
      <c r="Q30" s="104" t="s">
        <v>87</v>
      </c>
      <c r="R30" s="104"/>
      <c r="T30" s="113" t="s">
        <v>88</v>
      </c>
      <c r="U30" s="114" t="n">
        <f aca="false">+IF(V23&gt;=(V13+V17+V19),V20,0)</f>
        <v>10224774</v>
      </c>
      <c r="V30" s="115"/>
      <c r="W30" s="116"/>
    </row>
    <row r="31" customFormat="false" ht="17.25" hidden="false" customHeight="true" outlineLevel="0" collapsed="false">
      <c r="B31" s="117" t="str">
        <f aca="false">B7</f>
        <v>BERNARDO ROJAS</v>
      </c>
      <c r="C31" s="117"/>
      <c r="D31" s="117"/>
      <c r="E31" s="118"/>
      <c r="F31" s="119"/>
      <c r="G31" s="119"/>
      <c r="H31" s="119"/>
      <c r="I31" s="118"/>
      <c r="J31" s="118"/>
      <c r="L31" s="52"/>
      <c r="M31" s="52"/>
      <c r="N31" s="52"/>
      <c r="O31" s="120"/>
      <c r="P31" s="121" t="s">
        <v>89</v>
      </c>
      <c r="Q31" s="122"/>
      <c r="R31" s="123" t="n">
        <f aca="false">SUM(L31:Q31)</f>
        <v>0</v>
      </c>
      <c r="T31" s="124"/>
      <c r="W31" s="124"/>
    </row>
    <row r="32" customFormat="false" ht="16.5" hidden="false" customHeight="true" outlineLevel="0" collapsed="false">
      <c r="B32" s="117" t="str">
        <f aca="false">B8</f>
        <v>LEONARDO ROSAS</v>
      </c>
      <c r="C32" s="117"/>
      <c r="D32" s="117"/>
      <c r="E32" s="118" t="n">
        <f aca="false">3*8</f>
        <v>24</v>
      </c>
      <c r="F32" s="119"/>
      <c r="G32" s="119"/>
      <c r="H32" s="119"/>
      <c r="I32" s="118" t="n">
        <f aca="false">3*2</f>
        <v>6</v>
      </c>
      <c r="J32" s="118"/>
      <c r="L32" s="52"/>
      <c r="M32" s="52"/>
      <c r="N32" s="52"/>
      <c r="O32" s="120"/>
      <c r="P32" s="121"/>
      <c r="Q32" s="122"/>
      <c r="R32" s="123" t="n">
        <f aca="false">SUM(L32:Q32)</f>
        <v>0</v>
      </c>
      <c r="T32" s="125" t="s">
        <v>90</v>
      </c>
      <c r="U32" s="126"/>
      <c r="V32" s="126"/>
      <c r="W32" s="127"/>
    </row>
    <row r="33" customFormat="false" ht="15.75" hidden="false" customHeight="true" outlineLevel="0" collapsed="false">
      <c r="B33" s="117" t="str">
        <f aca="false">B9</f>
        <v>GERARDO VALVERDE</v>
      </c>
      <c r="C33" s="117"/>
      <c r="D33" s="117"/>
      <c r="E33" s="118"/>
      <c r="F33" s="119"/>
      <c r="G33" s="119"/>
      <c r="H33" s="119"/>
      <c r="I33" s="118"/>
      <c r="J33" s="118"/>
      <c r="L33" s="128" t="n">
        <f aca="false">$C$1*2/30</f>
        <v>116727</v>
      </c>
      <c r="M33" s="128" t="n">
        <f aca="false">$C$1*5/30</f>
        <v>291817.5</v>
      </c>
      <c r="N33" s="52"/>
      <c r="O33" s="120"/>
      <c r="P33" s="121"/>
      <c r="Q33" s="122"/>
      <c r="R33" s="123" t="n">
        <f aca="false">SUM(L33:Q33)</f>
        <v>408544.5</v>
      </c>
      <c r="T33" s="125" t="s">
        <v>91</v>
      </c>
      <c r="U33" s="129"/>
      <c r="V33" s="129"/>
      <c r="W33" s="129"/>
      <c r="X33" s="130"/>
    </row>
    <row r="34" customFormat="false" ht="15.75" hidden="false" customHeight="true" outlineLevel="0" collapsed="false">
      <c r="B34" s="117" t="str">
        <f aca="false">B10</f>
        <v>EDUARDO BLANCO</v>
      </c>
      <c r="C34" s="117"/>
      <c r="D34" s="117"/>
      <c r="E34" s="118" t="n">
        <f aca="false">2*8</f>
        <v>16</v>
      </c>
      <c r="F34" s="119"/>
      <c r="G34" s="119"/>
      <c r="H34" s="119"/>
      <c r="I34" s="118"/>
      <c r="J34" s="118"/>
      <c r="L34" s="52"/>
      <c r="M34" s="52"/>
      <c r="N34" s="131" t="n">
        <f aca="false">C10*1/30</f>
        <v>58363.5</v>
      </c>
      <c r="O34" s="132" t="n">
        <f aca="false">C10*4/30</f>
        <v>233454</v>
      </c>
      <c r="P34" s="121"/>
      <c r="Q34" s="122"/>
      <c r="R34" s="123" t="n">
        <f aca="false">SUM(L34:Q34)</f>
        <v>291817.5</v>
      </c>
      <c r="T34" s="133" t="s">
        <v>68</v>
      </c>
      <c r="U34" s="134" t="n">
        <f aca="false">V24</f>
        <v>6064226</v>
      </c>
      <c r="V34" s="134"/>
      <c r="W34" s="129"/>
      <c r="X34" s="130"/>
    </row>
    <row r="35" customFormat="false" ht="15.75" hidden="false" customHeight="true" outlineLevel="0" collapsed="false">
      <c r="B35" s="117" t="str">
        <f aca="false">B11</f>
        <v>GILDARDO AMARILLA</v>
      </c>
      <c r="C35" s="117"/>
      <c r="D35" s="117"/>
      <c r="E35" s="118"/>
      <c r="F35" s="119" t="n">
        <f aca="false">7*20</f>
        <v>140</v>
      </c>
      <c r="G35" s="119"/>
      <c r="H35" s="119" t="n">
        <f aca="false">2*20</f>
        <v>40</v>
      </c>
      <c r="I35" s="118"/>
      <c r="J35" s="118"/>
      <c r="L35" s="135"/>
      <c r="M35" s="135"/>
      <c r="N35" s="136"/>
      <c r="O35" s="137"/>
      <c r="P35" s="121"/>
      <c r="Q35" s="122"/>
      <c r="R35" s="123" t="n">
        <f aca="false">SUM(L35:Q35)</f>
        <v>0</v>
      </c>
      <c r="T35" s="138" t="s">
        <v>92</v>
      </c>
      <c r="U35" s="134" t="n">
        <f aca="false">V23</f>
        <v>6515600</v>
      </c>
      <c r="V35" s="134"/>
      <c r="W35" s="129"/>
      <c r="X35" s="130"/>
    </row>
    <row r="36" customFormat="false" ht="16.5" hidden="false" customHeight="true" outlineLevel="0" collapsed="false">
      <c r="B36" s="117" t="str">
        <f aca="false">B12</f>
        <v>JASMIN PEÑALOZA</v>
      </c>
      <c r="C36" s="117"/>
      <c r="D36" s="117"/>
      <c r="E36" s="118"/>
      <c r="F36" s="119"/>
      <c r="G36" s="119"/>
      <c r="H36" s="119"/>
      <c r="I36" s="118"/>
      <c r="J36" s="118"/>
      <c r="L36" s="135"/>
      <c r="M36" s="135"/>
      <c r="N36" s="135"/>
      <c r="O36" s="139"/>
      <c r="P36" s="121"/>
      <c r="Q36" s="140" t="n">
        <f aca="false">C12*12/30</f>
        <v>772000</v>
      </c>
      <c r="R36" s="123" t="n">
        <f aca="false">SUM(L36:Q36)</f>
        <v>772000</v>
      </c>
      <c r="T36" s="138" t="s">
        <v>93</v>
      </c>
      <c r="U36" s="134" t="n">
        <f aca="false">V20</f>
        <v>10224774</v>
      </c>
      <c r="V36" s="134"/>
      <c r="W36" s="129"/>
      <c r="X36" s="130"/>
    </row>
    <row r="37" customFormat="false" ht="15.75" hidden="false" customHeight="true" outlineLevel="0" collapsed="false">
      <c r="B37" s="141" t="s">
        <v>94</v>
      </c>
      <c r="C37" s="141"/>
      <c r="D37" s="141"/>
      <c r="E37" s="142" t="n">
        <v>1.9</v>
      </c>
      <c r="F37" s="143" t="n">
        <v>0.35</v>
      </c>
      <c r="G37" s="143" t="n">
        <v>1.25</v>
      </c>
      <c r="H37" s="143" t="n">
        <v>1.75</v>
      </c>
      <c r="I37" s="144" t="n">
        <v>2.15</v>
      </c>
      <c r="J37" s="144" t="n">
        <v>2.65</v>
      </c>
      <c r="K37" s="2" t="s">
        <v>51</v>
      </c>
      <c r="L37" s="145" t="n">
        <f aca="false">SUM(L31:L36)</f>
        <v>116727</v>
      </c>
      <c r="M37" s="146" t="n">
        <f aca="false">SUM(M31:M36)</f>
        <v>291817.5</v>
      </c>
      <c r="N37" s="145" t="n">
        <f aca="false">SUM(N31:N36)</f>
        <v>58363.5</v>
      </c>
      <c r="O37" s="146" t="n">
        <f aca="false">SUM(O31:O36)</f>
        <v>233454</v>
      </c>
      <c r="P37" s="147"/>
      <c r="Q37" s="146" t="n">
        <f aca="false">SUM(Q31:Q36)</f>
        <v>772000</v>
      </c>
      <c r="R37" s="148" t="n">
        <f aca="false">SUM(R31:R36)</f>
        <v>1472362</v>
      </c>
      <c r="T37" s="138" t="s">
        <v>95</v>
      </c>
      <c r="U37" s="134" t="n">
        <f aca="false">U34-U35+U36</f>
        <v>9773400</v>
      </c>
      <c r="V37" s="134"/>
      <c r="W37" s="149"/>
    </row>
    <row r="38" customFormat="false" ht="15.75" hidden="false" customHeight="true" outlineLevel="0" collapsed="false">
      <c r="L38" s="150" t="s">
        <v>96</v>
      </c>
      <c r="M38" s="150"/>
      <c r="N38" s="150"/>
      <c r="O38" s="151"/>
      <c r="P38" s="151"/>
      <c r="Q38" s="151"/>
      <c r="R38" s="152" t="n">
        <f aca="false">L37+N37</f>
        <v>175090.5</v>
      </c>
      <c r="T38" s="153" t="s">
        <v>97</v>
      </c>
      <c r="W38" s="154"/>
    </row>
    <row r="39" customFormat="false" ht="15" hidden="false" customHeight="false" outlineLevel="0" collapsed="false">
      <c r="L39" s="155" t="s">
        <v>98</v>
      </c>
      <c r="M39" s="155"/>
      <c r="N39" s="155"/>
      <c r="O39" s="155"/>
      <c r="P39" s="155"/>
      <c r="Q39" s="155"/>
      <c r="R39" s="156" t="n">
        <f aca="false">M37+O37+Q37</f>
        <v>1297271.5</v>
      </c>
      <c r="T39" s="157" t="s">
        <v>99</v>
      </c>
      <c r="U39" s="158" t="n">
        <f aca="false">V8</f>
        <v>16289000</v>
      </c>
      <c r="V39" s="158"/>
      <c r="X39" s="130"/>
    </row>
    <row r="40" customFormat="false" ht="15" hidden="false" customHeight="false" outlineLevel="0" collapsed="false">
      <c r="T40" s="157" t="s">
        <v>92</v>
      </c>
      <c r="U40" s="158" t="n">
        <f aca="false">V23</f>
        <v>6515600</v>
      </c>
      <c r="V40" s="158"/>
      <c r="W40" s="159"/>
    </row>
    <row r="41" customFormat="false" ht="15.75" hidden="false" customHeight="true" outlineLevel="0" collapsed="false">
      <c r="T41" s="160" t="s">
        <v>95</v>
      </c>
      <c r="U41" s="161" t="n">
        <f aca="false">IF(V23&lt;(V13+V17+V19),(U39-U40))</f>
        <v>0</v>
      </c>
      <c r="V41" s="162"/>
      <c r="W41" s="124"/>
      <c r="X41" s="130"/>
    </row>
    <row r="42" customFormat="false" ht="15.75" hidden="false" customHeight="true" outlineLevel="0" collapsed="false">
      <c r="T42" s="163"/>
      <c r="U42" s="163"/>
      <c r="V42" s="163"/>
      <c r="W42" s="163"/>
    </row>
    <row r="43" customFormat="false" ht="15" hidden="false" customHeight="false" outlineLevel="0" collapsed="false">
      <c r="T43" s="1" t="str">
        <f aca="false">_xlfn.FORMULATEXT(U30)</f>
        <v>=+IF(V23&gt;=(V13+V17+V19),V20,0)</v>
      </c>
    </row>
  </sheetData>
  <mergeCells count="32">
    <mergeCell ref="D1:F1"/>
    <mergeCell ref="B2:F2"/>
    <mergeCell ref="V4:V6"/>
    <mergeCell ref="B5:B6"/>
    <mergeCell ref="C5:C6"/>
    <mergeCell ref="D5:D6"/>
    <mergeCell ref="E5:J5"/>
    <mergeCell ref="K5:R5"/>
    <mergeCell ref="T7:U7"/>
    <mergeCell ref="X15:AA15"/>
    <mergeCell ref="X16:AA16"/>
    <mergeCell ref="C19:E21"/>
    <mergeCell ref="I19:I21"/>
    <mergeCell ref="M19:M21"/>
    <mergeCell ref="L28:R28"/>
    <mergeCell ref="T28:W28"/>
    <mergeCell ref="B29:D29"/>
    <mergeCell ref="E29:J29"/>
    <mergeCell ref="L29:M29"/>
    <mergeCell ref="N29:O29"/>
    <mergeCell ref="R29:R30"/>
    <mergeCell ref="B30:D30"/>
    <mergeCell ref="B31:D31"/>
    <mergeCell ref="P31:P36"/>
    <mergeCell ref="B32:D32"/>
    <mergeCell ref="B33:D33"/>
    <mergeCell ref="B34:D34"/>
    <mergeCell ref="B35:D35"/>
    <mergeCell ref="B36:D36"/>
    <mergeCell ref="B37:D37"/>
    <mergeCell ref="L38:N38"/>
    <mergeCell ref="L39:Q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2.71"/>
    <col collapsed="false" customWidth="true" hidden="false" outlineLevel="0" max="4" min="2" style="1" width="14.71"/>
    <col collapsed="false" customWidth="true" hidden="false" outlineLevel="0" max="5" min="5" style="1" width="80.71"/>
  </cols>
  <sheetData>
    <row r="1" customFormat="false" ht="28.5" hidden="false" customHeight="true" outlineLevel="0" collapsed="false">
      <c r="A1" s="164"/>
      <c r="B1" s="164"/>
      <c r="C1" s="165"/>
      <c r="D1" s="164"/>
      <c r="E1" s="164"/>
      <c r="F1" s="164"/>
      <c r="G1" s="164"/>
      <c r="H1" s="164"/>
    </row>
    <row r="2" customFormat="false" ht="29.25" hidden="false" customHeight="true" outlineLevel="0" collapsed="false">
      <c r="A2" s="164"/>
      <c r="B2" s="164"/>
      <c r="C2" s="166" t="s">
        <v>100</v>
      </c>
      <c r="D2" s="167" t="n">
        <v>52374</v>
      </c>
      <c r="E2" s="164"/>
      <c r="F2" s="164"/>
      <c r="G2" s="164"/>
      <c r="H2" s="164"/>
    </row>
    <row r="3" customFormat="false" ht="30" hidden="false" customHeight="true" outlineLevel="0" collapsed="false">
      <c r="A3" s="164"/>
      <c r="B3" s="168" t="s">
        <v>101</v>
      </c>
      <c r="C3" s="168"/>
      <c r="D3" s="168" t="s">
        <v>102</v>
      </c>
      <c r="E3" s="168" t="s">
        <v>103</v>
      </c>
      <c r="F3" s="164"/>
      <c r="G3" s="164"/>
      <c r="H3" s="164"/>
    </row>
    <row r="4" customFormat="false" ht="18" hidden="false" customHeight="true" outlineLevel="0" collapsed="false">
      <c r="A4" s="164"/>
      <c r="B4" s="169" t="s">
        <v>104</v>
      </c>
      <c r="C4" s="169" t="n">
        <v>95</v>
      </c>
      <c r="D4" s="170" t="n">
        <v>0</v>
      </c>
      <c r="E4" s="171" t="n">
        <v>0</v>
      </c>
      <c r="F4" s="164"/>
      <c r="G4" s="164"/>
      <c r="H4" s="164"/>
    </row>
    <row r="5" customFormat="false" ht="18" hidden="false" customHeight="true" outlineLevel="0" collapsed="false">
      <c r="A5" s="164"/>
      <c r="B5" s="172" t="s">
        <v>105</v>
      </c>
      <c r="C5" s="172" t="n">
        <v>150</v>
      </c>
      <c r="D5" s="173" t="n">
        <v>0.19</v>
      </c>
      <c r="E5" s="172" t="s">
        <v>106</v>
      </c>
      <c r="F5" s="164"/>
      <c r="G5" s="164"/>
      <c r="H5" s="164"/>
    </row>
    <row r="6" customFormat="false" ht="18" hidden="false" customHeight="true" outlineLevel="0" collapsed="false">
      <c r="A6" s="164"/>
      <c r="B6" s="174" t="s">
        <v>107</v>
      </c>
      <c r="C6" s="174" t="n">
        <v>360</v>
      </c>
      <c r="D6" s="175" t="n">
        <v>0.28</v>
      </c>
      <c r="E6" s="174" t="s">
        <v>108</v>
      </c>
      <c r="F6" s="164"/>
      <c r="G6" s="164"/>
      <c r="H6" s="164"/>
    </row>
    <row r="7" customFormat="false" ht="18" hidden="false" customHeight="true" outlineLevel="0" collapsed="false">
      <c r="A7" s="164"/>
      <c r="B7" s="174" t="s">
        <v>109</v>
      </c>
      <c r="C7" s="174" t="n">
        <v>640</v>
      </c>
      <c r="D7" s="176" t="n">
        <v>0.33</v>
      </c>
      <c r="E7" s="177" t="s">
        <v>110</v>
      </c>
      <c r="F7" s="164"/>
      <c r="G7" s="164"/>
      <c r="H7" s="164"/>
    </row>
    <row r="8" customFormat="false" ht="18" hidden="false" customHeight="true" outlineLevel="0" collapsed="false">
      <c r="A8" s="164"/>
      <c r="B8" s="174" t="s">
        <v>111</v>
      </c>
      <c r="C8" s="174" t="n">
        <v>945</v>
      </c>
      <c r="D8" s="175" t="n">
        <v>0.35</v>
      </c>
      <c r="E8" s="174" t="s">
        <v>112</v>
      </c>
      <c r="F8" s="164"/>
      <c r="G8" s="164"/>
      <c r="H8" s="164"/>
    </row>
    <row r="9" customFormat="false" ht="18" hidden="false" customHeight="true" outlineLevel="0" collapsed="false">
      <c r="A9" s="164"/>
      <c r="B9" s="174" t="s">
        <v>113</v>
      </c>
      <c r="C9" s="174" t="n">
        <v>2300</v>
      </c>
      <c r="D9" s="175" t="n">
        <v>0.37</v>
      </c>
      <c r="E9" s="174" t="s">
        <v>114</v>
      </c>
      <c r="F9" s="164"/>
      <c r="G9" s="164"/>
      <c r="H9" s="164"/>
    </row>
    <row r="10" customFormat="false" ht="18" hidden="false" customHeight="true" outlineLevel="0" collapsed="false">
      <c r="A10" s="164"/>
      <c r="B10" s="174" t="s">
        <v>115</v>
      </c>
      <c r="C10" s="174" t="s">
        <v>116</v>
      </c>
      <c r="D10" s="175" t="n">
        <v>0.39</v>
      </c>
      <c r="E10" s="174" t="s">
        <v>117</v>
      </c>
      <c r="F10" s="164"/>
      <c r="G10" s="164"/>
      <c r="H10" s="164"/>
    </row>
    <row r="11" customFormat="false" ht="28.5" hidden="false" customHeight="true" outlineLevel="0" collapsed="false">
      <c r="A11" s="164"/>
      <c r="B11" s="164"/>
      <c r="C11" s="164"/>
      <c r="D11" s="164"/>
      <c r="E11" s="164"/>
      <c r="F11" s="164"/>
      <c r="G11" s="164"/>
      <c r="H11" s="164"/>
    </row>
    <row r="12" customFormat="false" ht="28.5" hidden="false" customHeight="true" outlineLevel="0" collapsed="false">
      <c r="A12" s="164"/>
      <c r="B12" s="164"/>
      <c r="C12" s="164"/>
      <c r="D12" s="164"/>
      <c r="E12" s="164"/>
      <c r="F12" s="164"/>
      <c r="G12" s="164"/>
      <c r="H12" s="164"/>
    </row>
  </sheetData>
  <mergeCells count="1">
    <mergeCell ref="B3:C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S72"/>
  <sheetViews>
    <sheetView showFormulas="false" showGridLines="true" showRowColHeaders="true" showZeros="true" rightToLeft="false" tabSelected="false" showOutlineSymbols="true" defaultGridColor="true" view="normal" topLeftCell="A1" colorId="64" zoomScale="170" zoomScaleNormal="170" zoomScalePageLayoutView="100" workbookViewId="0">
      <selection pane="topLeft" activeCell="A70" activeCellId="0" sqref="A70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3" min="2" style="1" width="14.71"/>
    <col collapsed="false" customWidth="true" hidden="false" outlineLevel="0" max="4" min="4" style="1" width="8.42"/>
    <col collapsed="false" customWidth="true" hidden="false" outlineLevel="0" max="6" min="5" style="1" width="14.71"/>
    <col collapsed="false" customWidth="true" hidden="false" outlineLevel="0" max="9" min="9" style="1" width="34.14"/>
    <col collapsed="false" customWidth="true" hidden="false" outlineLevel="0" max="12" min="10" style="1" width="11.71"/>
  </cols>
  <sheetData>
    <row r="1" customFormat="false" ht="15.75" hidden="false" customHeight="true" outlineLevel="0" collapsed="false"/>
    <row r="2" customFormat="false" ht="30" hidden="false" customHeight="true" outlineLevel="0" collapsed="false">
      <c r="A2" s="178" t="s">
        <v>118</v>
      </c>
      <c r="B2" s="178"/>
      <c r="C2" s="178"/>
      <c r="D2" s="178"/>
      <c r="E2" s="178"/>
      <c r="F2" s="178"/>
      <c r="G2" s="178"/>
      <c r="H2" s="179" t="s">
        <v>119</v>
      </c>
      <c r="I2" s="179"/>
      <c r="J2" s="179"/>
      <c r="K2" s="179"/>
      <c r="L2" s="179"/>
      <c r="M2" s="180"/>
      <c r="N2" s="180"/>
    </row>
    <row r="3" customFormat="false" ht="15" hidden="false" customHeight="false" outlineLevel="0" collapsed="false">
      <c r="S3" s="181"/>
    </row>
    <row r="4" customFormat="false" ht="15.75" hidden="false" customHeight="true" outlineLevel="0" collapsed="false">
      <c r="B4" s="182" t="s">
        <v>120</v>
      </c>
      <c r="C4" s="182"/>
      <c r="E4" s="183" t="s">
        <v>121</v>
      </c>
      <c r="F4" s="183"/>
      <c r="H4" s="184" t="s">
        <v>122</v>
      </c>
      <c r="I4" s="184" t="s">
        <v>123</v>
      </c>
      <c r="J4" s="184" t="s">
        <v>124</v>
      </c>
      <c r="K4" s="184" t="s">
        <v>125</v>
      </c>
      <c r="L4" s="184" t="s">
        <v>126</v>
      </c>
      <c r="S4" s="181"/>
    </row>
    <row r="5" customFormat="false" ht="15" hidden="false" customHeight="false" outlineLevel="0" collapsed="false">
      <c r="A5" s="5"/>
      <c r="B5" s="185" t="n">
        <f aca="false">'FORMATO NOMINA'!E17</f>
        <v>24809754.1666667</v>
      </c>
      <c r="C5" s="181"/>
      <c r="D5" s="181"/>
      <c r="E5" s="185" t="n">
        <f aca="false">'FORMATO NOMINA'!H17</f>
        <v>1814083.39047619</v>
      </c>
      <c r="F5" s="181"/>
      <c r="H5" s="186" t="n">
        <v>5105</v>
      </c>
      <c r="I5" s="37" t="s">
        <v>127</v>
      </c>
      <c r="J5" s="30"/>
      <c r="K5" s="30" t="n">
        <f aca="false">SUM(J6:J10)</f>
        <v>28012276.3904762</v>
      </c>
      <c r="L5" s="30"/>
      <c r="S5" s="181"/>
    </row>
    <row r="6" customFormat="false" ht="15" hidden="false" customHeight="false" outlineLevel="0" collapsed="false">
      <c r="B6" s="187"/>
      <c r="C6" s="181"/>
      <c r="D6" s="181"/>
      <c r="E6" s="187"/>
      <c r="F6" s="181"/>
      <c r="H6" s="186" t="n">
        <v>510506</v>
      </c>
      <c r="I6" s="37" t="s">
        <v>128</v>
      </c>
      <c r="J6" s="54" t="n">
        <f aca="false">B5</f>
        <v>24809754.1666667</v>
      </c>
      <c r="K6" s="30"/>
      <c r="L6" s="30"/>
      <c r="S6" s="181"/>
    </row>
    <row r="7" customFormat="false" ht="15.75" hidden="false" customHeight="true" outlineLevel="0" collapsed="false">
      <c r="B7" s="182" t="s">
        <v>129</v>
      </c>
      <c r="C7" s="182"/>
      <c r="E7" s="182" t="s">
        <v>130</v>
      </c>
      <c r="F7" s="182"/>
      <c r="H7" s="186" t="n">
        <v>510515</v>
      </c>
      <c r="I7" s="37" t="s">
        <v>131</v>
      </c>
      <c r="J7" s="54" t="n">
        <f aca="false">E5</f>
        <v>1814083.39047619</v>
      </c>
      <c r="K7" s="30"/>
      <c r="L7" s="30"/>
      <c r="S7" s="181"/>
    </row>
    <row r="8" customFormat="false" ht="15" hidden="false" customHeight="false" outlineLevel="0" collapsed="false">
      <c r="A8" s="5"/>
      <c r="B8" s="185" t="n">
        <f aca="false">'FORMATO NOMINA'!G17</f>
        <v>300000</v>
      </c>
      <c r="C8" s="181"/>
      <c r="D8" s="181"/>
      <c r="E8" s="185" t="n">
        <f aca="false">'FORMATO NOMINA'!R38</f>
        <v>175090.5</v>
      </c>
      <c r="F8" s="181"/>
      <c r="H8" s="186" t="n">
        <v>510548</v>
      </c>
      <c r="I8" s="37" t="s">
        <v>132</v>
      </c>
      <c r="J8" s="54" t="n">
        <f aca="false">B8</f>
        <v>300000</v>
      </c>
      <c r="K8" s="30"/>
      <c r="L8" s="30"/>
      <c r="S8" s="181"/>
    </row>
    <row r="9" customFormat="false" ht="15" hidden="false" customHeight="false" outlineLevel="0" collapsed="false">
      <c r="B9" s="187"/>
      <c r="C9" s="181"/>
      <c r="D9" s="181"/>
      <c r="E9" s="187"/>
      <c r="F9" s="181"/>
      <c r="H9" s="186" t="n">
        <v>510524</v>
      </c>
      <c r="I9" s="37" t="s">
        <v>133</v>
      </c>
      <c r="J9" s="54" t="n">
        <f aca="false">E8</f>
        <v>175090.5</v>
      </c>
      <c r="K9" s="30"/>
      <c r="L9" s="30"/>
    </row>
    <row r="10" customFormat="false" ht="15.75" hidden="false" customHeight="true" outlineLevel="0" collapsed="false">
      <c r="B10" s="188" t="s">
        <v>134</v>
      </c>
      <c r="C10" s="188"/>
      <c r="E10" s="182" t="s">
        <v>135</v>
      </c>
      <c r="F10" s="182"/>
      <c r="H10" s="186" t="n">
        <v>510527</v>
      </c>
      <c r="I10" s="37" t="s">
        <v>136</v>
      </c>
      <c r="J10" s="54" t="n">
        <f aca="false">E11</f>
        <v>913348.333333333</v>
      </c>
      <c r="K10" s="30"/>
      <c r="L10" s="30"/>
    </row>
    <row r="11" customFormat="false" ht="15" hidden="false" customHeight="false" outlineLevel="0" collapsed="false">
      <c r="B11" s="185" t="n">
        <f aca="false">'FORMATO NOMINA'!R39</f>
        <v>1297271.5</v>
      </c>
      <c r="C11" s="181"/>
      <c r="D11" s="181"/>
      <c r="E11" s="185" t="n">
        <f aca="false">'FORMATO NOMINA'!F17</f>
        <v>913348.333333333</v>
      </c>
      <c r="F11" s="181"/>
      <c r="H11" s="186" t="n">
        <v>1380</v>
      </c>
      <c r="I11" s="37" t="s">
        <v>137</v>
      </c>
      <c r="J11" s="30"/>
      <c r="K11" s="30" t="n">
        <f aca="false">J12</f>
        <v>1297271.5</v>
      </c>
      <c r="L11" s="30"/>
      <c r="O11" s="181" t="n">
        <v>14529704</v>
      </c>
    </row>
    <row r="12" customFormat="false" ht="15" hidden="false" customHeight="false" outlineLevel="0" collapsed="false">
      <c r="B12" s="187"/>
      <c r="C12" s="181"/>
      <c r="D12" s="181"/>
      <c r="E12" s="187"/>
      <c r="F12" s="181"/>
      <c r="H12" s="186" t="n">
        <v>138025</v>
      </c>
      <c r="I12" s="37" t="s">
        <v>138</v>
      </c>
      <c r="J12" s="54" t="n">
        <f aca="false">B11</f>
        <v>1297271.5</v>
      </c>
      <c r="K12" s="30"/>
      <c r="L12" s="30"/>
      <c r="O12" s="181" t="n">
        <v>320000</v>
      </c>
    </row>
    <row r="13" customFormat="false" ht="15.75" hidden="false" customHeight="true" outlineLevel="0" collapsed="false">
      <c r="B13" s="189" t="s">
        <v>139</v>
      </c>
      <c r="C13" s="189"/>
      <c r="E13" s="189" t="s">
        <v>140</v>
      </c>
      <c r="F13" s="189"/>
      <c r="H13" s="186" t="n">
        <v>2365</v>
      </c>
      <c r="I13" s="105" t="s">
        <v>141</v>
      </c>
      <c r="J13" s="30"/>
      <c r="K13" s="30"/>
      <c r="L13" s="30" t="n">
        <f aca="false">J14</f>
        <v>1184000</v>
      </c>
      <c r="O13" s="181"/>
    </row>
    <row r="14" customFormat="false" ht="15" hidden="false" customHeight="false" outlineLevel="0" collapsed="false">
      <c r="B14" s="190"/>
      <c r="C14" s="191" t="n">
        <f aca="false">'FORMATO NOMINA'!P17</f>
        <v>100000</v>
      </c>
      <c r="D14" s="181"/>
      <c r="E14" s="190"/>
      <c r="F14" s="191" t="n">
        <f aca="false">'FORMATO NOMINA'!N17</f>
        <v>1184000</v>
      </c>
      <c r="G14" s="5"/>
      <c r="H14" s="186" t="n">
        <v>236505</v>
      </c>
      <c r="I14" s="37" t="s">
        <v>142</v>
      </c>
      <c r="J14" s="54" t="n">
        <f aca="false">F14</f>
        <v>1184000</v>
      </c>
      <c r="K14" s="30"/>
      <c r="L14" s="30"/>
      <c r="O14" s="181"/>
    </row>
    <row r="15" customFormat="false" ht="15" hidden="false" customHeight="false" outlineLevel="0" collapsed="false">
      <c r="B15" s="187"/>
      <c r="C15" s="181"/>
      <c r="D15" s="181"/>
      <c r="E15" s="187"/>
      <c r="F15" s="181"/>
      <c r="H15" s="186" t="n">
        <v>2370</v>
      </c>
      <c r="I15" s="105" t="s">
        <v>143</v>
      </c>
      <c r="J15" s="30"/>
      <c r="K15" s="30"/>
      <c r="L15" s="30" t="n">
        <f aca="false">J17+J16+J18</f>
        <v>1249666.98228571</v>
      </c>
      <c r="O15" s="181"/>
    </row>
    <row r="16" customFormat="false" ht="15.75" hidden="false" customHeight="true" outlineLevel="0" collapsed="false">
      <c r="B16" s="189" t="s">
        <v>144</v>
      </c>
      <c r="C16" s="189"/>
      <c r="E16" s="189" t="s">
        <v>145</v>
      </c>
      <c r="F16" s="189"/>
      <c r="H16" s="186" t="n">
        <v>237005</v>
      </c>
      <c r="I16" s="37" t="s">
        <v>146</v>
      </c>
      <c r="J16" s="54" t="n">
        <f aca="false">C17</f>
        <v>1135847.98228571</v>
      </c>
      <c r="K16" s="30"/>
      <c r="L16" s="30"/>
      <c r="O16" s="181"/>
    </row>
    <row r="17" customFormat="false" ht="15" hidden="false" customHeight="false" outlineLevel="0" collapsed="false">
      <c r="B17" s="190"/>
      <c r="C17" s="191" t="n">
        <f aca="false">'FORMATO NOMINA'!K17</f>
        <v>1135847.98228571</v>
      </c>
      <c r="D17" s="181"/>
      <c r="E17" s="190"/>
      <c r="F17" s="191" t="n">
        <f aca="false">'FORMATO NOMINA'!O17</f>
        <v>13819</v>
      </c>
      <c r="H17" s="186" t="n">
        <v>237025</v>
      </c>
      <c r="I17" s="37" t="s">
        <v>147</v>
      </c>
      <c r="J17" s="54" t="n">
        <f aca="false">F17</f>
        <v>13819</v>
      </c>
      <c r="K17" s="30"/>
      <c r="L17" s="30"/>
      <c r="O17" s="181"/>
    </row>
    <row r="18" customFormat="false" ht="15" hidden="false" customHeight="false" outlineLevel="0" collapsed="false">
      <c r="B18" s="187"/>
      <c r="C18" s="181"/>
      <c r="D18" s="181"/>
      <c r="E18" s="187"/>
      <c r="F18" s="181"/>
      <c r="H18" s="186" t="n">
        <v>237040</v>
      </c>
      <c r="I18" s="37" t="s">
        <v>148</v>
      </c>
      <c r="J18" s="54" t="n">
        <f aca="false">C14</f>
        <v>100000</v>
      </c>
      <c r="K18" s="30"/>
      <c r="L18" s="30"/>
      <c r="O18" s="181"/>
    </row>
    <row r="19" customFormat="false" ht="15.75" hidden="false" customHeight="true" outlineLevel="0" collapsed="false">
      <c r="B19" s="189" t="s">
        <v>149</v>
      </c>
      <c r="C19" s="189"/>
      <c r="E19" s="189" t="s">
        <v>150</v>
      </c>
      <c r="F19" s="189"/>
      <c r="H19" s="186" t="n">
        <v>2380</v>
      </c>
      <c r="I19" s="105" t="s">
        <v>151</v>
      </c>
      <c r="J19" s="30"/>
      <c r="K19" s="30"/>
      <c r="L19" s="30" t="n">
        <f aca="false">J20</f>
        <v>1314847.98228571</v>
      </c>
      <c r="O19" s="181"/>
    </row>
    <row r="20" customFormat="false" ht="15" hidden="false" customHeight="false" outlineLevel="0" collapsed="false">
      <c r="B20" s="190"/>
      <c r="C20" s="191" t="n">
        <f aca="false">'FORMATO NOMINA'!L17+'FORMATO NOMINA'!M17</f>
        <v>1314847.98228571</v>
      </c>
      <c r="D20" s="181"/>
      <c r="E20" s="190"/>
      <c r="F20" s="191" t="n">
        <f aca="false">'FORMATO NOMINA'!R17</f>
        <v>25561032.9259048</v>
      </c>
      <c r="H20" s="186" t="n">
        <v>238030</v>
      </c>
      <c r="I20" s="37" t="s">
        <v>152</v>
      </c>
      <c r="J20" s="54" t="n">
        <f aca="false">C20</f>
        <v>1314847.98228571</v>
      </c>
      <c r="K20" s="30"/>
      <c r="L20" s="30"/>
      <c r="O20" s="181" t="n">
        <f aca="false">SUM(O11:O19)</f>
        <v>14849704</v>
      </c>
    </row>
    <row r="21" customFormat="false" ht="15" hidden="false" customHeight="false" outlineLevel="0" collapsed="false">
      <c r="B21" s="187"/>
      <c r="C21" s="181"/>
      <c r="D21" s="181"/>
      <c r="E21" s="187"/>
      <c r="F21" s="181"/>
      <c r="H21" s="186" t="n">
        <v>1110</v>
      </c>
      <c r="I21" s="105" t="s">
        <v>153</v>
      </c>
      <c r="J21" s="30"/>
      <c r="K21" s="30"/>
      <c r="L21" s="30" t="n">
        <f aca="false">J22</f>
        <v>25561032.9259048</v>
      </c>
    </row>
    <row r="22" customFormat="false" ht="15" hidden="false" customHeight="false" outlineLevel="0" collapsed="false">
      <c r="H22" s="186" t="n">
        <v>111005</v>
      </c>
      <c r="I22" s="37" t="s">
        <v>154</v>
      </c>
      <c r="J22" s="54" t="n">
        <f aca="false">F20</f>
        <v>25561032.9259048</v>
      </c>
      <c r="K22" s="30"/>
      <c r="L22" s="30"/>
      <c r="N22" s="5"/>
    </row>
    <row r="23" customFormat="false" ht="15" hidden="false" customHeight="false" outlineLevel="0" collapsed="false">
      <c r="B23" s="192" t="s">
        <v>155</v>
      </c>
      <c r="C23" s="192"/>
      <c r="D23" s="192"/>
      <c r="H23" s="193" t="s">
        <v>51</v>
      </c>
      <c r="I23" s="194"/>
      <c r="J23" s="195"/>
      <c r="K23" s="13" t="n">
        <f aca="false">SUM(K5:K22)</f>
        <v>29309547.8904762</v>
      </c>
      <c r="L23" s="13" t="n">
        <f aca="false">SUM(L5:L22)</f>
        <v>29309547.8904762</v>
      </c>
    </row>
    <row r="24" customFormat="false" ht="15.75" hidden="false" customHeight="true" outlineLevel="0" collapsed="false">
      <c r="B24" s="2" t="s">
        <v>156</v>
      </c>
      <c r="H24" s="196"/>
      <c r="I24" s="5"/>
      <c r="J24" s="181"/>
      <c r="K24" s="181"/>
      <c r="L24" s="181"/>
      <c r="M24" s="5" t="n">
        <f aca="false">K23-L23</f>
        <v>0</v>
      </c>
    </row>
    <row r="25" customFormat="false" ht="15" hidden="false" customHeight="false" outlineLevel="0" collapsed="false">
      <c r="B25" s="197" t="s">
        <v>157</v>
      </c>
      <c r="C25" s="198"/>
      <c r="D25" s="198"/>
      <c r="E25" s="198"/>
      <c r="F25" s="198"/>
      <c r="G25" s="199"/>
      <c r="H25" s="200"/>
      <c r="I25" s="2"/>
      <c r="J25" s="181"/>
      <c r="K25" s="181"/>
      <c r="L25" s="181"/>
      <c r="N25" s="5"/>
    </row>
    <row r="26" customFormat="false" ht="15" hidden="false" customHeight="false" outlineLevel="0" collapsed="false">
      <c r="B26" s="201" t="s">
        <v>158</v>
      </c>
      <c r="G26" s="202"/>
    </row>
    <row r="27" customFormat="false" ht="15" hidden="false" customHeight="false" outlineLevel="0" collapsed="false">
      <c r="B27" s="201" t="s">
        <v>159</v>
      </c>
      <c r="G27" s="202"/>
    </row>
    <row r="28" customFormat="false" ht="15.75" hidden="false" customHeight="true" outlineLevel="0" collapsed="false">
      <c r="B28" s="203" t="s">
        <v>160</v>
      </c>
      <c r="C28" s="204"/>
      <c r="D28" s="204"/>
      <c r="E28" s="204"/>
      <c r="F28" s="204"/>
      <c r="G28" s="205"/>
    </row>
    <row r="29" customFormat="false" ht="15.75" hidden="false" customHeight="true" outlineLevel="0" collapsed="false">
      <c r="B29" s="192" t="s">
        <v>13</v>
      </c>
    </row>
    <row r="30" customFormat="false" ht="15" hidden="false" customHeight="false" outlineLevel="0" collapsed="false">
      <c r="B30" s="197" t="s">
        <v>161</v>
      </c>
      <c r="C30" s="198"/>
      <c r="D30" s="198"/>
      <c r="E30" s="198"/>
      <c r="F30" s="198"/>
      <c r="G30" s="199"/>
      <c r="H30" s="198" t="s">
        <v>162</v>
      </c>
      <c r="I30" s="198"/>
      <c r="J30" s="198"/>
      <c r="K30" s="198"/>
      <c r="L30" s="198"/>
      <c r="M30" s="199"/>
    </row>
    <row r="31" customFormat="false" ht="15" hidden="false" customHeight="false" outlineLevel="0" collapsed="false">
      <c r="B31" s="201" t="s">
        <v>163</v>
      </c>
      <c r="G31" s="202"/>
      <c r="H31" s="96" t="s">
        <v>164</v>
      </c>
      <c r="M31" s="202"/>
    </row>
    <row r="32" customFormat="false" ht="15" hidden="false" customHeight="false" outlineLevel="0" collapsed="false">
      <c r="B32" s="201" t="s">
        <v>165</v>
      </c>
      <c r="G32" s="202"/>
      <c r="H32" s="96" t="s">
        <v>166</v>
      </c>
      <c r="M32" s="202"/>
    </row>
    <row r="33" customFormat="false" ht="15.75" hidden="false" customHeight="true" outlineLevel="0" collapsed="false">
      <c r="B33" s="201" t="s">
        <v>167</v>
      </c>
      <c r="G33" s="202"/>
      <c r="H33" s="204" t="s">
        <v>168</v>
      </c>
      <c r="I33" s="204"/>
      <c r="J33" s="204"/>
      <c r="K33" s="204"/>
      <c r="L33" s="204"/>
      <c r="M33" s="205"/>
    </row>
    <row r="34" customFormat="false" ht="15" hidden="false" customHeight="false" outlineLevel="0" collapsed="false">
      <c r="B34" s="201" t="s">
        <v>169</v>
      </c>
      <c r="G34" s="202"/>
    </row>
    <row r="35" customFormat="false" ht="15.75" hidden="false" customHeight="true" outlineLevel="0" collapsed="false">
      <c r="B35" s="203" t="s">
        <v>170</v>
      </c>
      <c r="C35" s="204"/>
      <c r="D35" s="204"/>
      <c r="E35" s="204"/>
      <c r="F35" s="204"/>
      <c r="G35" s="205"/>
    </row>
    <row r="37" customFormat="false" ht="15.75" hidden="false" customHeight="true" outlineLevel="0" collapsed="false"/>
    <row r="38" customFormat="false" ht="30.75" hidden="false" customHeight="true" outlineLevel="0" collapsed="false">
      <c r="A38" s="178" t="s">
        <v>171</v>
      </c>
      <c r="B38" s="178"/>
      <c r="C38" s="178"/>
      <c r="D38" s="178"/>
      <c r="E38" s="178"/>
      <c r="F38" s="178"/>
      <c r="G38" s="178"/>
      <c r="H38" s="179" t="s">
        <v>119</v>
      </c>
      <c r="I38" s="179"/>
      <c r="J38" s="179"/>
      <c r="K38" s="179"/>
      <c r="L38" s="179"/>
    </row>
    <row r="40" customFormat="false" ht="15.75" hidden="false" customHeight="true" outlineLevel="0" collapsed="false">
      <c r="B40" s="182" t="s">
        <v>172</v>
      </c>
      <c r="C40" s="182"/>
      <c r="E40" s="183" t="s">
        <v>173</v>
      </c>
      <c r="F40" s="183"/>
      <c r="H40" s="184" t="s">
        <v>122</v>
      </c>
      <c r="I40" s="184" t="s">
        <v>123</v>
      </c>
      <c r="J40" s="184" t="s">
        <v>124</v>
      </c>
      <c r="K40" s="184" t="s">
        <v>125</v>
      </c>
      <c r="L40" s="184" t="s">
        <v>126</v>
      </c>
    </row>
    <row r="41" customFormat="false" ht="15" hidden="false" customHeight="false" outlineLevel="0" collapsed="false">
      <c r="B41" s="185" t="n">
        <f aca="false">'FORMATO NOMINA'!O21</f>
        <v>2441485.33927667</v>
      </c>
      <c r="C41" s="181"/>
      <c r="D41" s="181"/>
      <c r="E41" s="185" t="n">
        <f aca="false">'FORMATO NOMINA'!Q21</f>
        <v>293095.478904762</v>
      </c>
      <c r="F41" s="181"/>
      <c r="H41" s="186" t="n">
        <v>5105</v>
      </c>
      <c r="I41" s="105" t="s">
        <v>127</v>
      </c>
      <c r="J41" s="30"/>
      <c r="K41" s="30" t="n">
        <f aca="false">SUM(J42:J51)</f>
        <v>13480872.4968304</v>
      </c>
      <c r="L41" s="30"/>
    </row>
    <row r="42" customFormat="false" ht="15" hidden="false" customHeight="false" outlineLevel="0" collapsed="false">
      <c r="B42" s="187"/>
      <c r="C42" s="181"/>
      <c r="D42" s="181"/>
      <c r="E42" s="187"/>
      <c r="F42" s="181"/>
      <c r="H42" s="186" t="n">
        <v>510530</v>
      </c>
      <c r="I42" s="37" t="s">
        <v>174</v>
      </c>
      <c r="J42" s="54" t="n">
        <f aca="false">B41</f>
        <v>2441485.33927667</v>
      </c>
      <c r="K42" s="30"/>
      <c r="L42" s="30"/>
    </row>
    <row r="43" customFormat="false" ht="15.75" hidden="false" customHeight="true" outlineLevel="0" collapsed="false">
      <c r="B43" s="182" t="s">
        <v>175</v>
      </c>
      <c r="C43" s="182"/>
      <c r="E43" s="182" t="s">
        <v>176</v>
      </c>
      <c r="F43" s="182"/>
      <c r="H43" s="186" t="n">
        <v>510533</v>
      </c>
      <c r="I43" s="37" t="s">
        <v>177</v>
      </c>
      <c r="J43" s="54" t="n">
        <f aca="false">E41</f>
        <v>293095.478904762</v>
      </c>
      <c r="K43" s="30"/>
      <c r="L43" s="30"/>
    </row>
    <row r="44" customFormat="false" ht="15" hidden="false" customHeight="false" outlineLevel="0" collapsed="false">
      <c r="B44" s="185" t="n">
        <f aca="false">'FORMATO NOMINA'!R21</f>
        <v>2441485.33927667</v>
      </c>
      <c r="C44" s="181"/>
      <c r="D44" s="181"/>
      <c r="E44" s="185" t="n">
        <f aca="false">'FORMATO NOMINA'!N21</f>
        <v>1122724.02613286</v>
      </c>
      <c r="F44" s="181"/>
      <c r="H44" s="186" t="n">
        <v>510536</v>
      </c>
      <c r="I44" s="37" t="s">
        <v>178</v>
      </c>
      <c r="J44" s="54" t="n">
        <f aca="false">B44</f>
        <v>2441485.33927667</v>
      </c>
      <c r="K44" s="30"/>
      <c r="L44" s="30"/>
    </row>
    <row r="45" customFormat="false" ht="15" hidden="false" customHeight="false" outlineLevel="0" collapsed="false">
      <c r="H45" s="186" t="n">
        <v>510539</v>
      </c>
      <c r="I45" s="37" t="s">
        <v>179</v>
      </c>
      <c r="J45" s="54" t="n">
        <f aca="false">E44</f>
        <v>1122724.02613286</v>
      </c>
      <c r="K45" s="30"/>
      <c r="L45" s="30"/>
    </row>
    <row r="46" customFormat="false" ht="15.75" hidden="false" customHeight="true" outlineLevel="0" collapsed="false">
      <c r="B46" s="182" t="s">
        <v>180</v>
      </c>
      <c r="C46" s="182"/>
      <c r="E46" s="182" t="s">
        <v>181</v>
      </c>
      <c r="F46" s="182"/>
      <c r="H46" s="186" t="n">
        <v>510568</v>
      </c>
      <c r="I46" s="37" t="s">
        <v>182</v>
      </c>
      <c r="J46" s="54" t="n">
        <f aca="false">B47</f>
        <v>281084.864096571</v>
      </c>
      <c r="K46" s="30"/>
      <c r="L46" s="30"/>
    </row>
    <row r="47" customFormat="false" ht="15" hidden="false" customHeight="false" outlineLevel="0" collapsed="false">
      <c r="B47" s="185" t="n">
        <f aca="false">'FORMATO NOMINA'!L21</f>
        <v>281084.864096571</v>
      </c>
      <c r="C47" s="181"/>
      <c r="D47" s="181"/>
      <c r="E47" s="185" t="n">
        <f aca="false">'FORMATO NOMINA'!J21</f>
        <v>1521500</v>
      </c>
      <c r="F47" s="181"/>
      <c r="H47" s="186" t="n">
        <v>510569</v>
      </c>
      <c r="I47" s="37" t="s">
        <v>146</v>
      </c>
      <c r="J47" s="206" t="n">
        <f aca="false">E47</f>
        <v>1521500</v>
      </c>
      <c r="K47" s="30"/>
      <c r="L47" s="30"/>
    </row>
    <row r="48" customFormat="false" ht="15" hidden="false" customHeight="false" outlineLevel="0" collapsed="false">
      <c r="B48" s="187"/>
      <c r="C48" s="181"/>
      <c r="D48" s="181"/>
      <c r="E48" s="187"/>
      <c r="F48" s="181"/>
      <c r="H48" s="186" t="n">
        <v>510570</v>
      </c>
      <c r="I48" s="37" t="s">
        <v>183</v>
      </c>
      <c r="J48" s="54" t="n">
        <f aca="false">B50</f>
        <v>3407543.94685714</v>
      </c>
      <c r="K48" s="30"/>
      <c r="L48" s="30"/>
    </row>
    <row r="49" customFormat="false" ht="15.75" hidden="false" customHeight="true" outlineLevel="0" collapsed="false">
      <c r="B49" s="188" t="s">
        <v>184</v>
      </c>
      <c r="C49" s="188"/>
      <c r="E49" s="182" t="s">
        <v>185</v>
      </c>
      <c r="F49" s="182"/>
      <c r="H49" s="186" t="n">
        <v>510572</v>
      </c>
      <c r="I49" s="37" t="s">
        <v>186</v>
      </c>
      <c r="J49" s="54" t="n">
        <f aca="false">E50</f>
        <v>1076953.50228571</v>
      </c>
      <c r="K49" s="30"/>
      <c r="L49" s="30"/>
    </row>
    <row r="50" customFormat="false" ht="15" hidden="false" customHeight="false" outlineLevel="0" collapsed="false">
      <c r="B50" s="185" t="n">
        <f aca="false">'FORMATO NOMINA'!K21</f>
        <v>3407543.94685714</v>
      </c>
      <c r="C50" s="181"/>
      <c r="D50" s="181"/>
      <c r="E50" s="185" t="n">
        <f aca="false">'FORMATO NOMINA'!H21</f>
        <v>1076953.50228571</v>
      </c>
      <c r="F50" s="181"/>
      <c r="H50" s="186" t="n">
        <v>510575</v>
      </c>
      <c r="I50" s="37" t="s">
        <v>187</v>
      </c>
      <c r="J50" s="206" t="n">
        <f aca="false">B53</f>
        <v>537000</v>
      </c>
      <c r="K50" s="30"/>
      <c r="L50" s="30"/>
    </row>
    <row r="51" customFormat="false" ht="15" hidden="false" customHeight="false" outlineLevel="0" collapsed="false">
      <c r="B51" s="187"/>
      <c r="C51" s="181"/>
      <c r="D51" s="181"/>
      <c r="E51" s="187"/>
      <c r="F51" s="181"/>
      <c r="H51" s="186" t="n">
        <v>510578</v>
      </c>
      <c r="I51" s="37" t="s">
        <v>55</v>
      </c>
      <c r="J51" s="206" t="n">
        <f aca="false">E53</f>
        <v>358000</v>
      </c>
      <c r="K51" s="30"/>
      <c r="L51" s="30"/>
    </row>
    <row r="52" customFormat="false" ht="15.75" hidden="false" customHeight="true" outlineLevel="0" collapsed="false">
      <c r="B52" s="182" t="s">
        <v>188</v>
      </c>
      <c r="C52" s="182"/>
      <c r="E52" s="182" t="s">
        <v>189</v>
      </c>
      <c r="F52" s="182"/>
      <c r="H52" s="186" t="n">
        <v>2370</v>
      </c>
      <c r="I52" s="105" t="s">
        <v>143</v>
      </c>
      <c r="J52" s="30"/>
      <c r="K52" s="30"/>
      <c r="L52" s="30" t="n">
        <f aca="false">J53+J54+J55</f>
        <v>3774538.36638229</v>
      </c>
    </row>
    <row r="53" customFormat="false" ht="15" hidden="false" customHeight="false" outlineLevel="0" collapsed="false">
      <c r="B53" s="185" t="n">
        <f aca="false">'FORMATO NOMINA'!G21</f>
        <v>537000</v>
      </c>
      <c r="C53" s="181"/>
      <c r="D53" s="181"/>
      <c r="E53" s="185" t="n">
        <f aca="false">'FORMATO NOMINA'!F21</f>
        <v>358000</v>
      </c>
      <c r="F53" s="181"/>
      <c r="H53" s="186" t="n">
        <v>237005</v>
      </c>
      <c r="I53" s="37" t="s">
        <v>146</v>
      </c>
      <c r="J53" s="54" t="n">
        <f aca="false">C56</f>
        <v>1521500</v>
      </c>
      <c r="K53" s="30"/>
      <c r="L53" s="30"/>
    </row>
    <row r="54" customFormat="false" ht="15" hidden="false" customHeight="false" outlineLevel="0" collapsed="false">
      <c r="B54" s="187"/>
      <c r="C54" s="181"/>
      <c r="D54" s="181"/>
      <c r="E54" s="187"/>
      <c r="F54" s="181"/>
      <c r="H54" s="186" t="n">
        <v>237006</v>
      </c>
      <c r="I54" s="37" t="s">
        <v>182</v>
      </c>
      <c r="J54" s="54" t="n">
        <f aca="false">F56</f>
        <v>281084.864096571</v>
      </c>
      <c r="K54" s="30"/>
      <c r="L54" s="30"/>
    </row>
    <row r="55" customFormat="false" ht="15.75" hidden="false" customHeight="true" outlineLevel="0" collapsed="false">
      <c r="B55" s="189" t="s">
        <v>144</v>
      </c>
      <c r="C55" s="189"/>
      <c r="E55" s="189" t="s">
        <v>190</v>
      </c>
      <c r="F55" s="189"/>
      <c r="H55" s="186" t="n">
        <v>237010</v>
      </c>
      <c r="I55" s="37" t="s">
        <v>191</v>
      </c>
      <c r="J55" s="54" t="n">
        <f aca="false">C59</f>
        <v>1971953.50228571</v>
      </c>
      <c r="K55" s="30"/>
      <c r="L55" s="30"/>
    </row>
    <row r="56" customFormat="false" ht="15" hidden="false" customHeight="false" outlineLevel="0" collapsed="false">
      <c r="B56" s="190"/>
      <c r="C56" s="191" t="n">
        <f aca="false">'FORMATO NOMINA'!J21</f>
        <v>1521500</v>
      </c>
      <c r="D56" s="181"/>
      <c r="E56" s="190"/>
      <c r="F56" s="191" t="n">
        <f aca="false">'FORMATO NOMINA'!L21</f>
        <v>281084.864096571</v>
      </c>
      <c r="H56" s="37" t="n">
        <v>237040</v>
      </c>
      <c r="I56" s="37" t="s">
        <v>148</v>
      </c>
      <c r="J56" s="158"/>
      <c r="K56" s="37"/>
      <c r="L56" s="37"/>
    </row>
    <row r="57" customFormat="false" ht="15" hidden="false" customHeight="false" outlineLevel="0" collapsed="false">
      <c r="B57" s="187"/>
      <c r="C57" s="181"/>
      <c r="D57" s="181"/>
      <c r="E57" s="187"/>
      <c r="F57" s="181"/>
      <c r="H57" s="186" t="n">
        <v>2380</v>
      </c>
      <c r="I57" s="105" t="s">
        <v>151</v>
      </c>
      <c r="J57" s="30"/>
      <c r="K57" s="30"/>
      <c r="L57" s="30" t="n">
        <f aca="false">J58</f>
        <v>3407543.94685714</v>
      </c>
    </row>
    <row r="58" customFormat="false" ht="15.75" hidden="false" customHeight="true" outlineLevel="0" collapsed="false">
      <c r="B58" s="189" t="s">
        <v>192</v>
      </c>
      <c r="C58" s="189"/>
      <c r="E58" s="189" t="s">
        <v>193</v>
      </c>
      <c r="F58" s="189"/>
      <c r="H58" s="186" t="n">
        <v>238030</v>
      </c>
      <c r="I58" s="37" t="s">
        <v>194</v>
      </c>
      <c r="J58" s="54" t="n">
        <f aca="false">F59</f>
        <v>3407543.94685714</v>
      </c>
      <c r="K58" s="30"/>
      <c r="L58" s="30"/>
    </row>
    <row r="59" customFormat="false" ht="15" hidden="false" customHeight="false" outlineLevel="0" collapsed="false">
      <c r="B59" s="190"/>
      <c r="C59" s="181" t="n">
        <f aca="false">E53+B53+E50</f>
        <v>1971953.50228571</v>
      </c>
      <c r="D59" s="181"/>
      <c r="E59" s="190"/>
      <c r="F59" s="181" t="n">
        <f aca="false">B50</f>
        <v>3407543.94685714</v>
      </c>
      <c r="H59" s="186" t="n">
        <v>2510</v>
      </c>
      <c r="I59" s="105" t="s">
        <v>195</v>
      </c>
      <c r="J59" s="30"/>
      <c r="K59" s="30"/>
      <c r="L59" s="30" t="n">
        <f aca="false">J60</f>
        <v>2441485.33927667</v>
      </c>
    </row>
    <row r="60" customFormat="false" ht="15" hidden="false" customHeight="false" outlineLevel="0" collapsed="false">
      <c r="H60" s="186" t="n">
        <v>251005</v>
      </c>
      <c r="I60" s="37" t="s">
        <v>196</v>
      </c>
      <c r="J60" s="54" t="n">
        <f aca="false">C63</f>
        <v>2441485.33927667</v>
      </c>
      <c r="K60" s="30"/>
      <c r="L60" s="30"/>
    </row>
    <row r="61" customFormat="false" ht="15" hidden="false" customHeight="false" outlineLevel="0" collapsed="false">
      <c r="H61" s="186" t="n">
        <v>2515</v>
      </c>
      <c r="I61" s="105" t="s">
        <v>197</v>
      </c>
      <c r="J61" s="30"/>
      <c r="K61" s="30"/>
      <c r="L61" s="30" t="n">
        <f aca="false">J62</f>
        <v>293095.478904762</v>
      </c>
    </row>
    <row r="62" customFormat="false" ht="15.75" hidden="false" customHeight="true" outlineLevel="0" collapsed="false">
      <c r="B62" s="189" t="s">
        <v>198</v>
      </c>
      <c r="C62" s="189"/>
      <c r="E62" s="189" t="s">
        <v>199</v>
      </c>
      <c r="F62" s="189"/>
      <c r="H62" s="186" t="n">
        <v>251505</v>
      </c>
      <c r="I62" s="37" t="s">
        <v>200</v>
      </c>
      <c r="J62" s="54" t="n">
        <f aca="false">F63</f>
        <v>293095.478904762</v>
      </c>
      <c r="K62" s="30"/>
      <c r="L62" s="30"/>
    </row>
    <row r="63" customFormat="false" ht="15" hidden="false" customHeight="false" outlineLevel="0" collapsed="false">
      <c r="B63" s="190"/>
      <c r="C63" s="181" t="n">
        <f aca="false">B41</f>
        <v>2441485.33927667</v>
      </c>
      <c r="D63" s="181"/>
      <c r="E63" s="190"/>
      <c r="F63" s="181" t="n">
        <f aca="false">E41</f>
        <v>293095.478904762</v>
      </c>
      <c r="H63" s="186" t="n">
        <v>2520</v>
      </c>
      <c r="I63" s="105" t="s">
        <v>201</v>
      </c>
      <c r="J63" s="30"/>
      <c r="K63" s="30"/>
      <c r="L63" s="30" t="n">
        <f aca="false">J64</f>
        <v>2441485.33927667</v>
      </c>
    </row>
    <row r="64" customFormat="false" ht="15" hidden="false" customHeight="false" outlineLevel="0" collapsed="false">
      <c r="B64" s="187"/>
      <c r="C64" s="181"/>
      <c r="D64" s="181"/>
      <c r="E64" s="187"/>
      <c r="F64" s="181"/>
      <c r="H64" s="186" t="n">
        <v>252005</v>
      </c>
      <c r="I64" s="207" t="s">
        <v>202</v>
      </c>
      <c r="J64" s="54" t="n">
        <f aca="false">C66</f>
        <v>2441485.33927667</v>
      </c>
      <c r="K64" s="30"/>
      <c r="L64" s="30"/>
    </row>
    <row r="65" customFormat="false" ht="15.75" hidden="false" customHeight="true" outlineLevel="0" collapsed="false">
      <c r="B65" s="189" t="s">
        <v>203</v>
      </c>
      <c r="C65" s="189"/>
      <c r="E65" s="189" t="s">
        <v>204</v>
      </c>
      <c r="F65" s="189"/>
      <c r="H65" s="186" t="n">
        <v>2525</v>
      </c>
      <c r="I65" s="105" t="s">
        <v>205</v>
      </c>
      <c r="J65" s="30"/>
      <c r="K65" s="30"/>
      <c r="L65" s="30" t="n">
        <f aca="false">J66</f>
        <v>1122724.02613286</v>
      </c>
    </row>
    <row r="66" customFormat="false" ht="15" hidden="false" customHeight="false" outlineLevel="0" collapsed="false">
      <c r="B66" s="190"/>
      <c r="C66" s="181" t="n">
        <f aca="false">B44</f>
        <v>2441485.33927667</v>
      </c>
      <c r="D66" s="181"/>
      <c r="E66" s="190"/>
      <c r="F66" s="181" t="n">
        <f aca="false">E44</f>
        <v>1122724.02613286</v>
      </c>
      <c r="H66" s="186" t="n">
        <v>252505</v>
      </c>
      <c r="I66" s="207" t="s">
        <v>206</v>
      </c>
      <c r="J66" s="54" t="n">
        <f aca="false">F66</f>
        <v>1122724.02613286</v>
      </c>
      <c r="K66" s="30"/>
      <c r="L66" s="30"/>
    </row>
    <row r="67" customFormat="false" ht="15" hidden="false" customHeight="false" outlineLevel="0" collapsed="false">
      <c r="B67" s="187"/>
      <c r="C67" s="181"/>
      <c r="D67" s="181"/>
      <c r="E67" s="187"/>
      <c r="F67" s="181"/>
      <c r="H67" s="208" t="s">
        <v>51</v>
      </c>
      <c r="I67" s="209"/>
      <c r="J67" s="37"/>
      <c r="K67" s="158" t="n">
        <f aca="false">SUM(K41:K66)</f>
        <v>13480872.4968304</v>
      </c>
      <c r="L67" s="158" t="n">
        <f aca="false">SUM(L41:L66)</f>
        <v>13480872.4968304</v>
      </c>
      <c r="M67" s="210" t="n">
        <f aca="false">K67-L67</f>
        <v>0</v>
      </c>
    </row>
    <row r="68" customFormat="false" ht="15" hidden="false" customHeight="false" outlineLevel="0" collapsed="false">
      <c r="B68" s="211"/>
      <c r="C68" s="211"/>
      <c r="E68" s="212" t="n">
        <f aca="false">B41+B44+B47+B50+B53+E41+E44+E47+E50+E53</f>
        <v>13480872.4968304</v>
      </c>
      <c r="F68" s="212"/>
    </row>
    <row r="69" customFormat="false" ht="15" hidden="false" customHeight="false" outlineLevel="0" collapsed="false">
      <c r="A69" s="213" t="s">
        <v>207</v>
      </c>
      <c r="B69" s="192"/>
      <c r="C69" s="192"/>
      <c r="D69" s="181"/>
      <c r="E69" s="181"/>
      <c r="F69" s="191" t="n">
        <f aca="false">C56+C59+C63+C66+F56+F59+F63+F66</f>
        <v>13480872.4968304</v>
      </c>
    </row>
    <row r="70" customFormat="false" ht="15" hidden="false" customHeight="false" outlineLevel="0" collapsed="false">
      <c r="A70" s="1" t="s">
        <v>208</v>
      </c>
      <c r="B70" s="181"/>
      <c r="C70" s="181"/>
      <c r="D70" s="181"/>
      <c r="E70" s="181"/>
      <c r="F70" s="181"/>
    </row>
    <row r="71" customFormat="false" ht="12.75" hidden="false" customHeight="true" outlineLevel="0" collapsed="false">
      <c r="A71" s="1" t="s">
        <v>209</v>
      </c>
    </row>
    <row r="72" customFormat="false" ht="15" hidden="false" customHeight="false" outlineLevel="0" collapsed="false">
      <c r="A72" s="1" t="s">
        <v>210</v>
      </c>
    </row>
  </sheetData>
  <mergeCells count="36">
    <mergeCell ref="A2:G2"/>
    <mergeCell ref="H2:L2"/>
    <mergeCell ref="B4:C4"/>
    <mergeCell ref="E4:F4"/>
    <mergeCell ref="B7:C7"/>
    <mergeCell ref="E7:F7"/>
    <mergeCell ref="B10:C10"/>
    <mergeCell ref="E10:F10"/>
    <mergeCell ref="B13:C13"/>
    <mergeCell ref="E13:F13"/>
    <mergeCell ref="B16:C16"/>
    <mergeCell ref="E16:F16"/>
    <mergeCell ref="B19:C19"/>
    <mergeCell ref="E19:F19"/>
    <mergeCell ref="A38:G38"/>
    <mergeCell ref="H38:L38"/>
    <mergeCell ref="B40:C40"/>
    <mergeCell ref="E40:F40"/>
    <mergeCell ref="B43:C43"/>
    <mergeCell ref="E43:F43"/>
    <mergeCell ref="B46:C46"/>
    <mergeCell ref="E46:F46"/>
    <mergeCell ref="B49:C49"/>
    <mergeCell ref="E49:F49"/>
    <mergeCell ref="B52:C52"/>
    <mergeCell ref="E52:F52"/>
    <mergeCell ref="B55:C55"/>
    <mergeCell ref="E55:F55"/>
    <mergeCell ref="B58:C58"/>
    <mergeCell ref="E58:F58"/>
    <mergeCell ref="B62:C62"/>
    <mergeCell ref="E62:F62"/>
    <mergeCell ref="B65:C65"/>
    <mergeCell ref="E65:F65"/>
    <mergeCell ref="B68:C68"/>
    <mergeCell ref="E68:F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2022-09-07T21:08:15Z</dcterms:created>
  <dc:creator>Usuario</dc:creator>
  <dc:description/>
  <dc:language>en-US</dc:language>
  <cp:lastModifiedBy>VÍCTOR MANUEL MURILLO VIVEROS</cp:lastModifiedBy>
  <dcterms:modified xsi:type="dcterms:W3CDTF">2026-10-18T05:01:07Z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