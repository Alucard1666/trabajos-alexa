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 tercero" sheetId="1" state="visible" r:id="rId3"/>
    <sheet name="CAJAS REEMBOLSO " sheetId="2" state="visible" r:id="rId4"/>
  </sheets>
  <definedNames>
    <definedName function="false" hidden="false" localSheetId="1" name="_xlnm.Print_Area" vbProcedure="false">'CAJAS REEMBOLSO '!$A$1:$N$41</definedName>
    <definedName function="false" hidden="true" localSheetId="0" name="_xlnm._FilterDatabase" vbProcedure="false">'Por tercero'!$A$4:$I$53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<sst xmlns="http://schemas.openxmlformats.org/spreadsheetml/2006/main" count="325" uniqueCount="166">
  <si>
    <t xml:space="preserve">REEMBOLSO PABLO MENA #2 — valores en DÓLARES (USD) por tercero</t>
  </si>
  <si>
    <t xml:space="preserve">TOTAL GENERAL</t>
  </si>
  <si>
    <t xml:space="preserve">Tercero</t>
  </si>
  <si>
    <t xml:space="preserve">N° factura</t>
  </si>
  <si>
    <t xml:space="preserve">Fecha</t>
  </si>
  <si>
    <t xml:space="preserve">Concepto</t>
  </si>
  <si>
    <t xml:space="preserve">Subtotal sin IVA</t>
  </si>
  <si>
    <t xml:space="preserve">IVA</t>
  </si>
  <si>
    <t xml:space="preserve">Total</t>
  </si>
  <si>
    <t xml:space="preserve">Tipo</t>
  </si>
  <si>
    <t xml:space="preserve">Ítem</t>
  </si>
  <si>
    <t xml:space="preserve">(SIN TERCERO)</t>
  </si>
  <si>
    <t xml:space="preserve">TOTAL TERCERO</t>
  </si>
  <si>
    <t xml:space="preserve">110038964</t>
  </si>
  <si>
    <t xml:space="preserve">COMPRA DE DULCES</t>
  </si>
  <si>
    <t xml:space="preserve">Factura</t>
  </si>
  <si>
    <t xml:space="preserve">27BP SERVICE STATION</t>
  </si>
  <si>
    <t xml:space="preserve">102648</t>
  </si>
  <si>
    <t xml:space="preserve">ESTACION DE SERVICIO</t>
  </si>
  <si>
    <t xml:space="preserve">CHASE</t>
  </si>
  <si>
    <t xml:space="preserve">7831</t>
  </si>
  <si>
    <t xml:space="preserve">SERVICIO DE BANCO</t>
  </si>
  <si>
    <t xml:space="preserve">COSTCO</t>
  </si>
  <si>
    <t xml:space="preserve">1229</t>
  </si>
  <si>
    <t xml:space="preserve">MERCADOO</t>
  </si>
  <si>
    <t xml:space="preserve">CVS PHARMACY</t>
  </si>
  <si>
    <t xml:space="preserve">27626019093657626</t>
  </si>
  <si>
    <t xml:space="preserve">CUMPLAÑOS</t>
  </si>
  <si>
    <t xml:space="preserve">DNNATELLA PERFUMES</t>
  </si>
  <si>
    <t xml:space="preserve">001125</t>
  </si>
  <si>
    <t xml:space="preserve">REGALO DE CUMPLEAÑOS</t>
  </si>
  <si>
    <t xml:space="preserve">DORAL</t>
  </si>
  <si>
    <t xml:space="preserve">090971766484</t>
  </si>
  <si>
    <t xml:space="preserve">NBKV073515</t>
  </si>
  <si>
    <t xml:space="preserve">EAMTRANC</t>
  </si>
  <si>
    <t xml:space="preserve">1229431083</t>
  </si>
  <si>
    <t xml:space="preserve">INFORME DETALLADO</t>
  </si>
  <si>
    <t xml:space="preserve">EURO CAFÉ EXPRESS</t>
  </si>
  <si>
    <t xml:space="preserve">09484G</t>
  </si>
  <si>
    <t xml:space="preserve">BEBIDA</t>
  </si>
  <si>
    <t xml:space="preserve">GYU-KAKU</t>
  </si>
  <si>
    <t xml:space="preserve">04315D</t>
  </si>
  <si>
    <t xml:space="preserve">H&amp;M</t>
  </si>
  <si>
    <t xml:space="preserve">120450</t>
  </si>
  <si>
    <t xml:space="preserve">PANTALONES</t>
  </si>
  <si>
    <t xml:space="preserve">HOW DOERS GET MORE DONE</t>
  </si>
  <si>
    <t xml:space="preserve">6343</t>
  </si>
  <si>
    <t xml:space="preserve">J.CREW FACTORY</t>
  </si>
  <si>
    <t xml:space="preserve">66197</t>
  </si>
  <si>
    <t xml:space="preserve">ROPA</t>
  </si>
  <si>
    <t xml:space="preserve">MCDONALD RESTAURANT</t>
  </si>
  <si>
    <t xml:space="preserve">7409</t>
  </si>
  <si>
    <t xml:space="preserve">RESTAURANTE</t>
  </si>
  <si>
    <t xml:space="preserve">2405</t>
  </si>
  <si>
    <t xml:space="preserve">ORANGUE BOWL U-GAS</t>
  </si>
  <si>
    <t xml:space="preserve">84248</t>
  </si>
  <si>
    <t xml:space="preserve">BEBIDAS</t>
  </si>
  <si>
    <t xml:space="preserve">ORCICLE</t>
  </si>
  <si>
    <t xml:space="preserve">02054G</t>
  </si>
  <si>
    <t xml:space="preserve">STERN BROTHERS PLUMBIN</t>
  </si>
  <si>
    <t xml:space="preserve">88862</t>
  </si>
  <si>
    <t xml:space="preserve">COMPRA EN FERRETERIA</t>
  </si>
  <si>
    <t xml:space="preserve">TACOMBI</t>
  </si>
  <si>
    <t xml:space="preserve">CHECK 44</t>
  </si>
  <si>
    <t xml:space="preserve">UNIVERSAL ORLANDO RESORT</t>
  </si>
  <si>
    <t xml:space="preserve">CHK7478</t>
  </si>
  <si>
    <t xml:space="preserve">DULCES</t>
  </si>
  <si>
    <t xml:space="preserve">WALGREENS</t>
  </si>
  <si>
    <t xml:space="preserve">02839011706525022803</t>
  </si>
  <si>
    <t xml:space="preserve">WALMART</t>
  </si>
  <si>
    <t xml:space="preserve">068113129118</t>
  </si>
  <si>
    <t xml:space="preserve">7VNQL1QN5NY</t>
  </si>
  <si>
    <t xml:space="preserve">WENDYS RESTAURANT</t>
  </si>
  <si>
    <t xml:space="preserve">3191</t>
  </si>
  <si>
    <t xml:space="preserve">WNDY RESTAURANT</t>
  </si>
  <si>
    <t xml:space="preserve">14209765</t>
  </si>
  <si>
    <t xml:space="preserve">NATURAL SYSTEMS INTERNATIONAL SAS</t>
  </si>
  <si>
    <t xml:space="preserve">LEGALIZACION DE PABLO MENA  #2</t>
  </si>
  <si>
    <t xml:space="preserve">NIT/CC</t>
  </si>
  <si>
    <t xml:space="preserve">PREFIJO</t>
  </si>
  <si>
    <t xml:space="preserve">NUMERO FACTURA</t>
  </si>
  <si>
    <t xml:space="preserve">FECHA FACTURA</t>
  </si>
  <si>
    <t xml:space="preserve">TERCERO</t>
  </si>
  <si>
    <t xml:space="preserve">CONCEPTO</t>
  </si>
  <si>
    <t xml:space="preserve">CENTRO DE COSTO</t>
  </si>
  <si>
    <t xml:space="preserve">SUB TOTAL GRAVADO</t>
  </si>
  <si>
    <t xml:space="preserve">SUB TOTAL SIN IVA</t>
  </si>
  <si>
    <t xml:space="preserve">INC</t>
  </si>
  <si>
    <t xml:space="preserve">TOTAL</t>
  </si>
  <si>
    <t xml:space="preserve">03/03/2025</t>
  </si>
  <si>
    <t xml:space="preserve">18,70</t>
  </si>
  <si>
    <t xml:space="preserve">1,30</t>
  </si>
  <si>
    <t xml:space="preserve">20,00</t>
  </si>
  <si>
    <t xml:space="preserve">13/02/2025</t>
  </si>
  <si>
    <t xml:space="preserve">74,89</t>
  </si>
  <si>
    <t xml:space="preserve">08/02/2025</t>
  </si>
  <si>
    <t xml:space="preserve">255,00</t>
  </si>
  <si>
    <t xml:space="preserve">17,85</t>
  </si>
  <si>
    <t xml:space="preserve">272,85</t>
  </si>
  <si>
    <t xml:space="preserve">30/03/2025</t>
  </si>
  <si>
    <t xml:space="preserve">238,18</t>
  </si>
  <si>
    <t xml:space="preserve">15,64</t>
  </si>
  <si>
    <t xml:space="preserve">253,82</t>
  </si>
  <si>
    <t xml:space="preserve">31/03/2025</t>
  </si>
  <si>
    <t xml:space="preserve">13,88</t>
  </si>
  <si>
    <t xml:space="preserve">0,97</t>
  </si>
  <si>
    <t xml:space="preserve">14,85</t>
  </si>
  <si>
    <t xml:space="preserve">14,56</t>
  </si>
  <si>
    <t xml:space="preserve">0,72</t>
  </si>
  <si>
    <t xml:space="preserve">15,28</t>
  </si>
  <si>
    <t xml:space="preserve">11,53</t>
  </si>
  <si>
    <t xml:space="preserve">0,81</t>
  </si>
  <si>
    <t xml:space="preserve">12,34</t>
  </si>
  <si>
    <t xml:space="preserve">11,49</t>
  </si>
  <si>
    <t xml:space="preserve">0,80</t>
  </si>
  <si>
    <t xml:space="preserve">12,29</t>
  </si>
  <si>
    <t xml:space="preserve">49,99</t>
  </si>
  <si>
    <t xml:space="preserve">2,84</t>
  </si>
  <si>
    <t xml:space="preserve">51,99</t>
  </si>
  <si>
    <t xml:space="preserve">18,62</t>
  </si>
  <si>
    <t xml:space="preserve">19,92</t>
  </si>
  <si>
    <t xml:space="preserve">12,08</t>
  </si>
  <si>
    <t xml:space="preserve">0,85</t>
  </si>
  <si>
    <t xml:space="preserve">12,93</t>
  </si>
  <si>
    <t xml:space="preserve">191,38</t>
  </si>
  <si>
    <t xml:space="preserve">12,99</t>
  </si>
  <si>
    <t xml:space="preserve">204,37</t>
  </si>
  <si>
    <t xml:space="preserve">18,51</t>
  </si>
  <si>
    <t xml:space="preserve">1,44</t>
  </si>
  <si>
    <t xml:space="preserve">19,95</t>
  </si>
  <si>
    <t xml:space="preserve">34,99</t>
  </si>
  <si>
    <t xml:space="preserve">2,45</t>
  </si>
  <si>
    <t xml:space="preserve">37,44</t>
  </si>
  <si>
    <t xml:space="preserve">137,05</t>
  </si>
  <si>
    <t xml:space="preserve">9,60</t>
  </si>
  <si>
    <t xml:space="preserve">146,65</t>
  </si>
  <si>
    <t xml:space="preserve">11,79</t>
  </si>
  <si>
    <t xml:space="preserve">0,83</t>
  </si>
  <si>
    <t xml:space="preserve">12,62</t>
  </si>
  <si>
    <t xml:space="preserve">4,50</t>
  </si>
  <si>
    <t xml:space="preserve">1,32</t>
  </si>
  <si>
    <t xml:space="preserve">5,82</t>
  </si>
  <si>
    <t xml:space="preserve">18,02</t>
  </si>
  <si>
    <t xml:space="preserve">1,17</t>
  </si>
  <si>
    <t xml:space="preserve">19,19</t>
  </si>
  <si>
    <t xml:space="preserve">69,00</t>
  </si>
  <si>
    <t xml:space="preserve">4,83</t>
  </si>
  <si>
    <t xml:space="preserve">73,83</t>
  </si>
  <si>
    <t xml:space="preserve">50,00</t>
  </si>
  <si>
    <t xml:space="preserve">12,48</t>
  </si>
  <si>
    <t xml:space="preserve">0,87</t>
  </si>
  <si>
    <t xml:space="preserve">13,35</t>
  </si>
  <si>
    <t xml:space="preserve">46,75</t>
  </si>
  <si>
    <t xml:space="preserve">2,34</t>
  </si>
  <si>
    <t xml:space="preserve">49,09</t>
  </si>
  <si>
    <t xml:space="preserve">6,77</t>
  </si>
  <si>
    <t xml:space="preserve">0,47</t>
  </si>
  <si>
    <t xml:space="preserve">7,24</t>
  </si>
  <si>
    <t xml:space="preserve">563,879,50</t>
  </si>
  <si>
    <t xml:space="preserve">258,95</t>
  </si>
  <si>
    <t xml:space="preserve">7,66</t>
  </si>
  <si>
    <t xml:space="preserve">266,61</t>
  </si>
  <si>
    <t xml:space="preserve">SCHANTAL BENITEZ</t>
  </si>
  <si>
    <t xml:space="preserve">JULIAN CASTAÑEDA V.</t>
  </si>
  <si>
    <t xml:space="preserve">Elaborado</t>
  </si>
  <si>
    <t xml:space="preserve">Autorizado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</si>
</sst>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_ &quot;$ &quot;* #,##0.00_ ;_ &quot;$ &quot;* \-#,##0.00_ ;_ &quot;$ &quot;* \-??_ ;_ @_ "/>
    <numFmt numFmtId="166" formatCode="0&quot; facturas&quot;"/>
    <numFmt numFmtId="167" formatCode="#,##0.00"/>
    <numFmt numFmtId="168" formatCode="0&quot; factura(s)&quot;"/>
    <numFmt numFmtId="169" formatCode="dd/mm/yyyy"/>
    <numFmt numFmtId="170" formatCode="_-\$* #,##0.00_-;&quot;-$&quot;* #,##0.00_-;_-\$* \-??_-;_-@_-"/>
    <numFmt numFmtId="171" formatCode="_-&quot;$ &quot;* #,##0.00_-;&quot;-$ &quot;* #,##0.00_-;_-&quot;$ &quot;* \-??_-;_-@_-"/>
    <numFmt numFmtId="172" formatCode="&quot;$ &quot;#,##0;[RED]&quot;-$ &quot;#,##0"/>
    <numFmt numFmtId="173" formatCode="_(* #,##0.00_);_(* \(#,##0.00\);_(* \-??_);_(@_)"/>
    <numFmt numFmtId="174" formatCode="_-* #,##0_-;\-* #,##0_-;_-* \-??_-;_-@_-"/>
    <numFmt numFmtId="175" formatCode="m/d/yyyy"/>
    <numFmt numFmtId="176" formatCode="@"/>
    <numFmt numFmtId="177" formatCode="\$#,##0.00"/>
    <numFmt numFmtId="178" formatCode="#,##0.00_ ;\-#,##0.00\ "/>
    <numFmt numFmtId="179" formatCode="#,##0_ ;\-#,##0\ "/>
    <numFmt numFmtId="180" formatCode="_-\$* #,##0.000_-;&quot;-$&quot;* #,##0.000_-;_-\$* \-??_-;_-@_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28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22"/>
      <color theme="1"/>
      <name val="Arial"/>
      <family val="2"/>
      <charset val="1"/>
    </font>
    <font>
      <b val="true"/>
      <sz val="48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22"/>
      <color theme="0"/>
      <name val="Arial"/>
      <family val="2"/>
      <charset val="1"/>
    </font>
    <font>
      <sz val="26"/>
      <color theme="1"/>
      <name val="Arial"/>
      <family val="2"/>
      <charset val="1"/>
    </font>
    <font>
      <sz val="26"/>
      <color theme="1"/>
      <name val="Calibri"/>
      <family val="2"/>
      <charset val="1"/>
    </font>
    <font>
      <sz val="28"/>
      <color theme="1"/>
      <name val="Calibri"/>
      <family val="2"/>
      <charset val="1"/>
    </font>
    <font>
      <b val="true"/>
      <sz val="26"/>
      <color theme="1"/>
      <name val="Arial"/>
      <family val="2"/>
      <charset val="1"/>
    </font>
    <font>
      <sz val="36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004D86"/>
        <bgColor rgb="FF1F3864"/>
      </patternFill>
    </fill>
    <fill>
      <patternFill patternType="solid">
        <fgColor theme="4" tint="-0.25"/>
        <bgColor rgb="FF004D86"/>
      </patternFill>
    </fill>
    <fill>
      <patternFill patternType="solid">
        <fgColor theme="0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>
        <color theme="0"/>
      </right>
      <top/>
      <bottom style="thin"/>
      <diagonal/>
    </border>
    <border diagonalUp="false" diagonalDown="false">
      <left style="thin">
        <color theme="0"/>
      </left>
      <right style="thin">
        <color theme="0"/>
      </right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70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1" fillId="0" borderId="0" xfId="21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1" fontId="12" fillId="0" borderId="0" xfId="17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3" fillId="4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3" fillId="4" borderId="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3" fillId="4" borderId="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3" fillId="4" borderId="4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0" fontId="13" fillId="5" borderId="4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5" fillId="0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6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4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4" fillId="6" borderId="6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1" fontId="14" fillId="6" borderId="5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7" fontId="14" fillId="6" borderId="5" xfId="17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14" fillId="6" borderId="5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8" fontId="14" fillId="6" borderId="5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14" fillId="6" borderId="5" xfId="17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15" fillId="6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1" fontId="14" fillId="6" borderId="6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4" fillId="6" borderId="5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14" fillId="6" borderId="5" xfId="17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5" fontId="14" fillId="6" borderId="5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4" fillId="0" borderId="0" xfId="17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1" fontId="14" fillId="0" borderId="5" xfId="17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9" fontId="14" fillId="6" borderId="5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80" fontId="17" fillId="6" borderId="5" xfId="17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5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tru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da 2" xfId="20"/>
    <cellStyle name="Normal 2" xfId="21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4D8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366840</xdr:colOff>
      <xdr:row>0</xdr:row>
      <xdr:rowOff>296640</xdr:rowOff>
    </xdr:from>
    <xdr:to>
      <xdr:col>3</xdr:col>
      <xdr:colOff>2023920</xdr:colOff>
      <xdr:row>5</xdr:row>
      <xdr:rowOff>152280</xdr:rowOff>
    </xdr:to>
    <xdr:pic>
      <xdr:nvPicPr>
        <xdr:cNvPr id="0" name="Imagen 1" descr=""/>
        <xdr:cNvPicPr/>
      </xdr:nvPicPr>
      <xdr:blipFill>
        <a:blip r:embed="rId1"/>
        <a:srcRect l="20536" t="7741" r="19191" b="12457"/>
        <a:stretch/>
      </xdr:blipFill>
      <xdr:spPr>
        <a:xfrm>
          <a:off x="977760" y="296640"/>
          <a:ext cx="2588400" cy="2722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7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B2" s="2" t="n">
        <f aca="false">COUNTIF($H$5:$H$53,"Factura")</f>
        <v>26</v>
      </c>
      <c r="D2" s="3" t="s">
        <v>1</v>
      </c>
      <c r="E2" s="4" t="n">
        <f aca="false">SUMIF($H$5:$H$53,"TOTAL TERCERO",E5:E53)</f>
        <v>565458.61</v>
      </c>
      <c r="F2" s="4" t="n">
        <f aca="false">SUMIF($H$5:$H$53,"TOTAL TERCERO",F5:F53)</f>
        <v>89.05</v>
      </c>
      <c r="G2" s="4" t="n">
        <f aca="false">SUMIF($H$5:$H$53,"TOTAL TERCERO",G5:G53)</f>
        <v>565546.32</v>
      </c>
    </row>
    <row r="3" customFormat="false" ht="15" hidden="false" customHeight="false" outlineLevel="0" collapsed="false">
      <c r="E3" s="5"/>
      <c r="F3" s="5"/>
      <c r="G3" s="5"/>
    </row>
    <row r="4" customFormat="false" ht="15" hidden="false" customHeight="false" outlineLevel="0" collapsed="false">
      <c r="A4" s="6" t="s">
        <v>2</v>
      </c>
      <c r="B4" s="6" t="s">
        <v>3</v>
      </c>
      <c r="C4" s="6" t="s">
        <v>4</v>
      </c>
      <c r="D4" s="6" t="s">
        <v>5</v>
      </c>
      <c r="E4" s="7" t="s">
        <v>6</v>
      </c>
      <c r="F4" s="7" t="s">
        <v>7</v>
      </c>
      <c r="G4" s="7" t="s">
        <v>8</v>
      </c>
      <c r="H4" s="6" t="s">
        <v>9</v>
      </c>
      <c r="I4" s="6" t="s">
        <v>10</v>
      </c>
    </row>
    <row r="5" customFormat="false" ht="15" hidden="false" customHeight="false" outlineLevel="0" collapsed="false">
      <c r="A5" s="8" t="s">
        <v>11</v>
      </c>
      <c r="B5" s="9" t="n">
        <f aca="false">COUNTIFS($A$6:$A$6,$A5,$H$6:$H$6,"Factura")</f>
        <v>1</v>
      </c>
      <c r="C5" s="8"/>
      <c r="D5" s="8"/>
      <c r="E5" s="10" t="n">
        <f aca="false">SUM(E6:E6)</f>
        <v>18.62</v>
      </c>
      <c r="F5" s="10" t="n">
        <f aca="false">SUM(F6:F6)</f>
        <v>1.3</v>
      </c>
      <c r="G5" s="10" t="n">
        <f aca="false">SUM(G6:G6)</f>
        <v>19.92</v>
      </c>
      <c r="H5" s="8" t="s">
        <v>12</v>
      </c>
      <c r="I5" s="8"/>
    </row>
    <row r="6" customFormat="false" ht="15" hidden="false" customHeight="false" outlineLevel="0" collapsed="false">
      <c r="A6" s="0" t="s">
        <v>11</v>
      </c>
      <c r="B6" s="0" t="s">
        <v>13</v>
      </c>
      <c r="C6" s="11" t="n">
        <v>45716</v>
      </c>
      <c r="D6" s="12" t="s">
        <v>14</v>
      </c>
      <c r="E6" s="5" t="n">
        <v>18.62</v>
      </c>
      <c r="F6" s="5" t="n">
        <v>1.3</v>
      </c>
      <c r="G6" s="5" t="n">
        <v>19.92</v>
      </c>
      <c r="H6" s="12" t="s">
        <v>15</v>
      </c>
      <c r="I6" s="0" t="n">
        <v>10</v>
      </c>
    </row>
    <row r="7" customFormat="false" ht="15" hidden="false" customHeight="false" outlineLevel="0" collapsed="false">
      <c r="A7" s="8" t="s">
        <v>16</v>
      </c>
      <c r="B7" s="9" t="n">
        <f aca="false">COUNTIFS($A$8:$A$8,$A7,$H$8:$H$8,"Factura")</f>
        <v>1</v>
      </c>
      <c r="C7" s="8"/>
      <c r="D7" s="8"/>
      <c r="E7" s="10" t="n">
        <f aca="false">SUM(E8:E8)</f>
        <v>50</v>
      </c>
      <c r="F7" s="10" t="n">
        <f aca="false">SUM(F8:F8)</f>
        <v>0</v>
      </c>
      <c r="G7" s="10" t="n">
        <f aca="false">SUM(G8:G8)</f>
        <v>50</v>
      </c>
      <c r="H7" s="8" t="s">
        <v>12</v>
      </c>
      <c r="I7" s="8"/>
    </row>
    <row r="8" customFormat="false" ht="15" hidden="false" customHeight="false" outlineLevel="0" collapsed="false">
      <c r="A8" s="0" t="s">
        <v>16</v>
      </c>
      <c r="B8" s="0" t="s">
        <v>17</v>
      </c>
      <c r="C8" s="11" t="n">
        <v>45702</v>
      </c>
      <c r="D8" s="12" t="s">
        <v>18</v>
      </c>
      <c r="E8" s="5" t="n">
        <v>50</v>
      </c>
      <c r="F8" s="5" t="n">
        <v>0</v>
      </c>
      <c r="G8" s="5" t="n">
        <v>50</v>
      </c>
      <c r="H8" s="12" t="s">
        <v>15</v>
      </c>
      <c r="I8" s="0" t="n">
        <v>21</v>
      </c>
    </row>
    <row r="9" customFormat="false" ht="15" hidden="false" customHeight="false" outlineLevel="0" collapsed="false">
      <c r="A9" s="8" t="s">
        <v>19</v>
      </c>
      <c r="B9" s="9" t="n">
        <f aca="false">COUNTIFS($A$10:$A$10,$A9,$H$10:$H$10,"Factura")</f>
        <v>1</v>
      </c>
      <c r="C9" s="8"/>
      <c r="D9" s="8"/>
      <c r="E9" s="10" t="n">
        <f aca="false">SUM(E10:E10)</f>
        <v>563879.5</v>
      </c>
      <c r="F9" s="10" t="n">
        <f aca="false">SUM(F10:F10)</f>
        <v>0</v>
      </c>
      <c r="G9" s="10" t="n">
        <f aca="false">SUM(G10:G10)</f>
        <v>563879</v>
      </c>
      <c r="H9" s="8" t="s">
        <v>12</v>
      </c>
      <c r="I9" s="8"/>
    </row>
    <row r="10" customFormat="false" ht="15" hidden="false" customHeight="false" outlineLevel="0" collapsed="false">
      <c r="A10" s="0" t="s">
        <v>19</v>
      </c>
      <c r="B10" s="0" t="s">
        <v>20</v>
      </c>
      <c r="C10" s="11" t="n">
        <v>45692</v>
      </c>
      <c r="D10" s="12" t="s">
        <v>21</v>
      </c>
      <c r="E10" s="5" t="n">
        <v>563879.5</v>
      </c>
      <c r="F10" s="5" t="n">
        <v>0</v>
      </c>
      <c r="G10" s="5" t="n">
        <v>563879</v>
      </c>
      <c r="H10" s="12" t="s">
        <v>15</v>
      </c>
      <c r="I10" s="0" t="n">
        <v>25</v>
      </c>
    </row>
    <row r="11" customFormat="false" ht="15" hidden="false" customHeight="false" outlineLevel="0" collapsed="false">
      <c r="A11" s="8" t="s">
        <v>22</v>
      </c>
      <c r="B11" s="9" t="n">
        <f aca="false">COUNTIFS($A$12:$A$12,$A11,$H$12:$H$12,"Factura")</f>
        <v>1</v>
      </c>
      <c r="C11" s="8"/>
      <c r="D11" s="8"/>
      <c r="E11" s="10" t="n">
        <f aca="false">SUM(E12:E12)</f>
        <v>6.77</v>
      </c>
      <c r="F11" s="10" t="n">
        <f aca="false">SUM(F12:F12)</f>
        <v>0.47</v>
      </c>
      <c r="G11" s="10" t="n">
        <f aca="false">SUM(G12:G12)</f>
        <v>7.24</v>
      </c>
      <c r="H11" s="8" t="s">
        <v>12</v>
      </c>
      <c r="I11" s="8"/>
    </row>
    <row r="12" customFormat="false" ht="15" hidden="false" customHeight="false" outlineLevel="0" collapsed="false">
      <c r="A12" s="0" t="s">
        <v>22</v>
      </c>
      <c r="B12" s="0" t="s">
        <v>23</v>
      </c>
      <c r="C12" s="11" t="n">
        <v>45709</v>
      </c>
      <c r="D12" s="12" t="s">
        <v>24</v>
      </c>
      <c r="E12" s="5" t="n">
        <v>6.77</v>
      </c>
      <c r="F12" s="5" t="n">
        <v>0.47</v>
      </c>
      <c r="G12" s="5" t="n">
        <v>7.24</v>
      </c>
      <c r="H12" s="12" t="s">
        <v>15</v>
      </c>
      <c r="I12" s="0" t="n">
        <v>24</v>
      </c>
    </row>
    <row r="13" customFormat="false" ht="15" hidden="false" customHeight="false" outlineLevel="0" collapsed="false">
      <c r="A13" s="8" t="s">
        <v>25</v>
      </c>
      <c r="B13" s="9" t="n">
        <f aca="false">COUNTIFS($A$14:$A$14,$A13,$H$14:$H$14,"Factura")</f>
        <v>1</v>
      </c>
      <c r="C13" s="8"/>
      <c r="D13" s="8"/>
      <c r="E13" s="10" t="n">
        <f aca="false">SUM(E14:E14)</f>
        <v>14.56</v>
      </c>
      <c r="F13" s="10" t="n">
        <f aca="false">SUM(F14:F14)</f>
        <v>0.72</v>
      </c>
      <c r="G13" s="10" t="n">
        <f aca="false">SUM(G14:G14)</f>
        <v>15.28</v>
      </c>
      <c r="H13" s="8" t="s">
        <v>12</v>
      </c>
      <c r="I13" s="8"/>
    </row>
    <row r="14" customFormat="false" ht="15" hidden="false" customHeight="false" outlineLevel="0" collapsed="false">
      <c r="A14" s="0" t="s">
        <v>25</v>
      </c>
      <c r="B14" s="0" t="s">
        <v>26</v>
      </c>
      <c r="C14" s="11" t="n">
        <v>45696</v>
      </c>
      <c r="D14" s="12" t="s">
        <v>27</v>
      </c>
      <c r="E14" s="5" t="n">
        <v>14.56</v>
      </c>
      <c r="F14" s="5" t="n">
        <v>0.72</v>
      </c>
      <c r="G14" s="5" t="n">
        <v>15.28</v>
      </c>
      <c r="H14" s="12" t="s">
        <v>15</v>
      </c>
      <c r="I14" s="0" t="n">
        <v>6</v>
      </c>
    </row>
    <row r="15" customFormat="false" ht="15" hidden="false" customHeight="false" outlineLevel="0" collapsed="false">
      <c r="A15" s="8" t="s">
        <v>28</v>
      </c>
      <c r="B15" s="9" t="n">
        <f aca="false">COUNTIFS($A$16:$A$16,$A15,$H$16:$H$16,"Factura")</f>
        <v>1</v>
      </c>
      <c r="C15" s="8"/>
      <c r="D15" s="8"/>
      <c r="E15" s="10" t="n">
        <f aca="false">SUM(E16:E16)</f>
        <v>255</v>
      </c>
      <c r="F15" s="10" t="n">
        <f aca="false">SUM(F16:F16)</f>
        <v>17.85</v>
      </c>
      <c r="G15" s="10" t="n">
        <f aca="false">SUM(G16:G16)</f>
        <v>272.85</v>
      </c>
      <c r="H15" s="8" t="s">
        <v>12</v>
      </c>
      <c r="I15" s="8"/>
    </row>
    <row r="16" customFormat="false" ht="15" hidden="false" customHeight="false" outlineLevel="0" collapsed="false">
      <c r="A16" s="0" t="s">
        <v>28</v>
      </c>
      <c r="B16" s="0" t="s">
        <v>29</v>
      </c>
      <c r="C16" s="11" t="n">
        <v>45696</v>
      </c>
      <c r="D16" s="12" t="s">
        <v>30</v>
      </c>
      <c r="E16" s="5" t="n">
        <v>255</v>
      </c>
      <c r="F16" s="5" t="n">
        <v>17.85</v>
      </c>
      <c r="G16" s="5" t="n">
        <v>272.85</v>
      </c>
      <c r="H16" s="12" t="s">
        <v>15</v>
      </c>
      <c r="I16" s="0" t="n">
        <v>3</v>
      </c>
    </row>
    <row r="17" customFormat="false" ht="15" hidden="false" customHeight="false" outlineLevel="0" collapsed="false">
      <c r="A17" s="8" t="s">
        <v>31</v>
      </c>
      <c r="B17" s="9" t="n">
        <f aca="false">COUNTIFS($A$18:$A$19,$A17,$H$18:$H$19,"Factura")</f>
        <v>2</v>
      </c>
      <c r="C17" s="8"/>
      <c r="D17" s="8"/>
      <c r="E17" s="10" t="n">
        <f aca="false">SUM(E18:E19)</f>
        <v>23.2</v>
      </c>
      <c r="F17" s="10" t="n">
        <f aca="false">SUM(F18:F19)</f>
        <v>2.62</v>
      </c>
      <c r="G17" s="10" t="n">
        <f aca="false">SUM(G18:G19)</f>
        <v>25.82</v>
      </c>
      <c r="H17" s="8" t="s">
        <v>12</v>
      </c>
      <c r="I17" s="8"/>
    </row>
    <row r="18" customFormat="false" ht="15" hidden="false" customHeight="false" outlineLevel="0" collapsed="false">
      <c r="A18" s="0" t="s">
        <v>31</v>
      </c>
      <c r="B18" s="0" t="s">
        <v>32</v>
      </c>
      <c r="C18" s="11" t="n">
        <v>45719</v>
      </c>
      <c r="E18" s="5" t="n">
        <v>18.7</v>
      </c>
      <c r="F18" s="5" t="n">
        <v>1.3</v>
      </c>
      <c r="G18" s="5" t="n">
        <v>20</v>
      </c>
      <c r="H18" s="12" t="s">
        <v>15</v>
      </c>
      <c r="I18" s="0" t="n">
        <v>1</v>
      </c>
    </row>
    <row r="19" customFormat="false" ht="15" hidden="false" customHeight="false" outlineLevel="0" collapsed="false">
      <c r="A19" s="0" t="s">
        <v>31</v>
      </c>
      <c r="B19" s="0" t="s">
        <v>33</v>
      </c>
      <c r="C19" s="11" t="n">
        <v>45702</v>
      </c>
      <c r="E19" s="5" t="n">
        <v>4.5</v>
      </c>
      <c r="F19" s="5" t="n">
        <v>1.32</v>
      </c>
      <c r="G19" s="5" t="n">
        <v>5.82</v>
      </c>
      <c r="H19" s="12" t="s">
        <v>15</v>
      </c>
      <c r="I19" s="0" t="n">
        <v>18</v>
      </c>
    </row>
    <row r="20" customFormat="false" ht="15" hidden="false" customHeight="false" outlineLevel="0" collapsed="false">
      <c r="A20" s="8" t="s">
        <v>34</v>
      </c>
      <c r="B20" s="9" t="n">
        <f aca="false">COUNTIFS($A$21:$A$21,$A20,$H$21:$H$21,"Factura")</f>
        <v>1</v>
      </c>
      <c r="C20" s="8"/>
      <c r="D20" s="8"/>
      <c r="E20" s="10" t="n">
        <f aca="false">SUM(E21:E21)</f>
        <v>258.95</v>
      </c>
      <c r="F20" s="10" t="n">
        <f aca="false">SUM(F21:F21)</f>
        <v>7.66</v>
      </c>
      <c r="G20" s="10" t="n">
        <f aca="false">SUM(G21:G21)</f>
        <v>266.61</v>
      </c>
      <c r="H20" s="8" t="s">
        <v>12</v>
      </c>
      <c r="I20" s="8"/>
    </row>
    <row r="21" customFormat="false" ht="15" hidden="false" customHeight="false" outlineLevel="0" collapsed="false">
      <c r="A21" s="0" t="s">
        <v>34</v>
      </c>
      <c r="B21" s="0" t="s">
        <v>35</v>
      </c>
      <c r="C21" s="11" t="n">
        <v>45709</v>
      </c>
      <c r="D21" s="12" t="s">
        <v>36</v>
      </c>
      <c r="E21" s="5" t="n">
        <v>258.95</v>
      </c>
      <c r="F21" s="5" t="n">
        <v>7.66</v>
      </c>
      <c r="G21" s="5" t="n">
        <v>266.61</v>
      </c>
      <c r="H21" s="12" t="s">
        <v>15</v>
      </c>
      <c r="I21" s="0" t="n">
        <v>26</v>
      </c>
    </row>
    <row r="22" customFormat="false" ht="15" hidden="false" customHeight="false" outlineLevel="0" collapsed="false">
      <c r="A22" s="8" t="s">
        <v>37</v>
      </c>
      <c r="B22" s="9" t="n">
        <f aca="false">COUNTIFS($A$23:$A$23,$A22,$H$23:$H$23,"Factura")</f>
        <v>1</v>
      </c>
      <c r="C22" s="8"/>
      <c r="D22" s="8"/>
      <c r="E22" s="10" t="n">
        <f aca="false">SUM(E23:E23)</f>
        <v>18.51</v>
      </c>
      <c r="F22" s="10" t="n">
        <f aca="false">SUM(F23:F23)</f>
        <v>1.44</v>
      </c>
      <c r="G22" s="10" t="n">
        <f aca="false">SUM(G23:G23)</f>
        <v>19.95</v>
      </c>
      <c r="H22" s="8" t="s">
        <v>12</v>
      </c>
      <c r="I22" s="8"/>
    </row>
    <row r="23" customFormat="false" ht="15" hidden="false" customHeight="false" outlineLevel="0" collapsed="false">
      <c r="A23" s="0" t="s">
        <v>37</v>
      </c>
      <c r="B23" s="0" t="s">
        <v>38</v>
      </c>
      <c r="C23" s="11" t="n">
        <v>45740</v>
      </c>
      <c r="D23" s="12" t="s">
        <v>39</v>
      </c>
      <c r="E23" s="5" t="n">
        <v>18.51</v>
      </c>
      <c r="F23" s="5" t="n">
        <v>1.44</v>
      </c>
      <c r="G23" s="5" t="n">
        <v>19.95</v>
      </c>
      <c r="H23" s="12" t="s">
        <v>15</v>
      </c>
      <c r="I23" s="0" t="n">
        <v>13</v>
      </c>
    </row>
    <row r="24" customFormat="false" ht="15" hidden="false" customHeight="false" outlineLevel="0" collapsed="false">
      <c r="A24" s="8" t="s">
        <v>40</v>
      </c>
      <c r="B24" s="9" t="n">
        <f aca="false">COUNTIFS($A$25:$A$25,$A24,$H$25:$H$25,"Factura")</f>
        <v>1</v>
      </c>
      <c r="C24" s="8"/>
      <c r="D24" s="8"/>
      <c r="E24" s="10" t="n">
        <f aca="false">SUM(E25:E25)</f>
        <v>0</v>
      </c>
      <c r="F24" s="10" t="n">
        <f aca="false">SUM(F25:F25)</f>
        <v>0</v>
      </c>
      <c r="G24" s="10" t="n">
        <f aca="false">SUM(G25:G25)</f>
        <v>0</v>
      </c>
      <c r="H24" s="8" t="s">
        <v>12</v>
      </c>
      <c r="I24" s="8"/>
    </row>
    <row r="25" customFormat="false" ht="15" hidden="false" customHeight="false" outlineLevel="0" collapsed="false">
      <c r="A25" s="0" t="s">
        <v>40</v>
      </c>
      <c r="B25" s="0" t="s">
        <v>41</v>
      </c>
      <c r="C25" s="11" t="n">
        <v>45725</v>
      </c>
      <c r="E25" s="5" t="n">
        <v>0</v>
      </c>
      <c r="F25" s="5" t="n">
        <v>0</v>
      </c>
      <c r="G25" s="5" t="n">
        <v>0</v>
      </c>
      <c r="H25" s="12" t="s">
        <v>15</v>
      </c>
      <c r="I25" s="0" t="n">
        <v>16</v>
      </c>
    </row>
    <row r="26" customFormat="false" ht="15" hidden="false" customHeight="false" outlineLevel="0" collapsed="false">
      <c r="A26" s="8" t="s">
        <v>42</v>
      </c>
      <c r="B26" s="9" t="n">
        <f aca="false">COUNTIFS($A$27:$A$27,$A26,$H$27:$H$27,"Factura")</f>
        <v>1</v>
      </c>
      <c r="C26" s="8"/>
      <c r="D26" s="8"/>
      <c r="E26" s="10" t="n">
        <f aca="false">SUM(E27:E27)</f>
        <v>34.99</v>
      </c>
      <c r="F26" s="10" t="n">
        <f aca="false">SUM(F27:F27)</f>
        <v>2.45</v>
      </c>
      <c r="G26" s="10" t="n">
        <f aca="false">SUM(G27:G27)</f>
        <v>37.44</v>
      </c>
      <c r="H26" s="8" t="s">
        <v>12</v>
      </c>
      <c r="I26" s="8"/>
    </row>
    <row r="27" customFormat="false" ht="15" hidden="false" customHeight="false" outlineLevel="0" collapsed="false">
      <c r="A27" s="0" t="s">
        <v>42</v>
      </c>
      <c r="B27" s="0" t="s">
        <v>43</v>
      </c>
      <c r="C27" s="11" t="n">
        <v>45727</v>
      </c>
      <c r="D27" s="12" t="s">
        <v>44</v>
      </c>
      <c r="E27" s="5" t="n">
        <v>34.99</v>
      </c>
      <c r="F27" s="5" t="n">
        <v>2.45</v>
      </c>
      <c r="G27" s="5" t="n">
        <v>37.44</v>
      </c>
      <c r="H27" s="12" t="s">
        <v>15</v>
      </c>
      <c r="I27" s="0" t="n">
        <v>14</v>
      </c>
    </row>
    <row r="28" customFormat="false" ht="15" hidden="false" customHeight="false" outlineLevel="0" collapsed="false">
      <c r="A28" s="8" t="s">
        <v>45</v>
      </c>
      <c r="B28" s="9" t="n">
        <f aca="false">COUNTIFS($A$29:$A$29,$A28,$H$29:$H$29,"Factura")</f>
        <v>1</v>
      </c>
      <c r="C28" s="8"/>
      <c r="D28" s="8"/>
      <c r="E28" s="10" t="n">
        <f aca="false">SUM(E29:E29)</f>
        <v>69</v>
      </c>
      <c r="F28" s="10" t="n">
        <f aca="false">SUM(F29:F29)</f>
        <v>4.83</v>
      </c>
      <c r="G28" s="10" t="n">
        <f aca="false">SUM(G29:G29)</f>
        <v>73.83</v>
      </c>
      <c r="H28" s="8" t="s">
        <v>12</v>
      </c>
      <c r="I28" s="8"/>
    </row>
    <row r="29" customFormat="false" ht="15" hidden="false" customHeight="false" outlineLevel="0" collapsed="false">
      <c r="A29" s="0" t="s">
        <v>45</v>
      </c>
      <c r="B29" s="0" t="s">
        <v>46</v>
      </c>
      <c r="C29" s="11" t="n">
        <v>45700</v>
      </c>
      <c r="E29" s="5" t="n">
        <v>69</v>
      </c>
      <c r="F29" s="5" t="n">
        <v>4.83</v>
      </c>
      <c r="G29" s="5" t="n">
        <v>73.83</v>
      </c>
      <c r="H29" s="12" t="s">
        <v>15</v>
      </c>
      <c r="I29" s="0" t="n">
        <v>20</v>
      </c>
    </row>
    <row r="30" customFormat="false" ht="15" hidden="false" customHeight="false" outlineLevel="0" collapsed="false">
      <c r="A30" s="8" t="s">
        <v>47</v>
      </c>
      <c r="B30" s="9" t="n">
        <f aca="false">COUNTIFS($A$31:$A$31,$A30,$H$31:$H$31,"Factura")</f>
        <v>1</v>
      </c>
      <c r="C30" s="8"/>
      <c r="D30" s="8"/>
      <c r="E30" s="10" t="n">
        <f aca="false">SUM(E31:E31)</f>
        <v>137.05</v>
      </c>
      <c r="F30" s="10" t="n">
        <f aca="false">SUM(F31:F31)</f>
        <v>9.6</v>
      </c>
      <c r="G30" s="10" t="n">
        <f aca="false">SUM(G31:G31)</f>
        <v>146.65</v>
      </c>
      <c r="H30" s="8" t="s">
        <v>12</v>
      </c>
      <c r="I30" s="8"/>
    </row>
    <row r="31" customFormat="false" ht="15" hidden="false" customHeight="false" outlineLevel="0" collapsed="false">
      <c r="A31" s="0" t="s">
        <v>47</v>
      </c>
      <c r="B31" s="0" t="s">
        <v>48</v>
      </c>
      <c r="C31" s="11" t="n">
        <v>45727</v>
      </c>
      <c r="D31" s="12" t="s">
        <v>49</v>
      </c>
      <c r="E31" s="5" t="n">
        <v>137.05</v>
      </c>
      <c r="F31" s="5" t="n">
        <v>9.6</v>
      </c>
      <c r="G31" s="5" t="n">
        <v>146.65</v>
      </c>
      <c r="H31" s="12" t="s">
        <v>15</v>
      </c>
      <c r="I31" s="0" t="n">
        <v>15</v>
      </c>
    </row>
    <row r="32" customFormat="false" ht="15" hidden="false" customHeight="false" outlineLevel="0" collapsed="false">
      <c r="A32" s="8" t="s">
        <v>50</v>
      </c>
      <c r="B32" s="9" t="n">
        <f aca="false">COUNTIFS($A$33:$A$34,$A32,$H$33:$H$34,"Factura")</f>
        <v>2</v>
      </c>
      <c r="C32" s="8"/>
      <c r="D32" s="8"/>
      <c r="E32" s="10" t="n">
        <f aca="false">SUM(E33:E34)</f>
        <v>24.56</v>
      </c>
      <c r="F32" s="10" t="n">
        <f aca="false">SUM(F33:F34)</f>
        <v>1.72</v>
      </c>
      <c r="G32" s="10" t="n">
        <f aca="false">SUM(G33:G34)</f>
        <v>26.28</v>
      </c>
      <c r="H32" s="8" t="s">
        <v>12</v>
      </c>
      <c r="I32" s="8"/>
    </row>
    <row r="33" customFormat="false" ht="15" hidden="false" customHeight="false" outlineLevel="0" collapsed="false">
      <c r="A33" s="0" t="s">
        <v>50</v>
      </c>
      <c r="B33" s="0" t="s">
        <v>51</v>
      </c>
      <c r="C33" s="11" t="n">
        <v>45714</v>
      </c>
      <c r="D33" s="12" t="s">
        <v>52</v>
      </c>
      <c r="E33" s="5" t="n">
        <v>12.08</v>
      </c>
      <c r="F33" s="5" t="n">
        <v>0.85</v>
      </c>
      <c r="G33" s="5" t="n">
        <v>12.93</v>
      </c>
      <c r="H33" s="12" t="s">
        <v>15</v>
      </c>
      <c r="I33" s="0" t="n">
        <v>11</v>
      </c>
    </row>
    <row r="34" customFormat="false" ht="15" hidden="false" customHeight="false" outlineLevel="0" collapsed="false">
      <c r="A34" s="0" t="s">
        <v>50</v>
      </c>
      <c r="B34" s="0" t="s">
        <v>53</v>
      </c>
      <c r="C34" s="11" t="n">
        <v>45737</v>
      </c>
      <c r="D34" s="12" t="s">
        <v>52</v>
      </c>
      <c r="E34" s="5" t="n">
        <v>12.48</v>
      </c>
      <c r="F34" s="5" t="n">
        <v>0.87</v>
      </c>
      <c r="G34" s="5" t="n">
        <v>13.35</v>
      </c>
      <c r="H34" s="12" t="s">
        <v>15</v>
      </c>
      <c r="I34" s="0" t="n">
        <v>22</v>
      </c>
    </row>
    <row r="35" customFormat="false" ht="15" hidden="false" customHeight="false" outlineLevel="0" collapsed="false">
      <c r="A35" s="8" t="s">
        <v>54</v>
      </c>
      <c r="B35" s="9" t="n">
        <f aca="false">COUNTIFS($A$36:$A$36,$A35,$H$36:$H$36,"Factura")</f>
        <v>1</v>
      </c>
      <c r="C35" s="8"/>
      <c r="D35" s="8"/>
      <c r="E35" s="10" t="n">
        <f aca="false">SUM(E36:E36)</f>
        <v>11.53</v>
      </c>
      <c r="F35" s="10" t="n">
        <f aca="false">SUM(F36:F36)</f>
        <v>0.81</v>
      </c>
      <c r="G35" s="10" t="n">
        <f aca="false">SUM(G36:G36)</f>
        <v>12.34</v>
      </c>
      <c r="H35" s="8" t="s">
        <v>12</v>
      </c>
      <c r="I35" s="8"/>
    </row>
    <row r="36" customFormat="false" ht="15" hidden="false" customHeight="false" outlineLevel="0" collapsed="false">
      <c r="A36" s="0" t="s">
        <v>54</v>
      </c>
      <c r="B36" s="0" t="s">
        <v>55</v>
      </c>
      <c r="C36" s="11" t="n">
        <v>45745</v>
      </c>
      <c r="D36" s="12" t="s">
        <v>56</v>
      </c>
      <c r="E36" s="5" t="n">
        <v>11.53</v>
      </c>
      <c r="F36" s="5" t="n">
        <v>0.81</v>
      </c>
      <c r="G36" s="5" t="n">
        <v>12.34</v>
      </c>
      <c r="H36" s="12" t="s">
        <v>15</v>
      </c>
      <c r="I36" s="0" t="n">
        <v>7</v>
      </c>
    </row>
    <row r="37" customFormat="false" ht="15" hidden="false" customHeight="false" outlineLevel="0" collapsed="false">
      <c r="A37" s="8" t="s">
        <v>57</v>
      </c>
      <c r="B37" s="9" t="n">
        <f aca="false">COUNTIFS($A$38:$A$38,$A37,$H$38:$H$38,"Factura")</f>
        <v>1</v>
      </c>
      <c r="C37" s="8"/>
      <c r="D37" s="8"/>
      <c r="E37" s="10" t="n">
        <f aca="false">SUM(E38:E38)</f>
        <v>238.18</v>
      </c>
      <c r="F37" s="10" t="n">
        <f aca="false">SUM(F38:F38)</f>
        <v>15.64</v>
      </c>
      <c r="G37" s="10" t="n">
        <f aca="false">SUM(G38:G38)</f>
        <v>253.82</v>
      </c>
      <c r="H37" s="8" t="s">
        <v>12</v>
      </c>
      <c r="I37" s="8"/>
    </row>
    <row r="38" customFormat="false" ht="15" hidden="false" customHeight="false" outlineLevel="0" collapsed="false">
      <c r="A38" s="0" t="s">
        <v>57</v>
      </c>
      <c r="B38" s="0" t="s">
        <v>58</v>
      </c>
      <c r="C38" s="11" t="n">
        <v>45746</v>
      </c>
      <c r="D38" s="12" t="s">
        <v>24</v>
      </c>
      <c r="E38" s="5" t="n">
        <v>238.18</v>
      </c>
      <c r="F38" s="5" t="n">
        <v>15.64</v>
      </c>
      <c r="G38" s="5" t="n">
        <v>253.82</v>
      </c>
      <c r="H38" s="12" t="s">
        <v>15</v>
      </c>
      <c r="I38" s="0" t="n">
        <v>4</v>
      </c>
    </row>
    <row r="39" customFormat="false" ht="15" hidden="false" customHeight="false" outlineLevel="0" collapsed="false">
      <c r="A39" s="8" t="s">
        <v>59</v>
      </c>
      <c r="B39" s="9" t="n">
        <f aca="false">COUNTIFS($A$40:$A$40,$A39,$H$40:$H$40,"Factura")</f>
        <v>1</v>
      </c>
      <c r="C39" s="8"/>
      <c r="D39" s="8"/>
      <c r="E39" s="10" t="n">
        <f aca="false">SUM(E40:E40)</f>
        <v>74.89</v>
      </c>
      <c r="F39" s="10" t="n">
        <f aca="false">SUM(F40:F40)</f>
        <v>0</v>
      </c>
      <c r="G39" s="10" t="n">
        <f aca="false">SUM(G40:G40)</f>
        <v>74.89</v>
      </c>
      <c r="H39" s="8" t="s">
        <v>12</v>
      </c>
      <c r="I39" s="8"/>
    </row>
    <row r="40" customFormat="false" ht="15" hidden="false" customHeight="false" outlineLevel="0" collapsed="false">
      <c r="A40" s="0" t="s">
        <v>59</v>
      </c>
      <c r="B40" s="0" t="s">
        <v>60</v>
      </c>
      <c r="C40" s="11" t="n">
        <v>45701</v>
      </c>
      <c r="D40" s="12" t="s">
        <v>61</v>
      </c>
      <c r="E40" s="5" t="n">
        <v>74.89</v>
      </c>
      <c r="F40" s="5" t="n">
        <v>0</v>
      </c>
      <c r="G40" s="5" t="n">
        <v>74.89</v>
      </c>
      <c r="H40" s="12" t="s">
        <v>15</v>
      </c>
      <c r="I40" s="0" t="n">
        <v>2</v>
      </c>
    </row>
    <row r="41" customFormat="false" ht="15" hidden="false" customHeight="false" outlineLevel="0" collapsed="false">
      <c r="A41" s="8" t="s">
        <v>62</v>
      </c>
      <c r="B41" s="9" t="n">
        <f aca="false">COUNTIFS($A$42:$A$42,$A41,$H$42:$H$42,"Factura")</f>
        <v>1</v>
      </c>
      <c r="C41" s="8"/>
      <c r="D41" s="8"/>
      <c r="E41" s="10" t="n">
        <f aca="false">SUM(E42:E42)</f>
        <v>191.38</v>
      </c>
      <c r="F41" s="10" t="n">
        <f aca="false">SUM(F42:F42)</f>
        <v>12.99</v>
      </c>
      <c r="G41" s="10" t="n">
        <f aca="false">SUM(G42:G42)</f>
        <v>204.37</v>
      </c>
      <c r="H41" s="8" t="s">
        <v>12</v>
      </c>
      <c r="I41" s="8"/>
    </row>
    <row r="42" customFormat="false" ht="15" hidden="false" customHeight="false" outlineLevel="0" collapsed="false">
      <c r="A42" s="0" t="s">
        <v>62</v>
      </c>
      <c r="B42" s="0" t="s">
        <v>63</v>
      </c>
      <c r="C42" s="11" t="n">
        <v>45711</v>
      </c>
      <c r="D42" s="12" t="s">
        <v>52</v>
      </c>
      <c r="E42" s="5" t="n">
        <v>191.38</v>
      </c>
      <c r="F42" s="5" t="n">
        <v>12.99</v>
      </c>
      <c r="G42" s="5" t="n">
        <v>204.37</v>
      </c>
      <c r="H42" s="12" t="s">
        <v>15</v>
      </c>
      <c r="I42" s="0" t="n">
        <v>12</v>
      </c>
    </row>
    <row r="43" customFormat="false" ht="15" hidden="false" customHeight="false" outlineLevel="0" collapsed="false">
      <c r="A43" s="8" t="s">
        <v>64</v>
      </c>
      <c r="B43" s="9" t="n">
        <f aca="false">COUNTIFS($A$44:$A$44,$A43,$H$44:$H$44,"Factura")</f>
        <v>1</v>
      </c>
      <c r="C43" s="8"/>
      <c r="D43" s="8"/>
      <c r="E43" s="10" t="n">
        <f aca="false">SUM(E44:E44)</f>
        <v>18.02</v>
      </c>
      <c r="F43" s="10" t="n">
        <f aca="false">SUM(F44:F44)</f>
        <v>1.17</v>
      </c>
      <c r="G43" s="10" t="n">
        <f aca="false">SUM(G44:G44)</f>
        <v>19.19</v>
      </c>
      <c r="H43" s="8" t="s">
        <v>12</v>
      </c>
      <c r="I43" s="8"/>
    </row>
    <row r="44" customFormat="false" ht="15" hidden="false" customHeight="false" outlineLevel="0" collapsed="false">
      <c r="A44" s="0" t="s">
        <v>64</v>
      </c>
      <c r="B44" s="0" t="s">
        <v>65</v>
      </c>
      <c r="C44" s="11" t="n">
        <v>45717</v>
      </c>
      <c r="D44" s="12" t="s">
        <v>66</v>
      </c>
      <c r="E44" s="5" t="n">
        <v>18.02</v>
      </c>
      <c r="F44" s="5" t="n">
        <v>1.17</v>
      </c>
      <c r="G44" s="5" t="n">
        <v>19.19</v>
      </c>
      <c r="H44" s="12" t="s">
        <v>15</v>
      </c>
      <c r="I44" s="0" t="n">
        <v>19</v>
      </c>
    </row>
    <row r="45" customFormat="false" ht="15" hidden="false" customHeight="false" outlineLevel="0" collapsed="false">
      <c r="A45" s="8" t="s">
        <v>67</v>
      </c>
      <c r="B45" s="9" t="n">
        <f aca="false">COUNTIFS($A$46:$A$46,$A45,$H$46:$H$46,"Factura")</f>
        <v>1</v>
      </c>
      <c r="C45" s="8"/>
      <c r="D45" s="8"/>
      <c r="E45" s="10" t="n">
        <f aca="false">SUM(E46:E46)</f>
        <v>49.99</v>
      </c>
      <c r="F45" s="10" t="n">
        <f aca="false">SUM(F46:F46)</f>
        <v>2.84</v>
      </c>
      <c r="G45" s="10" t="n">
        <f aca="false">SUM(G46:G46)</f>
        <v>51.99</v>
      </c>
      <c r="H45" s="8" t="s">
        <v>12</v>
      </c>
      <c r="I45" s="8"/>
    </row>
    <row r="46" customFormat="false" ht="15" hidden="false" customHeight="false" outlineLevel="0" collapsed="false">
      <c r="A46" s="0" t="s">
        <v>67</v>
      </c>
      <c r="B46" s="0" t="s">
        <v>68</v>
      </c>
      <c r="C46" s="11" t="n">
        <v>45716</v>
      </c>
      <c r="D46" s="12" t="s">
        <v>24</v>
      </c>
      <c r="E46" s="5" t="n">
        <v>49.99</v>
      </c>
      <c r="F46" s="5" t="n">
        <v>2.84</v>
      </c>
      <c r="G46" s="5" t="n">
        <v>51.99</v>
      </c>
      <c r="H46" s="12" t="s">
        <v>15</v>
      </c>
      <c r="I46" s="0" t="n">
        <v>9</v>
      </c>
    </row>
    <row r="47" customFormat="false" ht="15" hidden="false" customHeight="false" outlineLevel="0" collapsed="false">
      <c r="A47" s="8" t="s">
        <v>69</v>
      </c>
      <c r="B47" s="9" t="n">
        <f aca="false">COUNTIFS($A$48:$A$49,$A47,$H$48:$H$49,"Factura")</f>
        <v>2</v>
      </c>
      <c r="C47" s="8"/>
      <c r="D47" s="8"/>
      <c r="E47" s="10" t="n">
        <f aca="false">SUM(E48:E49)</f>
        <v>60.63</v>
      </c>
      <c r="F47" s="10" t="n">
        <f aca="false">SUM(F48:F49)</f>
        <v>3.31</v>
      </c>
      <c r="G47" s="10" t="n">
        <f aca="false">SUM(G48:G49)</f>
        <v>63.94</v>
      </c>
      <c r="H47" s="8" t="s">
        <v>12</v>
      </c>
      <c r="I47" s="8"/>
    </row>
    <row r="48" customFormat="false" ht="15" hidden="false" customHeight="false" outlineLevel="0" collapsed="false">
      <c r="A48" s="0" t="s">
        <v>69</v>
      </c>
      <c r="B48" s="0" t="s">
        <v>70</v>
      </c>
      <c r="C48" s="11" t="n">
        <v>45747</v>
      </c>
      <c r="D48" s="12" t="s">
        <v>24</v>
      </c>
      <c r="E48" s="5" t="n">
        <v>13.88</v>
      </c>
      <c r="F48" s="5" t="n">
        <v>0.97</v>
      </c>
      <c r="G48" s="5" t="n">
        <v>14.85</v>
      </c>
      <c r="H48" s="12" t="s">
        <v>15</v>
      </c>
      <c r="I48" s="0" t="n">
        <v>5</v>
      </c>
    </row>
    <row r="49" customFormat="false" ht="15" hidden="false" customHeight="false" outlineLevel="0" collapsed="false">
      <c r="A49" s="0" t="s">
        <v>69</v>
      </c>
      <c r="B49" s="0" t="s">
        <v>71</v>
      </c>
      <c r="C49" s="11" t="n">
        <v>45737</v>
      </c>
      <c r="D49" s="12" t="s">
        <v>24</v>
      </c>
      <c r="E49" s="5" t="n">
        <v>46.75</v>
      </c>
      <c r="F49" s="5" t="n">
        <v>2.34</v>
      </c>
      <c r="G49" s="5" t="n">
        <v>49.09</v>
      </c>
      <c r="H49" s="12" t="s">
        <v>15</v>
      </c>
      <c r="I49" s="0" t="n">
        <v>23</v>
      </c>
    </row>
    <row r="50" customFormat="false" ht="15" hidden="false" customHeight="false" outlineLevel="0" collapsed="false">
      <c r="A50" s="8" t="s">
        <v>72</v>
      </c>
      <c r="B50" s="9" t="n">
        <f aca="false">COUNTIFS($A$51:$A$51,$A50,$H$51:$H$51,"Factura")</f>
        <v>1</v>
      </c>
      <c r="C50" s="8"/>
      <c r="D50" s="8"/>
      <c r="E50" s="10" t="n">
        <f aca="false">SUM(E51:E51)</f>
        <v>11.79</v>
      </c>
      <c r="F50" s="10" t="n">
        <f aca="false">SUM(F51:F51)</f>
        <v>0.83</v>
      </c>
      <c r="G50" s="10" t="n">
        <f aca="false">SUM(G51:G51)</f>
        <v>12.62</v>
      </c>
      <c r="H50" s="8" t="s">
        <v>12</v>
      </c>
      <c r="I50" s="8"/>
    </row>
    <row r="51" customFormat="false" ht="15" hidden="false" customHeight="false" outlineLevel="0" collapsed="false">
      <c r="A51" s="0" t="s">
        <v>72</v>
      </c>
      <c r="B51" s="0" t="s">
        <v>73</v>
      </c>
      <c r="C51" s="11" t="n">
        <v>45730</v>
      </c>
      <c r="D51" s="12" t="s">
        <v>52</v>
      </c>
      <c r="E51" s="5" t="n">
        <v>11.79</v>
      </c>
      <c r="F51" s="5" t="n">
        <v>0.83</v>
      </c>
      <c r="G51" s="5" t="n">
        <v>12.62</v>
      </c>
      <c r="H51" s="12" t="s">
        <v>15</v>
      </c>
      <c r="I51" s="0" t="n">
        <v>17</v>
      </c>
    </row>
    <row r="52" customFormat="false" ht="15" hidden="false" customHeight="false" outlineLevel="0" collapsed="false">
      <c r="A52" s="8" t="s">
        <v>74</v>
      </c>
      <c r="B52" s="9" t="n">
        <f aca="false">COUNTIFS($A$53:$A$53,$A52,$H$53:$H$53,"Factura")</f>
        <v>1</v>
      </c>
      <c r="C52" s="8"/>
      <c r="D52" s="8"/>
      <c r="E52" s="10" t="n">
        <f aca="false">SUM(E53:E53)</f>
        <v>11.49</v>
      </c>
      <c r="F52" s="10" t="n">
        <f aca="false">SUM(F53:F53)</f>
        <v>0.8</v>
      </c>
      <c r="G52" s="10" t="n">
        <f aca="false">SUM(G53:G53)</f>
        <v>12.29</v>
      </c>
      <c r="H52" s="8" t="s">
        <v>12</v>
      </c>
      <c r="I52" s="8"/>
    </row>
    <row r="53" customFormat="false" ht="15" hidden="false" customHeight="false" outlineLevel="0" collapsed="false">
      <c r="A53" s="0" t="s">
        <v>74</v>
      </c>
      <c r="B53" s="0" t="s">
        <v>75</v>
      </c>
      <c r="C53" s="11" t="n">
        <v>45716</v>
      </c>
      <c r="D53" s="12" t="s">
        <v>52</v>
      </c>
      <c r="E53" s="5" t="n">
        <v>11.49</v>
      </c>
      <c r="F53" s="5" t="n">
        <v>0.8</v>
      </c>
      <c r="G53" s="5" t="n">
        <v>12.29</v>
      </c>
      <c r="H53" s="12" t="s">
        <v>15</v>
      </c>
      <c r="I53" s="0" t="n">
        <v>8</v>
      </c>
    </row>
  </sheetData>
  <autoFilter ref="A4:I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2:M39"/>
  <sheetViews>
    <sheetView showFormulas="false" showGridLines="false" showRowColHeaders="true" showZeros="true" rightToLeft="false" tabSelected="true" showOutlineSymbols="true" defaultGridColor="true" view="normal" topLeftCell="B1" colorId="64" zoomScale="40" zoomScaleNormal="40" zoomScalePageLayoutView="40" workbookViewId="0">
      <selection pane="topLeft" activeCell="M4" activeCellId="0" sqref="M4"/>
    </sheetView>
  </sheetViews>
  <sheetFormatPr defaultColWidth="11.4453125" defaultRowHeight="35.25" zeroHeight="false" outlineLevelRow="0" outlineLevelCol="0"/>
  <cols>
    <col collapsed="false" customWidth="true" hidden="false" outlineLevel="0" max="1" min="1" style="13" width="8.67"/>
    <col collapsed="false" customWidth="true" hidden="false" outlineLevel="0" max="2" min="2" style="13" width="13.22"/>
    <col collapsed="false" customWidth="true" hidden="true" outlineLevel="0" max="3" min="3" style="14" width="40.67"/>
    <col collapsed="false" customWidth="true" hidden="false" outlineLevel="0" max="4" min="4" style="15" width="70.11"/>
    <col collapsed="false" customWidth="true" hidden="false" outlineLevel="0" max="5" min="5" style="15" width="37"/>
    <col collapsed="false" customWidth="true" hidden="false" outlineLevel="0" max="6" min="6" style="15" width="98.67"/>
    <col collapsed="false" customWidth="true" hidden="false" outlineLevel="0" max="7" min="7" style="16" width="100.44"/>
    <col collapsed="false" customWidth="true" hidden="true" outlineLevel="0" max="8" min="8" style="15" width="41.56"/>
    <col collapsed="false" customWidth="true" hidden="true" outlineLevel="0" max="9" min="9" style="15" width="30.56"/>
    <col collapsed="false" customWidth="true" hidden="false" outlineLevel="0" max="10" min="10" style="15" width="26.33"/>
    <col collapsed="false" customWidth="true" hidden="false" outlineLevel="0" max="11" min="11" style="15" width="38.67"/>
    <col collapsed="false" customWidth="true" hidden="true" outlineLevel="0" max="12" min="12" style="15" width="35.89"/>
    <col collapsed="false" customWidth="true" hidden="false" outlineLevel="0" max="13" min="13" style="15" width="48.67"/>
    <col collapsed="false" customWidth="true" hidden="false" outlineLevel="0" max="14" min="14" style="15" width="29.11"/>
    <col collapsed="false" customWidth="true" hidden="false" outlineLevel="0" max="15" min="15" style="15" width="33.11"/>
    <col collapsed="false" customWidth="true" hidden="false" outlineLevel="0" max="16" min="16" style="15" width="41.33"/>
    <col collapsed="false" customWidth="false" hidden="false" outlineLevel="0" max="16384" min="17" style="15" width="11.44"/>
  </cols>
  <sheetData>
    <row r="2" customFormat="false" ht="35.25" hidden="false" customHeight="false" outlineLevel="0" collapsed="false">
      <c r="C2" s="17"/>
      <c r="D2" s="18"/>
      <c r="E2" s="19"/>
      <c r="F2" s="18"/>
      <c r="G2" s="20"/>
      <c r="H2" s="18"/>
      <c r="I2" s="18"/>
      <c r="J2" s="18"/>
      <c r="K2" s="18"/>
    </row>
    <row r="3" customFormat="false" ht="35.25" hidden="false" customHeight="false" outlineLevel="0" collapsed="false">
      <c r="C3" s="15"/>
    </row>
    <row r="4" customFormat="false" ht="60" hidden="false" customHeight="true" outlineLevel="0" collapsed="false">
      <c r="C4" s="21" t="s">
        <v>76</v>
      </c>
      <c r="D4" s="21"/>
      <c r="E4" s="21"/>
      <c r="F4" s="21"/>
      <c r="G4" s="21"/>
      <c r="H4" s="21"/>
      <c r="I4" s="21"/>
      <c r="J4" s="21"/>
      <c r="K4" s="21"/>
    </row>
    <row r="5" customFormat="false" ht="60" hidden="false" customHeight="true" outlineLevel="0" collapsed="false">
      <c r="C5" s="21" t="s">
        <v>77</v>
      </c>
      <c r="D5" s="21"/>
      <c r="E5" s="21"/>
      <c r="F5" s="21"/>
      <c r="G5" s="21"/>
      <c r="H5" s="21"/>
      <c r="I5" s="21"/>
      <c r="J5" s="21"/>
      <c r="K5" s="21"/>
      <c r="L5" s="22"/>
      <c r="M5" s="23"/>
    </row>
    <row r="6" customFormat="false" ht="35.25" hidden="false" customHeight="false" outlineLevel="0" collapsed="false">
      <c r="C6" s="17"/>
      <c r="D6" s="18"/>
      <c r="E6" s="19"/>
      <c r="F6" s="18"/>
      <c r="G6" s="20"/>
      <c r="H6" s="18"/>
      <c r="I6" s="18"/>
      <c r="J6" s="18"/>
      <c r="K6" s="18"/>
      <c r="M6" s="24"/>
    </row>
    <row r="7" customFormat="false" ht="15" hidden="false" customHeight="true" outlineLevel="0" collapsed="false">
      <c r="A7" s="25"/>
      <c r="B7" s="26" t="s">
        <v>78</v>
      </c>
      <c r="C7" s="25" t="s">
        <v>79</v>
      </c>
      <c r="D7" s="27" t="s">
        <v>80</v>
      </c>
      <c r="E7" s="28" t="s">
        <v>81</v>
      </c>
      <c r="F7" s="28" t="s">
        <v>82</v>
      </c>
      <c r="G7" s="28" t="s">
        <v>83</v>
      </c>
      <c r="H7" s="28" t="s">
        <v>84</v>
      </c>
      <c r="I7" s="28" t="s">
        <v>85</v>
      </c>
      <c r="J7" s="28" t="s">
        <v>86</v>
      </c>
      <c r="K7" s="28" t="s">
        <v>7</v>
      </c>
      <c r="L7" s="28" t="s">
        <v>87</v>
      </c>
      <c r="M7" s="29" t="s">
        <v>88</v>
      </c>
    </row>
    <row r="8" customFormat="false" ht="45.75" hidden="false" customHeight="true" outlineLevel="0" collapsed="false">
      <c r="A8" s="25"/>
      <c r="B8" s="26"/>
      <c r="C8" s="25"/>
      <c r="D8" s="27"/>
      <c r="E8" s="28"/>
      <c r="F8" s="28"/>
      <c r="G8" s="28"/>
      <c r="H8" s="28"/>
      <c r="I8" s="28"/>
      <c r="J8" s="28"/>
      <c r="K8" s="28"/>
      <c r="L8" s="28"/>
      <c r="M8" s="28"/>
    </row>
    <row r="9" customFormat="false" ht="36" hidden="false" customHeight="true" outlineLevel="0" collapsed="false">
      <c r="A9" s="30" t="n">
        <v>1</v>
      </c>
      <c r="B9" s="31"/>
      <c r="C9" s="32"/>
      <c r="D9" s="33" t="s">
        <v>32</v>
      </c>
      <c r="E9" s="34" t="s">
        <v>89</v>
      </c>
      <c r="F9" s="35" t="s">
        <v>31</v>
      </c>
      <c r="G9" s="35"/>
      <c r="H9" s="36"/>
      <c r="I9" s="37"/>
      <c r="J9" s="38" t="s">
        <v>90</v>
      </c>
      <c r="K9" s="39" t="s">
        <v>91</v>
      </c>
      <c r="L9" s="39"/>
      <c r="M9" s="40" t="s">
        <v>92</v>
      </c>
    </row>
    <row r="10" customFormat="false" ht="36" hidden="false" customHeight="true" outlineLevel="0" collapsed="false">
      <c r="A10" s="30" t="n">
        <v>2</v>
      </c>
      <c r="B10" s="31"/>
      <c r="C10" s="32"/>
      <c r="D10" s="33" t="s">
        <v>60</v>
      </c>
      <c r="E10" s="34" t="s">
        <v>93</v>
      </c>
      <c r="F10" s="35" t="s">
        <v>59</v>
      </c>
      <c r="G10" s="35" t="s">
        <v>61</v>
      </c>
      <c r="H10" s="36"/>
      <c r="I10" s="37"/>
      <c r="J10" s="38" t="s">
        <v>94</v>
      </c>
      <c r="K10" s="41"/>
      <c r="L10" s="39"/>
      <c r="M10" s="40" t="s">
        <v>94</v>
      </c>
    </row>
    <row r="11" customFormat="false" ht="36" hidden="false" customHeight="true" outlineLevel="0" collapsed="false">
      <c r="A11" s="30" t="n">
        <v>3</v>
      </c>
      <c r="B11" s="31"/>
      <c r="C11" s="32"/>
      <c r="D11" s="33" t="s">
        <v>29</v>
      </c>
      <c r="E11" s="34" t="s">
        <v>95</v>
      </c>
      <c r="F11" s="35" t="s">
        <v>28</v>
      </c>
      <c r="G11" s="35" t="s">
        <v>30</v>
      </c>
      <c r="H11" s="36"/>
      <c r="I11" s="37"/>
      <c r="J11" s="38" t="s">
        <v>96</v>
      </c>
      <c r="K11" s="39" t="s">
        <v>97</v>
      </c>
      <c r="L11" s="39"/>
      <c r="M11" s="40" t="s">
        <v>98</v>
      </c>
    </row>
    <row r="12" customFormat="false" ht="36" hidden="false" customHeight="true" outlineLevel="0" collapsed="false">
      <c r="A12" s="30" t="n">
        <v>4</v>
      </c>
      <c r="B12" s="42"/>
      <c r="C12" s="32"/>
      <c r="D12" s="33" t="s">
        <v>58</v>
      </c>
      <c r="E12" s="34" t="s">
        <v>99</v>
      </c>
      <c r="F12" s="35" t="s">
        <v>57</v>
      </c>
      <c r="G12" s="35" t="s">
        <v>24</v>
      </c>
      <c r="H12" s="36"/>
      <c r="I12" s="37"/>
      <c r="J12" s="38" t="s">
        <v>100</v>
      </c>
      <c r="K12" s="39" t="s">
        <v>101</v>
      </c>
      <c r="L12" s="39"/>
      <c r="M12" s="40" t="s">
        <v>102</v>
      </c>
    </row>
    <row r="13" customFormat="false" ht="36" hidden="false" customHeight="true" outlineLevel="0" collapsed="false">
      <c r="A13" s="30" t="n">
        <v>5</v>
      </c>
      <c r="B13" s="31"/>
      <c r="C13" s="32"/>
      <c r="D13" s="33" t="s">
        <v>70</v>
      </c>
      <c r="E13" s="34" t="s">
        <v>103</v>
      </c>
      <c r="F13" s="35" t="s">
        <v>69</v>
      </c>
      <c r="G13" s="35" t="s">
        <v>24</v>
      </c>
      <c r="H13" s="36"/>
      <c r="I13" s="37"/>
      <c r="J13" s="38" t="s">
        <v>104</v>
      </c>
      <c r="K13" s="39" t="s">
        <v>105</v>
      </c>
      <c r="L13" s="39"/>
      <c r="M13" s="40" t="s">
        <v>106</v>
      </c>
    </row>
    <row r="14" customFormat="false" ht="36" hidden="false" customHeight="true" outlineLevel="0" collapsed="false">
      <c r="A14" s="30" t="n">
        <v>6</v>
      </c>
      <c r="B14" s="31"/>
      <c r="C14" s="32"/>
      <c r="D14" s="33" t="s">
        <v>26</v>
      </c>
      <c r="E14" s="32" t="n">
        <v>45696</v>
      </c>
      <c r="F14" s="35" t="s">
        <v>25</v>
      </c>
      <c r="G14" s="35" t="s">
        <v>27</v>
      </c>
      <c r="H14" s="36"/>
      <c r="I14" s="37"/>
      <c r="J14" s="38" t="s">
        <v>107</v>
      </c>
      <c r="K14" s="39" t="s">
        <v>108</v>
      </c>
      <c r="L14" s="39"/>
      <c r="M14" s="40" t="s">
        <v>109</v>
      </c>
    </row>
    <row r="15" customFormat="false" ht="36" hidden="false" customHeight="true" outlineLevel="0" collapsed="false">
      <c r="A15" s="30" t="n">
        <v>7</v>
      </c>
      <c r="B15" s="31"/>
      <c r="C15" s="32"/>
      <c r="D15" s="33" t="s">
        <v>55</v>
      </c>
      <c r="E15" s="32" t="n">
        <v>45745</v>
      </c>
      <c r="F15" s="35" t="s">
        <v>54</v>
      </c>
      <c r="G15" s="35" t="s">
        <v>56</v>
      </c>
      <c r="H15" s="36"/>
      <c r="I15" s="37"/>
      <c r="J15" s="38" t="s">
        <v>110</v>
      </c>
      <c r="K15" s="39" t="s">
        <v>111</v>
      </c>
      <c r="L15" s="39"/>
      <c r="M15" s="40" t="s">
        <v>112</v>
      </c>
    </row>
    <row r="16" customFormat="false" ht="36" hidden="false" customHeight="true" outlineLevel="0" collapsed="false">
      <c r="A16" s="30" t="n">
        <v>8</v>
      </c>
      <c r="B16" s="31"/>
      <c r="C16" s="32"/>
      <c r="D16" s="33" t="s">
        <v>75</v>
      </c>
      <c r="E16" s="32" t="n">
        <v>45716</v>
      </c>
      <c r="F16" s="35" t="s">
        <v>74</v>
      </c>
      <c r="G16" s="43" t="s">
        <v>52</v>
      </c>
      <c r="H16" s="35" t="s">
        <v>113</v>
      </c>
      <c r="I16" s="36"/>
      <c r="J16" s="41" t="s">
        <v>113</v>
      </c>
      <c r="K16" s="38" t="s">
        <v>114</v>
      </c>
      <c r="L16" s="39"/>
      <c r="M16" s="40" t="s">
        <v>115</v>
      </c>
    </row>
    <row r="17" customFormat="false" ht="36" hidden="false" customHeight="true" outlineLevel="0" collapsed="false">
      <c r="A17" s="30" t="n">
        <v>9</v>
      </c>
      <c r="B17" s="31"/>
      <c r="C17" s="32"/>
      <c r="D17" s="33" t="s">
        <v>68</v>
      </c>
      <c r="E17" s="32" t="n">
        <v>45716</v>
      </c>
      <c r="F17" s="35" t="s">
        <v>67</v>
      </c>
      <c r="G17" s="35" t="s">
        <v>24</v>
      </c>
      <c r="H17" s="36"/>
      <c r="I17" s="37"/>
      <c r="J17" s="38" t="s">
        <v>116</v>
      </c>
      <c r="K17" s="39" t="s">
        <v>117</v>
      </c>
      <c r="L17" s="39"/>
      <c r="M17" s="40" t="s">
        <v>118</v>
      </c>
    </row>
    <row r="18" customFormat="false" ht="36" hidden="false" customHeight="true" outlineLevel="0" collapsed="false">
      <c r="A18" s="30" t="n">
        <v>10</v>
      </c>
      <c r="B18" s="31"/>
      <c r="C18" s="32"/>
      <c r="D18" s="33" t="s">
        <v>13</v>
      </c>
      <c r="E18" s="32" t="n">
        <v>45716</v>
      </c>
      <c r="F18" s="35"/>
      <c r="G18" s="35" t="s">
        <v>14</v>
      </c>
      <c r="H18" s="36"/>
      <c r="I18" s="37"/>
      <c r="J18" s="38" t="s">
        <v>119</v>
      </c>
      <c r="K18" s="39" t="s">
        <v>91</v>
      </c>
      <c r="L18" s="39"/>
      <c r="M18" s="40" t="s">
        <v>120</v>
      </c>
    </row>
    <row r="19" customFormat="false" ht="36" hidden="false" customHeight="true" outlineLevel="0" collapsed="false">
      <c r="A19" s="30" t="n">
        <v>11</v>
      </c>
      <c r="B19" s="31"/>
      <c r="C19" s="32"/>
      <c r="D19" s="33" t="s">
        <v>51</v>
      </c>
      <c r="E19" s="32" t="n">
        <v>45714</v>
      </c>
      <c r="F19" s="35" t="s">
        <v>50</v>
      </c>
      <c r="G19" s="35" t="s">
        <v>52</v>
      </c>
      <c r="H19" s="36"/>
      <c r="I19" s="37"/>
      <c r="J19" s="38" t="s">
        <v>121</v>
      </c>
      <c r="K19" s="39" t="s">
        <v>122</v>
      </c>
      <c r="L19" s="39"/>
      <c r="M19" s="40" t="s">
        <v>123</v>
      </c>
    </row>
    <row r="20" customFormat="false" ht="36" hidden="false" customHeight="true" outlineLevel="0" collapsed="false">
      <c r="A20" s="30" t="n">
        <v>12</v>
      </c>
      <c r="B20" s="31"/>
      <c r="C20" s="32"/>
      <c r="D20" s="33" t="s">
        <v>63</v>
      </c>
      <c r="E20" s="32" t="n">
        <v>45711</v>
      </c>
      <c r="F20" s="35" t="s">
        <v>62</v>
      </c>
      <c r="G20" s="35" t="s">
        <v>52</v>
      </c>
      <c r="H20" s="36"/>
      <c r="I20" s="37"/>
      <c r="J20" s="38" t="s">
        <v>124</v>
      </c>
      <c r="K20" s="39" t="s">
        <v>125</v>
      </c>
      <c r="L20" s="39"/>
      <c r="M20" s="40" t="s">
        <v>126</v>
      </c>
    </row>
    <row r="21" customFormat="false" ht="36" hidden="false" customHeight="true" outlineLevel="0" collapsed="false">
      <c r="A21" s="30" t="n">
        <v>13</v>
      </c>
      <c r="B21" s="31"/>
      <c r="C21" s="32"/>
      <c r="D21" s="33" t="s">
        <v>38</v>
      </c>
      <c r="E21" s="32" t="n">
        <v>45740</v>
      </c>
      <c r="F21" s="35" t="s">
        <v>37</v>
      </c>
      <c r="G21" s="35" t="s">
        <v>39</v>
      </c>
      <c r="H21" s="36"/>
      <c r="I21" s="37"/>
      <c r="J21" s="38" t="s">
        <v>127</v>
      </c>
      <c r="K21" s="39" t="s">
        <v>128</v>
      </c>
      <c r="L21" s="39"/>
      <c r="M21" s="40" t="s">
        <v>129</v>
      </c>
    </row>
    <row r="22" customFormat="false" ht="36" hidden="false" customHeight="true" outlineLevel="0" collapsed="false">
      <c r="A22" s="30" t="n">
        <v>14</v>
      </c>
      <c r="B22" s="31"/>
      <c r="C22" s="32"/>
      <c r="D22" s="33" t="s">
        <v>43</v>
      </c>
      <c r="E22" s="32" t="n">
        <v>45727</v>
      </c>
      <c r="F22" s="35" t="s">
        <v>42</v>
      </c>
      <c r="G22" s="35" t="s">
        <v>44</v>
      </c>
      <c r="H22" s="36"/>
      <c r="I22" s="37"/>
      <c r="J22" s="38" t="s">
        <v>130</v>
      </c>
      <c r="K22" s="39" t="s">
        <v>131</v>
      </c>
      <c r="L22" s="39"/>
      <c r="M22" s="40" t="s">
        <v>132</v>
      </c>
    </row>
    <row r="23" customFormat="false" ht="36" hidden="false" customHeight="true" outlineLevel="0" collapsed="false">
      <c r="A23" s="30" t="n">
        <v>15</v>
      </c>
      <c r="B23" s="31"/>
      <c r="C23" s="32"/>
      <c r="D23" s="33" t="s">
        <v>48</v>
      </c>
      <c r="E23" s="32" t="n">
        <v>45727</v>
      </c>
      <c r="F23" s="35" t="s">
        <v>47</v>
      </c>
      <c r="G23" s="35" t="s">
        <v>49</v>
      </c>
      <c r="H23" s="36"/>
      <c r="I23" s="37"/>
      <c r="J23" s="38" t="s">
        <v>133</v>
      </c>
      <c r="K23" s="39" t="s">
        <v>134</v>
      </c>
      <c r="L23" s="39"/>
      <c r="M23" s="40" t="s">
        <v>135</v>
      </c>
    </row>
    <row r="24" customFormat="false" ht="36" hidden="false" customHeight="true" outlineLevel="0" collapsed="false">
      <c r="A24" s="30" t="n">
        <v>16</v>
      </c>
      <c r="B24" s="31"/>
      <c r="C24" s="32"/>
      <c r="D24" s="33" t="s">
        <v>41</v>
      </c>
      <c r="E24" s="32" t="n">
        <v>45725</v>
      </c>
      <c r="F24" s="35" t="s">
        <v>40</v>
      </c>
      <c r="G24" s="35"/>
      <c r="H24" s="36"/>
      <c r="I24" s="37"/>
      <c r="J24" s="38" t="n">
        <v>0</v>
      </c>
      <c r="K24" s="39"/>
      <c r="L24" s="39"/>
      <c r="M24" s="40"/>
    </row>
    <row r="25" customFormat="false" ht="36" hidden="false" customHeight="true" outlineLevel="0" collapsed="false">
      <c r="A25" s="30" t="n">
        <v>17</v>
      </c>
      <c r="B25" s="31"/>
      <c r="C25" s="32"/>
      <c r="D25" s="33" t="s">
        <v>73</v>
      </c>
      <c r="E25" s="32" t="n">
        <v>45730</v>
      </c>
      <c r="F25" s="35" t="s">
        <v>72</v>
      </c>
      <c r="G25" s="35" t="s">
        <v>52</v>
      </c>
      <c r="H25" s="36"/>
      <c r="I25" s="37"/>
      <c r="J25" s="38" t="s">
        <v>136</v>
      </c>
      <c r="K25" s="39" t="s">
        <v>137</v>
      </c>
      <c r="L25" s="39"/>
      <c r="M25" s="40" t="s">
        <v>138</v>
      </c>
    </row>
    <row r="26" customFormat="false" ht="36" hidden="false" customHeight="true" outlineLevel="0" collapsed="false">
      <c r="A26" s="30" t="n">
        <v>18</v>
      </c>
      <c r="B26" s="31"/>
      <c r="C26" s="32"/>
      <c r="D26" s="33" t="s">
        <v>33</v>
      </c>
      <c r="E26" s="32" t="n">
        <v>45702</v>
      </c>
      <c r="F26" s="35" t="s">
        <v>31</v>
      </c>
      <c r="G26" s="35"/>
      <c r="H26" s="36"/>
      <c r="I26" s="37"/>
      <c r="J26" s="38" t="s">
        <v>139</v>
      </c>
      <c r="K26" s="39" t="s">
        <v>140</v>
      </c>
      <c r="L26" s="39"/>
      <c r="M26" s="40" t="s">
        <v>141</v>
      </c>
    </row>
    <row r="27" customFormat="false" ht="36" hidden="false" customHeight="true" outlineLevel="0" collapsed="false">
      <c r="A27" s="30" t="n">
        <v>19</v>
      </c>
      <c r="B27" s="31"/>
      <c r="C27" s="32"/>
      <c r="D27" s="33" t="s">
        <v>65</v>
      </c>
      <c r="E27" s="32" t="n">
        <v>45717</v>
      </c>
      <c r="F27" s="35" t="s">
        <v>64</v>
      </c>
      <c r="G27" s="35" t="s">
        <v>66</v>
      </c>
      <c r="H27" s="44"/>
      <c r="I27" s="45"/>
      <c r="J27" s="38" t="s">
        <v>142</v>
      </c>
      <c r="K27" s="39" t="s">
        <v>143</v>
      </c>
      <c r="L27" s="39"/>
      <c r="M27" s="40" t="s">
        <v>144</v>
      </c>
    </row>
    <row r="28" customFormat="false" ht="36" hidden="false" customHeight="true" outlineLevel="0" collapsed="false">
      <c r="A28" s="30" t="n">
        <v>20</v>
      </c>
      <c r="B28" s="31"/>
      <c r="C28" s="32"/>
      <c r="D28" s="33" t="s">
        <v>46</v>
      </c>
      <c r="E28" s="32" t="n">
        <v>45700</v>
      </c>
      <c r="F28" s="35" t="s">
        <v>45</v>
      </c>
      <c r="G28" s="35"/>
      <c r="H28" s="36"/>
      <c r="I28" s="37"/>
      <c r="J28" s="46" t="s">
        <v>145</v>
      </c>
      <c r="K28" s="39" t="s">
        <v>146</v>
      </c>
      <c r="L28" s="39"/>
      <c r="M28" s="40" t="s">
        <v>147</v>
      </c>
    </row>
    <row r="29" customFormat="false" ht="36" hidden="false" customHeight="true" outlineLevel="0" collapsed="false">
      <c r="A29" s="30" t="n">
        <v>21</v>
      </c>
      <c r="B29" s="31"/>
      <c r="C29" s="32"/>
      <c r="D29" s="33" t="s">
        <v>17</v>
      </c>
      <c r="E29" s="47" t="n">
        <v>45702</v>
      </c>
      <c r="F29" s="35" t="s">
        <v>16</v>
      </c>
      <c r="G29" s="35" t="s">
        <v>18</v>
      </c>
      <c r="H29" s="36"/>
      <c r="I29" s="37"/>
      <c r="J29" s="38" t="s">
        <v>148</v>
      </c>
      <c r="K29" s="39"/>
      <c r="L29" s="39"/>
      <c r="M29" s="40" t="s">
        <v>148</v>
      </c>
    </row>
    <row r="30" customFormat="false" ht="36" hidden="false" customHeight="true" outlineLevel="0" collapsed="false">
      <c r="A30" s="30" t="n">
        <v>22</v>
      </c>
      <c r="B30" s="31"/>
      <c r="C30" s="32"/>
      <c r="D30" s="33" t="s">
        <v>53</v>
      </c>
      <c r="E30" s="47" t="n">
        <v>45737</v>
      </c>
      <c r="F30" s="35" t="s">
        <v>50</v>
      </c>
      <c r="G30" s="35" t="s">
        <v>52</v>
      </c>
      <c r="H30" s="44"/>
      <c r="I30" s="45"/>
      <c r="J30" s="38" t="s">
        <v>149</v>
      </c>
      <c r="K30" s="39" t="s">
        <v>150</v>
      </c>
      <c r="L30" s="39"/>
      <c r="M30" s="40" t="s">
        <v>151</v>
      </c>
    </row>
    <row r="31" customFormat="false" ht="36" hidden="false" customHeight="true" outlineLevel="0" collapsed="false">
      <c r="A31" s="30" t="n">
        <v>23</v>
      </c>
      <c r="B31" s="31"/>
      <c r="C31" s="32"/>
      <c r="D31" s="33" t="s">
        <v>71</v>
      </c>
      <c r="E31" s="47" t="n">
        <v>45737</v>
      </c>
      <c r="F31" s="35" t="s">
        <v>69</v>
      </c>
      <c r="G31" s="35" t="s">
        <v>24</v>
      </c>
      <c r="H31" s="48"/>
      <c r="I31" s="49"/>
      <c r="J31" s="38" t="s">
        <v>152</v>
      </c>
      <c r="K31" s="39" t="s">
        <v>153</v>
      </c>
      <c r="L31" s="39"/>
      <c r="M31" s="40" t="s">
        <v>154</v>
      </c>
    </row>
    <row r="32" customFormat="false" ht="36" hidden="false" customHeight="true" outlineLevel="0" collapsed="false">
      <c r="A32" s="30" t="n">
        <v>24</v>
      </c>
      <c r="B32" s="31"/>
      <c r="C32" s="32"/>
      <c r="D32" s="33" t="s">
        <v>23</v>
      </c>
      <c r="E32" s="47" t="n">
        <v>45709</v>
      </c>
      <c r="F32" s="35" t="s">
        <v>22</v>
      </c>
      <c r="G32" s="35" t="s">
        <v>24</v>
      </c>
      <c r="H32" s="36"/>
      <c r="I32" s="37"/>
      <c r="J32" s="38" t="s">
        <v>155</v>
      </c>
      <c r="K32" s="39" t="s">
        <v>156</v>
      </c>
      <c r="L32" s="39"/>
      <c r="M32" s="40" t="s">
        <v>157</v>
      </c>
    </row>
    <row r="33" customFormat="false" ht="36" hidden="false" customHeight="true" outlineLevel="0" collapsed="false">
      <c r="A33" s="30" t="n">
        <v>25</v>
      </c>
      <c r="B33" s="31"/>
      <c r="C33" s="32"/>
      <c r="D33" s="33" t="s">
        <v>20</v>
      </c>
      <c r="E33" s="47" t="n">
        <v>45692</v>
      </c>
      <c r="F33" s="35" t="s">
        <v>19</v>
      </c>
      <c r="G33" s="35" t="s">
        <v>21</v>
      </c>
      <c r="H33" s="36"/>
      <c r="I33" s="37"/>
      <c r="J33" s="38" t="s">
        <v>158</v>
      </c>
      <c r="K33" s="39"/>
      <c r="L33" s="39"/>
      <c r="M33" s="50" t="n">
        <v>563879</v>
      </c>
    </row>
    <row r="34" customFormat="false" ht="36" hidden="false" customHeight="true" outlineLevel="0" collapsed="false">
      <c r="A34" s="30" t="n">
        <v>26</v>
      </c>
      <c r="B34" s="31"/>
      <c r="C34" s="32"/>
      <c r="D34" s="33" t="s">
        <v>35</v>
      </c>
      <c r="E34" s="47" t="n">
        <v>45709</v>
      </c>
      <c r="F34" s="35" t="s">
        <v>34</v>
      </c>
      <c r="G34" s="35" t="s">
        <v>36</v>
      </c>
      <c r="H34" s="36"/>
      <c r="I34" s="37"/>
      <c r="J34" s="38" t="s">
        <v>159</v>
      </c>
      <c r="K34" s="39" t="s">
        <v>160</v>
      </c>
      <c r="L34" s="39"/>
      <c r="M34" s="40" t="s">
        <v>161</v>
      </c>
    </row>
    <row r="35" customFormat="false" ht="39" hidden="false" customHeight="true" outlineLevel="0" collapsed="false">
      <c r="L35" s="51"/>
      <c r="M35" s="52" t="n">
        <v>2231.199</v>
      </c>
    </row>
    <row r="36" customFormat="false" ht="35.25" hidden="false" customHeight="false" outlineLevel="0" collapsed="false">
      <c r="C36" s="53" t="s">
        <v>162</v>
      </c>
      <c r="D36" s="53"/>
      <c r="G36" s="13" t="s">
        <v>163</v>
      </c>
    </row>
    <row r="37" customFormat="false" ht="35.25" hidden="false" customHeight="false" outlineLevel="0" collapsed="false">
      <c r="C37" s="54" t="s">
        <v>164</v>
      </c>
      <c r="G37" s="54" t="s">
        <v>165</v>
      </c>
    </row>
    <row r="38" customFormat="false" ht="44.25" hidden="false" customHeight="true" outlineLevel="0" collapsed="false">
      <c r="C38" s="55"/>
      <c r="E38" s="56"/>
    </row>
    <row r="39" customFormat="false" ht="35.25" hidden="false" customHeight="false" outlineLevel="0" collapsed="false">
      <c r="C39" s="15"/>
    </row>
  </sheetData>
  <mergeCells count="16">
    <mergeCell ref="C4:K4"/>
    <mergeCell ref="C5:K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C36:D36"/>
  </mergeCells>
  <conditionalFormatting sqref="B23">
    <cfRule type="duplicateValues" priority="2" aboveAverage="0" equalAverage="0" bottom="0" percent="0" rank="0" text="" dxfId="5"/>
  </conditionalFormatting>
  <conditionalFormatting sqref="B17">
    <cfRule type="duplicateValues" priority="3" aboveAverage="0" equalAverage="0" bottom="0" percent="0" rank="0" text="" dxfId="5"/>
  </conditionalFormatting>
  <conditionalFormatting sqref="B11">
    <cfRule type="duplicateValues" priority="4" aboveAverage="0" equalAverage="0" bottom="0" percent="0" rank="0" text="" dxfId="5"/>
  </conditionalFormatting>
  <conditionalFormatting sqref="B10">
    <cfRule type="duplicateValues" priority="5" aboveAverage="0" equalAverage="0" bottom="0" percent="0" rank="0" text="" dxfId="5"/>
  </conditionalFormatting>
  <conditionalFormatting sqref="B9">
    <cfRule type="duplicateValues" priority="6" aboveAverage="0" equalAverage="0" bottom="0" percent="0" rank="0" text="" dxfId="5"/>
  </conditionalFormatting>
  <conditionalFormatting sqref="B20:B22">
    <cfRule type="duplicateValues" priority="7" aboveAverage="0" equalAverage="0" bottom="0" percent="0" rank="0" text="" dxfId="5"/>
  </conditionalFormatting>
  <conditionalFormatting sqref="B18">
    <cfRule type="duplicateValues" priority="8" aboveAverage="0" equalAverage="0" bottom="0" percent="0" rank="0" text="" dxfId="5"/>
  </conditionalFormatting>
  <conditionalFormatting sqref="B16 B19">
    <cfRule type="duplicateValues" priority="9" aboveAverage="0" equalAverage="0" bottom="0" percent="0" rank="0" text="" dxfId="5"/>
  </conditionalFormatting>
  <conditionalFormatting sqref="B15">
    <cfRule type="duplicateValues" priority="10" aboveAverage="0" equalAverage="0" bottom="0" percent="0" rank="0" text="" dxfId="5"/>
  </conditionalFormatting>
  <conditionalFormatting sqref="B12">
    <cfRule type="duplicateValues" priority="11" aboveAverage="0" equalAverage="0" bottom="0" percent="0" rank="0" text="" dxfId="5"/>
    <cfRule type="duplicateValues" priority="12" aboveAverage="0" equalAverage="0" bottom="0" percent="0" rank="0" text="" dxfId="5"/>
  </conditionalFormatting>
  <conditionalFormatting sqref="B14">
    <cfRule type="duplicateValues" priority="13" aboveAverage="0" equalAverage="0" bottom="0" percent="0" rank="0" text="" dxfId="5"/>
  </conditionalFormatting>
  <conditionalFormatting sqref="B13">
    <cfRule type="duplicateValues" priority="14" aboveAverage="0" equalAverage="0" bottom="0" percent="0" rank="0" text="" dxfId="5"/>
  </conditionalFormatting>
  <conditionalFormatting sqref="D9:D34">
    <cfRule type="duplicateValues" priority="15" aboveAverage="0" equalAverage="0" bottom="0" percent="0" rank="0" text="" dxfId="5"/>
  </conditionalFormatting>
  <conditionalFormatting sqref="A9:A34 B12">
    <cfRule type="duplicateValues" priority="16" aboveAverage="0" equalAverage="0" bottom="0" percent="0" rank="0" text="" dxfId="5"/>
  </conditionalFormatting>
  <conditionalFormatting sqref="B24:B34">
    <cfRule type="duplicateValues" priority="17" aboveAverage="0" equalAverage="0" bottom="0" percent="0" rank="0" text="" dxfId="5"/>
  </conditionalFormatting>
  <printOptions headings="false" gridLines="false" gridLinesSet="true" horizontalCentered="true" verticalCentered="false"/>
  <pageMargins left="0" right="0" top="0.984027777777778" bottom="0.984027777777778" header="0.511811023622047" footer="0.511811023622047"/>
  <pageSetup paperSize="1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3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2023-05-21T00:39:26Z</dcterms:created>
  <dc:creator>Diego Armando Yepes</dc:creator>
  <dc:description/>
  <dc:language>en-US</dc:language>
  <cp:lastModifiedBy>Soporte IT</cp:lastModifiedBy>
  <cp:lastPrinted>2026-09-22T20:05:29Z</cp:lastPrinted>
  <dcterms:modified xsi:type="dcterms:W3CDTF">2026-10-26T17:00:19Z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