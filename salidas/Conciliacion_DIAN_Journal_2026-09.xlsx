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nciliación" sheetId="2" state="visible" r:id="rId4"/>
    <sheet name="Pendientes de revisión manual" sheetId="3" state="visible" r:id="rId5"/>
  </sheets>
  <definedNames>
    <definedName function="false" hidden="true" localSheetId="1" name="_xlnm._FilterDatabase" vbProcedure="false">Conciliación!$A$1:$R$486</definedName>
    <definedName function="false" hidden="true" localSheetId="2" name="_xlnm._FilterDatabase" vbProcedure="false">'Pendientes de revisión manual'!$A$1:$R$453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<sst xmlns="http://schemas.openxmlformats.org/spreadsheetml/2006/main" count="14334" uniqueCount="1983">
  <si>
    <t xml:space="preserve">Resumen de la conciliación DIAN vs Journal — septiembre 2026</t>
  </si>
  <si>
    <t xml:space="preserve">Documentos revisados (DIAN + Journal sin DIAN)</t>
  </si>
  <si>
    <t xml:space="preserve">   de los cuales presentes en la DIAN</t>
  </si>
  <si>
    <t xml:space="preserve">   de los cuales solo en el Journal</t>
  </si>
  <si>
    <t xml:space="preserve">VERIFICADOS</t>
  </si>
  <si>
    <t xml:space="preserve">PENDIENTES</t>
  </si>
  <si>
    <t xml:space="preserve">INFORMACIÓN INSUFICIENTE</t>
  </si>
  <si>
    <t xml:space="preserve">Documentos con diferencia de valor (DIAN vs Journal)</t>
  </si>
  <si>
    <t xml:space="preserve">Valor acumulado de diferencias (absoluto)</t>
  </si>
  <si>
    <t xml:space="preserve">Valor neto de diferencias (DIAN − Journal)</t>
  </si>
  <si>
    <t xml:space="preserve">Pendientes + insuficientes enviados a revisión manual</t>
  </si>
  <si>
    <t xml:space="preserve">Notas de método y límites</t>
  </si>
  <si>
    <t xml:space="preserve">1. Se usaron únicamente los dos archivos (DIAN y Journal); los originales no se modificaron.</t>
  </si>
  <si>
    <t xml:space="preserve">2. Documento DIAN = Prefijo+Folio; el tercero es el Emisor (recibidos) o el Receptor (documentos soporte emitidos). Se cruza por NIT del tercero y folio citado en la referencia/descripción de las líneas del Journal.</t>
  </si>
  <si>
    <t xml:space="preserve">3. Valor en el Journal = suma de las líneas del comprobante de causación del tercero (IVA + otros impuestos + gastos + inventarios/activos + otros). Verificación cruzada: lado proveedor (2205/2210/2335) + retenciones (2365/2367/2368) debe ser igual a esa suma.</t>
  </si>
  <si>
    <t xml:space="preserve">4. ESTADO "Contabilizado": el Journal es un auxiliar contable exportado y NO trae columna de estado. Se asumió que un movimiento en el auxiliar está contabilizado; si existe otro criterio de estado, validar.</t>
  </si>
  <si>
    <t xml:space="preserve">5. LÍMITE DEL ARCHIVO: el Journal tiene 16,383 filas y termina en la cuenta 51251001 (clase 5 incompleta; faltan cuentas de gasto posteriores, clases 6 y 7). Por eso muchas facturas no tienen completas sus líneas de gasto: si el lado proveedor + retenciones coincide con la DIAN quedan como INFORMACIÓN INSUFICIENTE, no VERIFICADO. Volver a exportar el Journal completo (o por rangos de cuenta) y ejecutar de nuevo conciliar.py.</t>
  </si>
  <si>
    <t xml:space="preserve">6. Los registros "solo en el Journal" se limitan a comprobantes que abonan (causan) proveedores/acreedores (2205, 2210, 2335); no se listan pagos, legalizaciones ni notas que solo reducen la cuenta por pagar, ni pagos directos de banco/caja sin causación.</t>
  </si>
  <si>
    <t xml:space="preserve">7. Las diferencias son exactas (sin tolerancia); no se ajustó ningún valor.</t>
  </si>
  <si>
    <t xml:space="preserve">Nombre del tercero</t>
  </si>
  <si>
    <t xml:space="preserve">NIT o identificación</t>
  </si>
  <si>
    <t xml:space="preserve">Número del documento</t>
  </si>
  <si>
    <t xml:space="preserve">Cuenta contable y auxiliar</t>
  </si>
  <si>
    <t xml:space="preserve">Valor total según la DIAN</t>
  </si>
  <si>
    <t xml:space="preserve">Valor total sumado en el Journal</t>
  </si>
  <si>
    <t xml:space="preserve">Diferencia (DIAN − Journal)</t>
  </si>
  <si>
    <t xml:space="preserve">Desglose de conceptos contables</t>
  </si>
  <si>
    <t xml:space="preserve">Estado en la DIAN</t>
  </si>
  <si>
    <t xml:space="preserve">Estado en el Journal</t>
  </si>
  <si>
    <t xml:space="preserve">Motivo por el cual queda pendiente</t>
  </si>
  <si>
    <t xml:space="preserve">Observaciones para revisión manual</t>
  </si>
  <si>
    <t xml:space="preserve">Clasificación</t>
  </si>
  <si>
    <t xml:space="preserve">Origen</t>
  </si>
  <si>
    <t xml:space="preserve">Comprobante(s) Journal</t>
  </si>
  <si>
    <t xml:space="preserve">Fila(s) en el Journal</t>
  </si>
  <si>
    <t xml:space="preserve">Método de cruce</t>
  </si>
  <si>
    <t xml:space="preserve">Lado gasto/IVA completo en el Journal</t>
  </si>
  <si>
    <t xml:space="preserve">ACEVEDO  JOSE NORBEY</t>
  </si>
  <si>
    <t xml:space="preserve">6137792</t>
  </si>
  <si>
    <t xml:space="preserve">NDSE1703</t>
  </si>
  <si>
    <t xml:space="preserve">23359501 OTROS; 23652507 SERVICIOS GENERALES (DECLARANTES) 4%; 23680203 DEMAS ACTIVIDADES SERVICIOS 10 X 1000</t>
  </si>
  <si>
    <t xml:space="preserve">Retenciones (crédito): 14,450.00 | Gasto/otros: No disponible (líneas fuera del archivo exportado)</t>
  </si>
  <si>
    <t xml:space="preserve">Aprobado con notificación (Documento soporte con no obligados, Emitido)</t>
  </si>
  <si>
    <t xml:space="preserve">Presente en el auxiliar (el archivo no trae columna de estado; se infiere Contabilizado)</t>
  </si>
  <si>
    <t xml:space="preserve">El lado proveedor + retenciones coincide exacto con la DIAN, pero las líneas de gasto/IVA no están completas en el Journal exportado (el archivo se corta en la fila 16.383); no se puede confirmar la suma de conceptos.</t>
  </si>
  <si>
    <t xml:space="preserve">—</t>
  </si>
  <si>
    <t xml:space="preserve">DIAN</t>
  </si>
  <si>
    <t xml:space="preserve">001-DSE-00001703</t>
  </si>
  <si>
    <t xml:space="preserve">7510, 8236, 9198</t>
  </si>
  <si>
    <t xml:space="preserve">número del comprobante</t>
  </si>
  <si>
    <t xml:space="preserve">No (gasto/IVA cortado en la exportación)</t>
  </si>
  <si>
    <t xml:space="preserve">ADOCCIDENTE S.A.S.</t>
  </si>
  <si>
    <t xml:space="preserve">805010086</t>
  </si>
  <si>
    <t xml:space="preserve">FE1043</t>
  </si>
  <si>
    <t xml:space="preserve">23359501 OTROS; 23652507 SERVICIOS GENERALES (DECLARANTES) 4%; 23653002 BIENES INMUEBLES 3,5%; 24081513 IVA TRANSITORIO SERVICIOS 19%</t>
  </si>
  <si>
    <t xml:space="preserve">IVA: 2,726,120.00 | Retenciones (crédito): 523,680.00 | Gasto/otros: No disponible (líneas fuera del archivo exportado)</t>
  </si>
  <si>
    <t xml:space="preserve">Aprobado con notificación (Factura electrónica, Recibido)</t>
  </si>
  <si>
    <t xml:space="preserve">001-FSC-00011343</t>
  </si>
  <si>
    <t xml:space="preserve">7642, 8252, 8326, 11263</t>
  </si>
  <si>
    <t xml:space="preserve">referencia</t>
  </si>
  <si>
    <t xml:space="preserve">AEROVIAS DE INTEGRACION REGIONAL S.A.</t>
  </si>
  <si>
    <t xml:space="preserve">890704196</t>
  </si>
  <si>
    <t xml:space="preserve">A3933</t>
  </si>
  <si>
    <t xml:space="preserve">23354501 TRANSPORTES, FLETES Y ACARREOS</t>
  </si>
  <si>
    <t xml:space="preserve">Retenciones (crédito): 0.00 | Gasto/otros: No disponible (líneas fuera del archivo exportado)</t>
  </si>
  <si>
    <t xml:space="preserve">Aprobado con notificación (Nota de crédito electrónica, Recibido)</t>
  </si>
  <si>
    <t xml:space="preserve">La descripción del comprobante menciona ANULACIÓN: confirmar que no esté anulado.</t>
  </si>
  <si>
    <t xml:space="preserve">001-NT-00012697</t>
  </si>
  <si>
    <t xml:space="preserve">7357</t>
  </si>
  <si>
    <t xml:space="preserve">texto/descripción</t>
  </si>
  <si>
    <t xml:space="preserve">SPC44755</t>
  </si>
  <si>
    <t xml:space="preserve">001-FSC-00011436</t>
  </si>
  <si>
    <t xml:space="preserve">7353</t>
  </si>
  <si>
    <t xml:space="preserve">SPC45219</t>
  </si>
  <si>
    <t xml:space="preserve">001-FSC-00011580</t>
  </si>
  <si>
    <t xml:space="preserve">7356</t>
  </si>
  <si>
    <t xml:space="preserve">AEROVIAS DE INTEGRACIÓN REGIONAL S.A.</t>
  </si>
  <si>
    <t xml:space="preserve">EFCC4800912</t>
  </si>
  <si>
    <t xml:space="preserve">23354501 TRANSPORTES, FLETES Y ACARREOS; 24081513 IVA TRANSITORIO SERVICIOS 19%</t>
  </si>
  <si>
    <t xml:space="preserve">IVA: 521,750.00 | Retenciones (crédito): 0.00 | Gasto/otros: No disponible (líneas fuera del archivo exportado)</t>
  </si>
  <si>
    <t xml:space="preserve">Aprobado con notificación (Documento equivalente - Transporte aéreo de pasajeros, Recibido)</t>
  </si>
  <si>
    <t xml:space="preserve">El lado proveedor + retenciones del Journal no coincide con el total de la DIAN.</t>
  </si>
  <si>
    <t xml:space="preserve">PENDIENTE</t>
  </si>
  <si>
    <t xml:space="preserve">001-FSC-00011488</t>
  </si>
  <si>
    <t xml:space="preserve">7354, 11339</t>
  </si>
  <si>
    <t xml:space="preserve">EFCC4858340</t>
  </si>
  <si>
    <t xml:space="preserve">No disponible</t>
  </si>
  <si>
    <t xml:space="preserve">No encontrado</t>
  </si>
  <si>
    <t xml:space="preserve">No se encontró el documento en el Journal (el tercero sí tiene otros movimientos).</t>
  </si>
  <si>
    <t xml:space="preserve">El tercero aparece en el Journal pero ninguna línea cita este folio ni coincide su valor.</t>
  </si>
  <si>
    <t xml:space="preserve">AEROVIAS DEL CONTINENTE AMERICANO, S.A. AVIANCA - COLOMBIA</t>
  </si>
  <si>
    <t xml:space="preserve">890100577</t>
  </si>
  <si>
    <t xml:space="preserve">TQT26949290</t>
  </si>
  <si>
    <t xml:space="preserve">23359501 OTROS; 24081513 IVA TRANSITORIO SERVICIOS 19%</t>
  </si>
  <si>
    <t xml:space="preserve">IVA: 84,360.00 | Retenciones (crédito): 0.00 | Gasto/otros: No disponible (líneas fuera del archivo exportado)</t>
  </si>
  <si>
    <t xml:space="preserve">001-FSC-00011450</t>
  </si>
  <si>
    <t xml:space="preserve">7747, 11304</t>
  </si>
  <si>
    <t xml:space="preserve">AGENCIA DE ADUANAS SANTIAGO RICO &amp; BAÑOL LTDA. NIVEL 4</t>
  </si>
  <si>
    <t xml:space="preserve">827000059</t>
  </si>
  <si>
    <t xml:space="preserve">SRFE804</t>
  </si>
  <si>
    <t xml:space="preserve">23359501 OTROS; 23652507 SERVICIOS GENERALES (DECLARANTES) 4%</t>
  </si>
  <si>
    <t xml:space="preserve">Retenciones (crédito): 18,000.00 | Gasto/otros: No disponible (líneas fuera del archivo exportado)</t>
  </si>
  <si>
    <t xml:space="preserve">001-FSC-00011385</t>
  </si>
  <si>
    <t xml:space="preserve">7680, 8256</t>
  </si>
  <si>
    <t xml:space="preserve">SRFE813</t>
  </si>
  <si>
    <t xml:space="preserve">23359501 OTROS; 23652507 SERVICIOS GENERALES (DECLARANTES) 4%; 26952001 PARA OPERACION</t>
  </si>
  <si>
    <t xml:space="preserve">Otros conceptos: 3,150,000.00 | Retenciones (crédito): 126,000.00</t>
  </si>
  <si>
    <t xml:space="preserve">Coincide exacto (débitos = créditos = DIAN).</t>
  </si>
  <si>
    <t xml:space="preserve">VERIFICADO</t>
  </si>
  <si>
    <t xml:space="preserve">001-CC-00023130</t>
  </si>
  <si>
    <t xml:space="preserve">7682, 8257, 12537</t>
  </si>
  <si>
    <t xml:space="preserve">Sí</t>
  </si>
  <si>
    <t xml:space="preserve">SRFE817</t>
  </si>
  <si>
    <t xml:space="preserve">Otros conceptos: 449,999.00 | Retenciones (crédito): 18,000.00</t>
  </si>
  <si>
    <t xml:space="preserve">La suma de los conceptos contables no coincide con el total de la DIAN.</t>
  </si>
  <si>
    <t xml:space="preserve">001-CC-00023131</t>
  </si>
  <si>
    <t xml:space="preserve">7683, 8258, 12538</t>
  </si>
  <si>
    <t xml:space="preserve">ALMACEN LAS GEMELAS SAS</t>
  </si>
  <si>
    <t xml:space="preserve">901849101</t>
  </si>
  <si>
    <t xml:space="preserve">FE2169</t>
  </si>
  <si>
    <t xml:space="preserve">23359501 OTROS; 23654002 COMPRAS GENERALES 2,5%; 24081510 IVA TRANSITORIO COMPRAS 19%</t>
  </si>
  <si>
    <t xml:space="preserve">IVA: 126,454.00 | Retenciones (crédito): 16,639.00 | Gasto/otros: No disponible (líneas fuera del archivo exportado)</t>
  </si>
  <si>
    <t xml:space="preserve">001-FSC-00011456</t>
  </si>
  <si>
    <t xml:space="preserve">8028, 8415, 11207</t>
  </si>
  <si>
    <t xml:space="preserve">ALMACENES ÉXITO S.A</t>
  </si>
  <si>
    <t xml:space="preserve">890900608</t>
  </si>
  <si>
    <t xml:space="preserve">RC06172758</t>
  </si>
  <si>
    <t xml:space="preserve">23359501 OTROS</t>
  </si>
  <si>
    <t xml:space="preserve">001-FSC-00011592</t>
  </si>
  <si>
    <t xml:space="preserve">7822</t>
  </si>
  <si>
    <t xml:space="preserve">ALMAZONE SAS</t>
  </si>
  <si>
    <t xml:space="preserve">901881638</t>
  </si>
  <si>
    <t xml:space="preserve">ALZ2401</t>
  </si>
  <si>
    <t xml:space="preserve">22050501 PROVEEDORES NACIONALES; 23652501 TRANSPORTE 1%; 26959501 OTRAS</t>
  </si>
  <si>
    <t xml:space="preserve">Otros conceptos: 1,850,000.00 | Retenciones (crédito): 18,500.00</t>
  </si>
  <si>
    <t xml:space="preserve">001-FPI-00000500</t>
  </si>
  <si>
    <t xml:space="preserve">7247, 8197, 12632</t>
  </si>
  <si>
    <t xml:space="preserve">ALMEIDA BACCA EDWARD ALEXANDER</t>
  </si>
  <si>
    <t xml:space="preserve">16928075</t>
  </si>
  <si>
    <t xml:space="preserve">FE681</t>
  </si>
  <si>
    <t xml:space="preserve">El tercero no aparece en el Journal.</t>
  </si>
  <si>
    <t xml:space="preserve">NIT sin movimientos en el archivo del Journal.</t>
  </si>
  <si>
    <t xml:space="preserve">ANILLANDO CALI LTDA</t>
  </si>
  <si>
    <t xml:space="preserve">800038947</t>
  </si>
  <si>
    <t xml:space="preserve">PFS10547</t>
  </si>
  <si>
    <t xml:space="preserve">22050501 PROVEEDORES NACIONALES; 24081510 IVA TRANSITORIO COMPRAS 19%</t>
  </si>
  <si>
    <t xml:space="preserve">IVA: 22,177.00 | Retenciones (crédito): 0.00 | Gasto/otros: No disponible (líneas fuera del archivo exportado)</t>
  </si>
  <si>
    <t xml:space="preserve">001-FSC-00011410</t>
  </si>
  <si>
    <t xml:space="preserve">7203, 11063</t>
  </si>
  <si>
    <t xml:space="preserve">APONTE CASTILLO CARLOS DANIEL</t>
  </si>
  <si>
    <t xml:space="preserve">1010204688</t>
  </si>
  <si>
    <t xml:space="preserve">422</t>
  </si>
  <si>
    <t xml:space="preserve">13309501 OTROS; 23359501 OTROS; 23654002 COMPRAS GENERALES 2,5%; 24081510 IVA TRANSITORIO COMPRAS 19%</t>
  </si>
  <si>
    <t xml:space="preserve">IVA: 1,111,500.00 | Otros conceptos: -3,407,625.00 | Retenciones (crédito): 146,250.00 | Gasto/otros: No disponible (líneas fuera del archivo exportado)</t>
  </si>
  <si>
    <t xml:space="preserve">001-FSC-00011398</t>
  </si>
  <si>
    <t xml:space="preserve">3306, 7373, 7374, 8332, 11047</t>
  </si>
  <si>
    <t xml:space="preserve">AQUASISTEMAS DEL CARIBE S.A.S</t>
  </si>
  <si>
    <t xml:space="preserve">802018827</t>
  </si>
  <si>
    <t xml:space="preserve">FE232</t>
  </si>
  <si>
    <t xml:space="preserve">23359501 OTROS; 23654002 COMPRAS GENERALES 2,5%</t>
  </si>
  <si>
    <t xml:space="preserve">Retenciones (crédito): 14,033.00 | Gasto/otros: No disponible (líneas fuera del archivo exportado)</t>
  </si>
  <si>
    <t xml:space="preserve">001-FSC-00011582</t>
  </si>
  <si>
    <t xml:space="preserve">7637, 8367</t>
  </si>
  <si>
    <t xml:space="preserve">ARIAS  GLORIA PATRICIA</t>
  </si>
  <si>
    <t xml:space="preserve">31411095</t>
  </si>
  <si>
    <t xml:space="preserve">NDSE1700</t>
  </si>
  <si>
    <t xml:space="preserve">23359501 OTROS; 23654002 COMPRAS GENERALES 2,5%; 23680302 DEMAS ACTIVIDADES COMERCIALES 7,7 X 1000</t>
  </si>
  <si>
    <t xml:space="preserve">Retenciones (crédito): 52,974.00 | Gasto/otros: No disponible (líneas fuera del archivo exportado)</t>
  </si>
  <si>
    <t xml:space="preserve">001-DSE-00001700</t>
  </si>
  <si>
    <t xml:space="preserve">7458, 8344, 9261</t>
  </si>
  <si>
    <t xml:space="preserve">NDSE1708</t>
  </si>
  <si>
    <t xml:space="preserve">23359501 OTROS; 23654002 COMPRAS GENERALES 2,5%; 23680203 DEMAS ACTIVIDADES SERVICIOS 10 X 1000</t>
  </si>
  <si>
    <t xml:space="preserve">Retenciones (crédito): 105,000.00 | Gasto/otros: No disponible (líneas fuera del archivo exportado)</t>
  </si>
  <si>
    <t xml:space="preserve">001-DSE-00001708</t>
  </si>
  <si>
    <t xml:space="preserve">7460, 7461, 8345, 9195</t>
  </si>
  <si>
    <t xml:space="preserve">NDSE1734</t>
  </si>
  <si>
    <t xml:space="preserve">23359501 OTROS; 23652507 SERVICIOS GENERALES (DECLARANTES) 4%; 23680203 DEMAS ACTIVIDADES SERVICIOS 10 X 1000; 51055101 DOTACION Y SUMINISTRO A TRABAJADORES</t>
  </si>
  <si>
    <t xml:space="preserve">Gastos: 38,000.00 | Retenciones (crédito): 31,825.00 | Gasto/otros: No disponible (líneas fuera del archivo exportado)</t>
  </si>
  <si>
    <t xml:space="preserve">001-DSE-00001734</t>
  </si>
  <si>
    <t xml:space="preserve">7464, 8234, 9196, 16105</t>
  </si>
  <si>
    <t xml:space="preserve">ASESORIAS REPRESENTACIONES ADMINISTRACION Y SERVICIOS ARAS SAS.</t>
  </si>
  <si>
    <t xml:space="preserve">860506531</t>
  </si>
  <si>
    <t xml:space="preserve">MCBU162585</t>
  </si>
  <si>
    <t xml:space="preserve">23359501 OTROS; 26959501 OTRAS</t>
  </si>
  <si>
    <t xml:space="preserve">Otros conceptos: 275,000.00 | Retenciones (crédito): 0.00</t>
  </si>
  <si>
    <t xml:space="preserve">001-FPI-00000496</t>
  </si>
  <si>
    <t xml:space="preserve">7740, 12625</t>
  </si>
  <si>
    <t xml:space="preserve">AZUL RESTAURANT AIRPORT</t>
  </si>
  <si>
    <t xml:space="preserve">79308344</t>
  </si>
  <si>
    <t xml:space="preserve">PAZ6314</t>
  </si>
  <si>
    <t xml:space="preserve">Coincide el NIT y el valor exacto, pero ninguna línea del Journal cita el número del documento; no se puede identificar con certeza.</t>
  </si>
  <si>
    <t xml:space="preserve">001-FSC-00011438</t>
  </si>
  <si>
    <t xml:space="preserve">7540</t>
  </si>
  <si>
    <t xml:space="preserve">NIT + valor (sin folio)</t>
  </si>
  <si>
    <t xml:space="preserve">PAZ6315</t>
  </si>
  <si>
    <t xml:space="preserve">001-FSC-00011482</t>
  </si>
  <si>
    <t xml:space="preserve">7545</t>
  </si>
  <si>
    <t xml:space="preserve">PAZ6316</t>
  </si>
  <si>
    <t xml:space="preserve">BAL STUDIO SAS</t>
  </si>
  <si>
    <t xml:space="preserve">901986829</t>
  </si>
  <si>
    <t xml:space="preserve">FE2458</t>
  </si>
  <si>
    <t xml:space="preserve">22050501 PROVEEDORES NACIONALES; 23670501 IVA RET. COMPRAS RC 15%; 24081513 IVA TRANSITORIO SERVICIOS 19%</t>
  </si>
  <si>
    <t xml:space="preserve">IVA: 323,000.00 | Retenciones (crédito): 48,450.00 | Gasto/otros: No disponible (líneas fuera del archivo exportado)</t>
  </si>
  <si>
    <t xml:space="preserve">001-FSC-00011483</t>
  </si>
  <si>
    <t xml:space="preserve">7250, 9156, 11501</t>
  </si>
  <si>
    <t xml:space="preserve">BBVA SEGUROS COLOMBIA S.A.</t>
  </si>
  <si>
    <t xml:space="preserve">800226098</t>
  </si>
  <si>
    <t xml:space="preserve">FEAG1134986</t>
  </si>
  <si>
    <t xml:space="preserve">IVA: 28,478.00 | Retenciones (crédito): 0.00 | Gasto/otros: No disponible (líneas fuera del archivo exportado)</t>
  </si>
  <si>
    <t xml:space="preserve">001-FSC-00011380</t>
  </si>
  <si>
    <t xml:space="preserve">7588, 11253</t>
  </si>
  <si>
    <t xml:space="preserve">BENEMERITO CUERPO DE BOMBEROS VOLUNTARIOS DE CALI</t>
  </si>
  <si>
    <t xml:space="preserve">890399000</t>
  </si>
  <si>
    <t xml:space="preserve">FK72753</t>
  </si>
  <si>
    <t xml:space="preserve">IVA: 150,562.00 | Retenciones (crédito): 0.00 | Gasto/otros: No disponible (líneas fuera del archivo exportado)</t>
  </si>
  <si>
    <t xml:space="preserve">001-FSC-00011563</t>
  </si>
  <si>
    <t xml:space="preserve">7799, 11332</t>
  </si>
  <si>
    <t xml:space="preserve">BERMUDEZ RAMIREZ EUCARIO</t>
  </si>
  <si>
    <t xml:space="preserve">16752920</t>
  </si>
  <si>
    <t xml:space="preserve">NDSE1709</t>
  </si>
  <si>
    <t xml:space="preserve">22050501 PROVEEDORES NACIONALES; 23654002 COMPRAS GENERALES 2,5%; 23680302 DEMAS ACTIVIDADES COMERCIALES 7,7 X 1000</t>
  </si>
  <si>
    <t xml:space="preserve">Retenciones (crédito): 375,396.00 | Gasto/otros: No disponible (líneas fuera del archivo exportado)</t>
  </si>
  <si>
    <t xml:space="preserve">001-DSE-00001709</t>
  </si>
  <si>
    <t xml:space="preserve">7195, 8335, 9255</t>
  </si>
  <si>
    <t xml:space="preserve">BERNARDA VALENCIA MOYA</t>
  </si>
  <si>
    <t xml:space="preserve">29951774</t>
  </si>
  <si>
    <t xml:space="preserve">FEBV2769</t>
  </si>
  <si>
    <t xml:space="preserve">23359502 CUENTA PUENTE CAJA MENOR</t>
  </si>
  <si>
    <t xml:space="preserve">001-FSC-00011557</t>
  </si>
  <si>
    <t xml:space="preserve">8084</t>
  </si>
  <si>
    <t xml:space="preserve">BERRIO ARIAS JUAN FERNANDO</t>
  </si>
  <si>
    <t xml:space="preserve">7563061</t>
  </si>
  <si>
    <t xml:space="preserve">NDSE1733</t>
  </si>
  <si>
    <t xml:space="preserve">Retenciones (crédito): 5,800.00 | Gasto/otros: No disponible (líneas fuera del archivo exportado)</t>
  </si>
  <si>
    <t xml:space="preserve">001-DSE-00001733</t>
  </si>
  <si>
    <t xml:space="preserve">7538, 8238</t>
  </si>
  <si>
    <t xml:space="preserve">BOLD.CO S.A.S</t>
  </si>
  <si>
    <t xml:space="preserve">901281572</t>
  </si>
  <si>
    <t xml:space="preserve">FEC8613219</t>
  </si>
  <si>
    <t xml:space="preserve">BUENO ALVAREZ WILLIAM ANDRES</t>
  </si>
  <si>
    <t xml:space="preserve">1113519268</t>
  </si>
  <si>
    <t xml:space="preserve">NDSE1704</t>
  </si>
  <si>
    <t xml:space="preserve">001-DSE-00001704</t>
  </si>
  <si>
    <t xml:space="preserve">7387</t>
  </si>
  <si>
    <t xml:space="preserve">NDSE1705</t>
  </si>
  <si>
    <t xml:space="preserve">001-DSE-00001705</t>
  </si>
  <si>
    <t xml:space="preserve">7388</t>
  </si>
  <si>
    <t xml:space="preserve">CABRALES SALGADO ROLANDO ALBERTO</t>
  </si>
  <si>
    <t xml:space="preserve">73571583</t>
  </si>
  <si>
    <t xml:space="preserve">NDSE1724</t>
  </si>
  <si>
    <t xml:space="preserve">001-DSE-00001724</t>
  </si>
  <si>
    <t xml:space="preserve">7530</t>
  </si>
  <si>
    <t xml:space="preserve">NDSE1725</t>
  </si>
  <si>
    <t xml:space="preserve">001-DSE-00001725</t>
  </si>
  <si>
    <t xml:space="preserve">7531</t>
  </si>
  <si>
    <t xml:space="preserve">NDSE1729</t>
  </si>
  <si>
    <t xml:space="preserve">001-DSE-00001729</t>
  </si>
  <si>
    <t xml:space="preserve">7532</t>
  </si>
  <si>
    <t xml:space="preserve">CALVACHE JARAMILLO LUIS MIGUEL</t>
  </si>
  <si>
    <t xml:space="preserve">1144093853</t>
  </si>
  <si>
    <t xml:space="preserve">NDSE1715</t>
  </si>
  <si>
    <t xml:space="preserve">001-DSE-00001715</t>
  </si>
  <si>
    <t xml:space="preserve">7401</t>
  </si>
  <si>
    <t xml:space="preserve">CARTONES AMERICA S.A. CAME</t>
  </si>
  <si>
    <t xml:space="preserve">860026759</t>
  </si>
  <si>
    <t xml:space="preserve">8200455422</t>
  </si>
  <si>
    <t xml:space="preserve">23359501 OTROS; 24081510 IVA TRANSITORIO COMPRAS 19%</t>
  </si>
  <si>
    <t xml:space="preserve">IVA: 1,117,512.00 | Retenciones (crédito): 0.00 | Gasto/otros: No disponible (líneas fuera del archivo exportado)</t>
  </si>
  <si>
    <t xml:space="preserve">001-FSC-00011382</t>
  </si>
  <si>
    <t xml:space="preserve">7729, 11114</t>
  </si>
  <si>
    <t xml:space="preserve">CARVAJAL TECNOLOGIA Y SERVICIOS S.A.S.</t>
  </si>
  <si>
    <t xml:space="preserve">890321151</t>
  </si>
  <si>
    <t xml:space="preserve">CLOA105291184</t>
  </si>
  <si>
    <t xml:space="preserve">IVA: 22,824.00 | Retenciones (crédito): 0.00 | Gasto/otros: No disponible (líneas fuera del archivo exportado)</t>
  </si>
  <si>
    <t xml:space="preserve">001-FSC-00011383</t>
  </si>
  <si>
    <t xml:space="preserve">7789, 11329</t>
  </si>
  <si>
    <t xml:space="preserve">CASTANEDA VARGAS JULIAN</t>
  </si>
  <si>
    <t xml:space="preserve">16917650</t>
  </si>
  <si>
    <t xml:space="preserve">NDSE1736</t>
  </si>
  <si>
    <t xml:space="preserve">001-DSE-00001736</t>
  </si>
  <si>
    <t xml:space="preserve">7454</t>
  </si>
  <si>
    <t xml:space="preserve">CESAR AUGUSTO GIRALDO HOYOS</t>
  </si>
  <si>
    <t xml:space="preserve">16460791</t>
  </si>
  <si>
    <t xml:space="preserve">FPDP7016</t>
  </si>
  <si>
    <t xml:space="preserve">IVA: 5,428.00 | Retenciones (crédito): 0.00 | Gasto/otros: No disponible (líneas fuera del archivo exportado)</t>
  </si>
  <si>
    <t xml:space="preserve">001-FSC-00011541</t>
  </si>
  <si>
    <t xml:space="preserve">7420, 11051</t>
  </si>
  <si>
    <t xml:space="preserve">CHAVEZ ASPRILLA EDWARD ANDRES</t>
  </si>
  <si>
    <t xml:space="preserve">94410977</t>
  </si>
  <si>
    <t xml:space="preserve">NDSE1713</t>
  </si>
  <si>
    <t xml:space="preserve">001-DSE-00001713</t>
  </si>
  <si>
    <t xml:space="preserve">8047</t>
  </si>
  <si>
    <t xml:space="preserve">CHRISTIAN CAMILO QUEVEDO OCHOA</t>
  </si>
  <si>
    <t xml:space="preserve">1130588761</t>
  </si>
  <si>
    <t xml:space="preserve">ETPC406</t>
  </si>
  <si>
    <t xml:space="preserve">ETPC418</t>
  </si>
  <si>
    <t xml:space="preserve">CIMEX COLOMBIA S.A.S</t>
  </si>
  <si>
    <t xml:space="preserve">800202146</t>
  </si>
  <si>
    <t xml:space="preserve">2FE84768</t>
  </si>
  <si>
    <t xml:space="preserve">001-FSC-00011490</t>
  </si>
  <si>
    <t xml:space="preserve">7581</t>
  </si>
  <si>
    <t xml:space="preserve">2FE85515</t>
  </si>
  <si>
    <t xml:space="preserve">IVA: 4,790.00 | Retenciones (crédito): 0.00 | Gasto/otros: No disponible (líneas fuera del archivo exportado)</t>
  </si>
  <si>
    <t xml:space="preserve">001-FSC-00011547</t>
  </si>
  <si>
    <t xml:space="preserve">7583, 11073</t>
  </si>
  <si>
    <t xml:space="preserve">CLINICA DEL COLON S A S</t>
  </si>
  <si>
    <t xml:space="preserve">805019003</t>
  </si>
  <si>
    <t xml:space="preserve">FEPC9504</t>
  </si>
  <si>
    <t xml:space="preserve">23359501 OTROS; 24081510 IVA TRANSITORIO COMPRAS 19%; 51058401 GASTOS MEDICOS Y DROGAS</t>
  </si>
  <si>
    <t xml:space="preserve">IVA: 66,740.00 | Gastos: 351,261.00 | Retenciones (crédito): 0.00</t>
  </si>
  <si>
    <t xml:space="preserve">001-FSC-00011514</t>
  </si>
  <si>
    <t xml:space="preserve">7651, 11098, 16192</t>
  </si>
  <si>
    <t xml:space="preserve">COEXITO S.A.S.</t>
  </si>
  <si>
    <t xml:space="preserve">890300225</t>
  </si>
  <si>
    <t xml:space="preserve">129B89379</t>
  </si>
  <si>
    <t xml:space="preserve">129B92054</t>
  </si>
  <si>
    <t xml:space="preserve">COLOMBIA TELECOMUNICACIONES S.A. E.S.P. BIC</t>
  </si>
  <si>
    <t xml:space="preserve">830122566</t>
  </si>
  <si>
    <t xml:space="preserve">BEC546849816</t>
  </si>
  <si>
    <t xml:space="preserve">IVA: 3,498.00 | Retenciones (crédito): 0.00 | Gasto/otros: No disponible (líneas fuera del archivo exportado)</t>
  </si>
  <si>
    <t xml:space="preserve">001-FSC-00011434</t>
  </si>
  <si>
    <t xml:space="preserve">7703, 11291</t>
  </si>
  <si>
    <t xml:space="preserve">BEC546849819</t>
  </si>
  <si>
    <t xml:space="preserve">IVA: 1,756.00 | Retenciones (crédito): 0.00 | Gasto/otros: No disponible (líneas fuera del archivo exportado)</t>
  </si>
  <si>
    <t xml:space="preserve">001-FSC-00011435</t>
  </si>
  <si>
    <t xml:space="preserve">7704, 11292</t>
  </si>
  <si>
    <t xml:space="preserve">BEC546850762</t>
  </si>
  <si>
    <t xml:space="preserve">IVA: 7,152.00 | Retenciones (crédito): 0.00 | Gasto/otros: No disponible (líneas fuera del archivo exportado)</t>
  </si>
  <si>
    <t xml:space="preserve">001-FSC-00011428</t>
  </si>
  <si>
    <t xml:space="preserve">7697, 11285</t>
  </si>
  <si>
    <t xml:space="preserve">BEC546850764</t>
  </si>
  <si>
    <t xml:space="preserve">001-FSC-00011433</t>
  </si>
  <si>
    <t xml:space="preserve">7702, 11290</t>
  </si>
  <si>
    <t xml:space="preserve">BEC546850765</t>
  </si>
  <si>
    <t xml:space="preserve">IVA: 10,580.00 | Retenciones (crédito): 0.00 | Gasto/otros: No disponible (líneas fuera del archivo exportado)</t>
  </si>
  <si>
    <t xml:space="preserve">001-FSC-00011430</t>
  </si>
  <si>
    <t xml:space="preserve">7699, 11287</t>
  </si>
  <si>
    <t xml:space="preserve">BEC546851208</t>
  </si>
  <si>
    <t xml:space="preserve">BEC546851212</t>
  </si>
  <si>
    <t xml:space="preserve">001-FSC-00011427</t>
  </si>
  <si>
    <t xml:space="preserve">7696, 11284</t>
  </si>
  <si>
    <t xml:space="preserve">BEC546906901</t>
  </si>
  <si>
    <t xml:space="preserve">23359501 OTROS; 24081513 IVA TRANSITORIO SERVICIOS 19%; 51159502 IMPUESTO AL CONSUMO 8%</t>
  </si>
  <si>
    <t xml:space="preserve">IVA: 10,501.00 | Otros impuestos: 82.00 | Retenciones (crédito): 0.00 | Gasto/otros: No disponible (líneas fuera del archivo exportado)</t>
  </si>
  <si>
    <t xml:space="preserve">001-FSC-00011425</t>
  </si>
  <si>
    <t xml:space="preserve">7694, 11282, 16329</t>
  </si>
  <si>
    <t xml:space="preserve">BEC546906902</t>
  </si>
  <si>
    <t xml:space="preserve">IVA: 3,498.00 | Otros impuestos: 84.00 | Retenciones (crédito): 0.00 | Gasto/otros: No disponible (líneas fuera del archivo exportado)</t>
  </si>
  <si>
    <t xml:space="preserve">001-FSC-00011422</t>
  </si>
  <si>
    <t xml:space="preserve">7691, 11279, 16327</t>
  </si>
  <si>
    <t xml:space="preserve">BEC546906905</t>
  </si>
  <si>
    <t xml:space="preserve">001-FSC-00011432</t>
  </si>
  <si>
    <t xml:space="preserve">7701, 11289</t>
  </si>
  <si>
    <t xml:space="preserve">BEC546906906</t>
  </si>
  <si>
    <t xml:space="preserve">IVA: 1,916.00 | Retenciones (crédito): 0.00 | Gasto/otros: No disponible (líneas fuera del archivo exportado)</t>
  </si>
  <si>
    <t xml:space="preserve">001-FSC-00011429</t>
  </si>
  <si>
    <t xml:space="preserve">7698, 11286</t>
  </si>
  <si>
    <t xml:space="preserve">BEC546906982</t>
  </si>
  <si>
    <t xml:space="preserve">IVA: 8,490.00 | Retenciones (crédito): 0.00 | Gasto/otros: No disponible (líneas fuera del archivo exportado)</t>
  </si>
  <si>
    <t xml:space="preserve">001-FSC-00011431</t>
  </si>
  <si>
    <t xml:space="preserve">7700, 11288</t>
  </si>
  <si>
    <t xml:space="preserve">BEC546906983</t>
  </si>
  <si>
    <t xml:space="preserve">001-FSC-00011419</t>
  </si>
  <si>
    <t xml:space="preserve">7688, 11276</t>
  </si>
  <si>
    <t xml:space="preserve">BEC546906984</t>
  </si>
  <si>
    <t xml:space="preserve">001-FSC-00011421</t>
  </si>
  <si>
    <t xml:space="preserve">7690, 11278, 16326</t>
  </si>
  <si>
    <t xml:space="preserve">BEC546906985</t>
  </si>
  <si>
    <t xml:space="preserve">001-FSC-00011424</t>
  </si>
  <si>
    <t xml:space="preserve">7693, 11281</t>
  </si>
  <si>
    <t xml:space="preserve">BEC546906986</t>
  </si>
  <si>
    <t xml:space="preserve">001-FSC-00011420</t>
  </si>
  <si>
    <t xml:space="preserve">7689, 11277, 16325</t>
  </si>
  <si>
    <t xml:space="preserve">BEC546906987</t>
  </si>
  <si>
    <t xml:space="preserve">IVA: 14,899.00 | Otros impuestos: 946.00 | Retenciones (crédito): 0.00 | Gasto/otros: No disponible (líneas fuera del archivo exportado)</t>
  </si>
  <si>
    <t xml:space="preserve">001-FSC-00011423</t>
  </si>
  <si>
    <t xml:space="preserve">7692, 11280, 16328</t>
  </si>
  <si>
    <t xml:space="preserve">BEC546906988</t>
  </si>
  <si>
    <t xml:space="preserve">23359501 OTROS; 24081513 IVA TRANSITORIO SERVICIOS 19%; 51159502 IMPUESTO AL CONSUMO 8%; 23359501 OTROS; 24081513 IVA TRANSITORIO SERVICIOS 19%; 51159502 IMPUESTO AL CONSUMO 8%; 23359501 OTROS; 24081513 IVA TRANSITORIO SERVICIOS 19%; 51159502 IMPUESTO AL CONSUMO 8%; 23359501 OTROS; 24081513 IVA TRANSITORIO SERVICIOS 19%; 23359501 OTROS; 24081513 IVA TRANSITORIO SERVICIOS 19%; 23359501 OTROS; 24081513 IVA TRANSITORIO SERVICIOS 19%</t>
  </si>
  <si>
    <t xml:space="preserve">IVA: 20,988.00 | Otros impuestos: 252.00 | Retenciones (crédito): 0.00 | Gasto/otros: No disponible (líneas fuera del archivo exportado)</t>
  </si>
  <si>
    <t xml:space="preserve">Contabilizado en 6 comprobantes del Journal (001-FSC-00011420, 001-FSC-00011421, 001-FSC-00011422, 001-FSC-00011427, 001-FSC-00011433, 001-FSC-00011434); se sumaron todos.</t>
  </si>
  <si>
    <t xml:space="preserve">001-FSC-00011420, 001-FSC-00011421, 001-FSC-00011422, 001-FSC-00011427, 001-FSC-00011433, 001-FSC-00011434</t>
  </si>
  <si>
    <t xml:space="preserve">7689, 11277, 16325, 7690, 11278, 16326, 7691, 11279, 16327, 7696, 11284, 7702, 11290, 7703, 11291</t>
  </si>
  <si>
    <t xml:space="preserve">BEC546906989</t>
  </si>
  <si>
    <t xml:space="preserve">001-FSC-00011426</t>
  </si>
  <si>
    <t xml:space="preserve">7695, 11283</t>
  </si>
  <si>
    <t xml:space="preserve">BEV25925571</t>
  </si>
  <si>
    <t xml:space="preserve">BEV25925624</t>
  </si>
  <si>
    <t xml:space="preserve">COLVANES S.A.S</t>
  </si>
  <si>
    <t xml:space="preserve">800185306</t>
  </si>
  <si>
    <t xml:space="preserve">FE02172053</t>
  </si>
  <si>
    <t xml:space="preserve">001-FSC-00011466</t>
  </si>
  <si>
    <t xml:space="preserve">7338</t>
  </si>
  <si>
    <t xml:space="preserve">FE02172101</t>
  </si>
  <si>
    <t xml:space="preserve">001-FSC-00011461</t>
  </si>
  <si>
    <t xml:space="preserve">7337</t>
  </si>
  <si>
    <t xml:space="preserve">FE02172909</t>
  </si>
  <si>
    <t xml:space="preserve">001-FSC-00011571</t>
  </si>
  <si>
    <t xml:space="preserve">7339</t>
  </si>
  <si>
    <t xml:space="preserve">FE02172910</t>
  </si>
  <si>
    <t xml:space="preserve">001-FSC-00011572</t>
  </si>
  <si>
    <t xml:space="preserve">7340</t>
  </si>
  <si>
    <t xml:space="preserve">COMBUSTIBLES LIQUIDOS DE COLOMBIA SA ESP</t>
  </si>
  <si>
    <t xml:space="preserve">900175830</t>
  </si>
  <si>
    <t xml:space="preserve">2YUM22779</t>
  </si>
  <si>
    <t xml:space="preserve">001-FSC-00011407</t>
  </si>
  <si>
    <t xml:space="preserve">7850</t>
  </si>
  <si>
    <t xml:space="preserve">2YUM23349</t>
  </si>
  <si>
    <t xml:space="preserve">001-FSC-00011516</t>
  </si>
  <si>
    <t xml:space="preserve">7852</t>
  </si>
  <si>
    <t xml:space="preserve">COMERCIALIZADORA MARDEN LTDA</t>
  </si>
  <si>
    <t xml:space="preserve">800004599</t>
  </si>
  <si>
    <t xml:space="preserve">PECO410957</t>
  </si>
  <si>
    <t xml:space="preserve">IVA: 4,375.00 | Retenciones (crédito): 0.00 | Gasto/otros: No disponible (líneas fuera del archivo exportado)</t>
  </si>
  <si>
    <t xml:space="preserve">001-FSC-00011549</t>
  </si>
  <si>
    <t xml:space="preserve">7552, 11060</t>
  </si>
  <si>
    <t xml:space="preserve">COMPAÑÍA MUNDIAL DE SEGUROS S.A.</t>
  </si>
  <si>
    <t xml:space="preserve">860037013</t>
  </si>
  <si>
    <t xml:space="preserve">014F21554007</t>
  </si>
  <si>
    <t xml:space="preserve">COMUNICACION CELULAR S A  COMCEL S A</t>
  </si>
  <si>
    <t xml:space="preserve">800153993</t>
  </si>
  <si>
    <t xml:space="preserve">3292734891</t>
  </si>
  <si>
    <t xml:space="preserve">IVA: 81,727.00 | Retenciones (crédito): 0.00 | Gasto/otros: No disponible (líneas fuera del archivo exportado)</t>
  </si>
  <si>
    <t xml:space="preserve">001-FSC-00011355</t>
  </si>
  <si>
    <t xml:space="preserve">7578, 11245</t>
  </si>
  <si>
    <t xml:space="preserve">CONSTRUIR INGENIERIA S.A.S.</t>
  </si>
  <si>
    <t xml:space="preserve">800222034</t>
  </si>
  <si>
    <t xml:space="preserve">FEH417</t>
  </si>
  <si>
    <t xml:space="preserve">23359501 OTROS; 23652507 SERVICIOS GENERALES (DECLARANTES) 4%; 23680203 DEMAS ACTIVIDADES SERVICIOS 10 X 1000; 24081513 IVA TRANSITORIO SERVICIOS 19%</t>
  </si>
  <si>
    <t xml:space="preserve">IVA: 1,520,000.00 | Retenciones (crédito): 400,000.00 | Gasto/otros: No disponible (líneas fuera del archivo exportado)</t>
  </si>
  <si>
    <t xml:space="preserve">001-NT-00012705</t>
  </si>
  <si>
    <t xml:space="preserve">7586, 8245, 9204, 11251</t>
  </si>
  <si>
    <t xml:space="preserve">COOPERATIVA INTEGRAL DE TAXIS BELALCAZAR</t>
  </si>
  <si>
    <t xml:space="preserve">891500277</t>
  </si>
  <si>
    <t xml:space="preserve">FTPI650564</t>
  </si>
  <si>
    <t xml:space="preserve">Aprobado (Documento equivalente - Transporte pasajeros terrestre, Recibido)</t>
  </si>
  <si>
    <t xml:space="preserve">FTPO614139</t>
  </si>
  <si>
    <t xml:space="preserve">COORDINADORA MERCANTIL S.A.</t>
  </si>
  <si>
    <t xml:space="preserve">890904713</t>
  </si>
  <si>
    <t xml:space="preserve">D03194001448</t>
  </si>
  <si>
    <t xml:space="preserve">001-FSC-00011517</t>
  </si>
  <si>
    <t xml:space="preserve">7827</t>
  </si>
  <si>
    <t xml:space="preserve">COQUEZ GONZALEZ JHON ALEXANDER</t>
  </si>
  <si>
    <t xml:space="preserve">94501120</t>
  </si>
  <si>
    <t xml:space="preserve">NDSE1714</t>
  </si>
  <si>
    <t xml:space="preserve">001-DSE-00001714</t>
  </si>
  <si>
    <t xml:space="preserve">8053</t>
  </si>
  <si>
    <t xml:space="preserve">CORREDOR DEL PACIFICO S.A.S.</t>
  </si>
  <si>
    <t xml:space="preserve">900394298</t>
  </si>
  <si>
    <t xml:space="preserve">12054711</t>
  </si>
  <si>
    <t xml:space="preserve">Aprobado con notificación (Documento equivalente - Transporte pasajeros terrestre, Recibido)</t>
  </si>
  <si>
    <t xml:space="preserve">CORTES CAMPANA JOSE DAVID</t>
  </si>
  <si>
    <t xml:space="preserve">1144187764</t>
  </si>
  <si>
    <t xml:space="preserve">NDSE1728</t>
  </si>
  <si>
    <t xml:space="preserve">001-DSE-00001728</t>
  </si>
  <si>
    <t xml:space="preserve">7404</t>
  </si>
  <si>
    <t xml:space="preserve">CORTULUA FUTBOL CLUB S.A.</t>
  </si>
  <si>
    <t xml:space="preserve">800097185</t>
  </si>
  <si>
    <t xml:space="preserve">FEDV540</t>
  </si>
  <si>
    <t xml:space="preserve">23359501 OTROS; 23651505 HONORARIOS 11%; 24081513 IVA TRANSITORIO SERVICIOS 19%</t>
  </si>
  <si>
    <t xml:space="preserve">IVA: 1,861,150.00 | Retenciones (crédito): 1,077,508.00 | Gasto/otros: No disponible (líneas fuera del archivo exportado)</t>
  </si>
  <si>
    <t xml:space="preserve">001-FSC-00011583</t>
  </si>
  <si>
    <t xml:space="preserve">7574, 8150, 11240</t>
  </si>
  <si>
    <t xml:space="preserve">CUEVAS COLORADO WALTER ARNULFO</t>
  </si>
  <si>
    <t xml:space="preserve">94527988</t>
  </si>
  <si>
    <t xml:space="preserve">1462</t>
  </si>
  <si>
    <t xml:space="preserve">Retenciones (crédito): 10,000.00 | Gasto/otros: No disponible (líneas fuera del archivo exportado)</t>
  </si>
  <si>
    <t xml:space="preserve">001-FSC-00011351</t>
  </si>
  <si>
    <t xml:space="preserve">8061, 8286</t>
  </si>
  <si>
    <t xml:space="preserve">Catalina Zuniga Araujo</t>
  </si>
  <si>
    <t xml:space="preserve">66990687</t>
  </si>
  <si>
    <t xml:space="preserve">FE17</t>
  </si>
  <si>
    <t xml:space="preserve">IVA: 1,710,000.00 | Retenciones (crédito): 0.00 | Gasto/otros: No disponible (líneas fuera del archivo exportado)</t>
  </si>
  <si>
    <t xml:space="preserve">001-FSC-00011350</t>
  </si>
  <si>
    <t xml:space="preserve">7514, 11236</t>
  </si>
  <si>
    <t xml:space="preserve">FE18</t>
  </si>
  <si>
    <t xml:space="preserve">23359501 OTROS; 23651505 HONORARIOS 11%; 24081513 IVA TRANSITORIO SERVICIOS 19%; 23359501 OTROS; 23651505 HONORARIOS 11%</t>
  </si>
  <si>
    <t xml:space="preserve">Contabilizado en 2 comprobantes del Journal (001-FSC-00011539, 001-NT-00012685); se sumaron todos.</t>
  </si>
  <si>
    <t xml:space="preserve">001-FSC-00011539, 001-NT-00012685</t>
  </si>
  <si>
    <t xml:space="preserve">7516, 8147, 11237, 7517, 8148</t>
  </si>
  <si>
    <t xml:space="preserve">Club Colombia</t>
  </si>
  <si>
    <t xml:space="preserve">890300521</t>
  </si>
  <si>
    <t xml:space="preserve">FS561133</t>
  </si>
  <si>
    <t xml:space="preserve">23359501 OTROS; 51251001 AFILIACIONES Y SOSTENIMIENTO</t>
  </si>
  <si>
    <t xml:space="preserve">Gastos: 310,000.00 | Retenciones (crédito): 0.00</t>
  </si>
  <si>
    <t xml:space="preserve">001-FSC-00011369</t>
  </si>
  <si>
    <t xml:space="preserve">7753, 16365</t>
  </si>
  <si>
    <t xml:space="preserve">Colmena Seguros de Vida S.A.</t>
  </si>
  <si>
    <t xml:space="preserve">901528731</t>
  </si>
  <si>
    <t xml:space="preserve">VT25555830</t>
  </si>
  <si>
    <t xml:space="preserve">001-FSC-00011564</t>
  </si>
  <si>
    <t xml:space="preserve">7986</t>
  </si>
  <si>
    <t xml:space="preserve">D1 S A S</t>
  </si>
  <si>
    <t xml:space="preserve">900276962</t>
  </si>
  <si>
    <t xml:space="preserve">G5I0261523</t>
  </si>
  <si>
    <t xml:space="preserve">M3F859913</t>
  </si>
  <si>
    <t xml:space="preserve">001-FSC-00011470</t>
  </si>
  <si>
    <t xml:space="preserve">7863</t>
  </si>
  <si>
    <t xml:space="preserve">M3F859914</t>
  </si>
  <si>
    <t xml:space="preserve">001-FSC-00011446</t>
  </si>
  <si>
    <t xml:space="preserve">7861</t>
  </si>
  <si>
    <t xml:space="preserve">M3F964991</t>
  </si>
  <si>
    <t xml:space="preserve">001-FSC-00011479</t>
  </si>
  <si>
    <t xml:space="preserve">7864</t>
  </si>
  <si>
    <t xml:space="preserve">DE LA PAVA Y COMPANIA S A S</t>
  </si>
  <si>
    <t xml:space="preserve">805002135</t>
  </si>
  <si>
    <t xml:space="preserve">NORT57479</t>
  </si>
  <si>
    <t xml:space="preserve">IVA: 719.00 | Retenciones (crédito): 0.00 | Gasto/otros: No disponible (líneas fuera del archivo exportado)</t>
  </si>
  <si>
    <t xml:space="preserve">001-FSC-00011409</t>
  </si>
  <si>
    <t xml:space="preserve">7639, 11093</t>
  </si>
  <si>
    <t xml:space="preserve">DESPEGAR COLOMBIA SAS</t>
  </si>
  <si>
    <t xml:space="preserve">900610518</t>
  </si>
  <si>
    <t xml:space="preserve">FV10521699</t>
  </si>
  <si>
    <t xml:space="preserve">DISTRACOM S.A.</t>
  </si>
  <si>
    <t xml:space="preserve">811009788</t>
  </si>
  <si>
    <t xml:space="preserve">DST7544954</t>
  </si>
  <si>
    <t xml:space="preserve">DISTRIBUIDORA MAYORISTA LIMITADA</t>
  </si>
  <si>
    <t xml:space="preserve">800239989</t>
  </si>
  <si>
    <t xml:space="preserve">DMFE832</t>
  </si>
  <si>
    <t xml:space="preserve">22050501 PROVEEDORES NACIONALES; 23652507 SERVICIOS GENERALES (DECLARANTES) 4%</t>
  </si>
  <si>
    <t xml:space="preserve">Retenciones (crédito): 6,535.00 | Gasto/otros: No disponible (líneas fuera del archivo exportado)</t>
  </si>
  <si>
    <t xml:space="preserve">001-FSC-00011384</t>
  </si>
  <si>
    <t xml:space="preserve">7214, 8247</t>
  </si>
  <si>
    <t xml:space="preserve">DMFE833</t>
  </si>
  <si>
    <t xml:space="preserve">Solo comprobantes de pago/legalización, sin causación</t>
  </si>
  <si>
    <t xml:space="preserve">El documento se cita en comprobantes que no lo causan (pago, legalización o anticipo), pero no hay un comprobante de causación para él.</t>
  </si>
  <si>
    <t xml:space="preserve">Revisar: 001-FSC-00011386, 001-NT-00012655</t>
  </si>
  <si>
    <t xml:space="preserve">001-FSC-00011386, 001-NT-00012655</t>
  </si>
  <si>
    <t xml:space="preserve">DMFE835</t>
  </si>
  <si>
    <t xml:space="preserve">Retenciones (crédito): 37,448.00 | Gasto/otros: No disponible (líneas fuera del archivo exportado)</t>
  </si>
  <si>
    <t xml:space="preserve">001-FSC-00011417</t>
  </si>
  <si>
    <t xml:space="preserve">7219, 8248</t>
  </si>
  <si>
    <t xml:space="preserve">DMFE837</t>
  </si>
  <si>
    <t xml:space="preserve">Retenciones (crédito): 60,976.00 | Gasto/otros: No disponible (líneas fuera del archivo exportado)</t>
  </si>
  <si>
    <t xml:space="preserve">001-FSC-00011460</t>
  </si>
  <si>
    <t xml:space="preserve">7221, 8249</t>
  </si>
  <si>
    <t xml:space="preserve">DMFE838</t>
  </si>
  <si>
    <t xml:space="preserve">22050501 PROVEEDORES NACIONALES; 23652501 TRANSPORTE 1%</t>
  </si>
  <si>
    <t xml:space="preserve">Retenciones (crédito): 171,828.00 | Gasto/otros: No disponible (líneas fuera del archivo exportado)</t>
  </si>
  <si>
    <t xml:space="preserve">001-FSC-00011536</t>
  </si>
  <si>
    <t xml:space="preserve">7226, 8185</t>
  </si>
  <si>
    <t xml:space="preserve">DMFE839</t>
  </si>
  <si>
    <t xml:space="preserve">Otros conceptos: 25,832,826.00 | Retenciones (crédito): 258,328.00</t>
  </si>
  <si>
    <t xml:space="preserve">001-CC-00023127</t>
  </si>
  <si>
    <t xml:space="preserve">7234, 8186, 12599</t>
  </si>
  <si>
    <t xml:space="preserve">DMFE840</t>
  </si>
  <si>
    <t xml:space="preserve">22050501 PROVEEDORES NACIONALES; 23654002 COMPRAS GENERALES 2,5%; 26959501 OTRAS</t>
  </si>
  <si>
    <t xml:space="preserve">Otros conceptos: 44,800,000.00 | Retenciones (crédito): 1,120,000.00</t>
  </si>
  <si>
    <t xml:space="preserve">001-CC-00023124</t>
  </si>
  <si>
    <t xml:space="preserve">7231, 8363, 12596</t>
  </si>
  <si>
    <t xml:space="preserve">DMFE841</t>
  </si>
  <si>
    <t xml:space="preserve">Otros conceptos: 62,792,000.00 | Retenciones (crédito): 1,569,800.00</t>
  </si>
  <si>
    <t xml:space="preserve">001-CC-00023125</t>
  </si>
  <si>
    <t xml:space="preserve">7232, 8364, 12597</t>
  </si>
  <si>
    <t xml:space="preserve">DMFE842</t>
  </si>
  <si>
    <t xml:space="preserve">Otros conceptos: 55,308,000.00 | Retenciones (crédito): 1,382,700.00</t>
  </si>
  <si>
    <t xml:space="preserve">001-CC-00023126</t>
  </si>
  <si>
    <t xml:space="preserve">7233, 8365, 12598</t>
  </si>
  <si>
    <t xml:space="preserve">DMFE843</t>
  </si>
  <si>
    <t xml:space="preserve">Otros conceptos: 62,925,000.00 | Retenciones (crédito): 1,573,125.00</t>
  </si>
  <si>
    <t xml:space="preserve">001-CC-00023121</t>
  </si>
  <si>
    <t xml:space="preserve">7228, 8360, 12593</t>
  </si>
  <si>
    <t xml:space="preserve">DMFE844</t>
  </si>
  <si>
    <t xml:space="preserve">Otros conceptos: 62,370,000.00 | Retenciones (crédito): 1,559,250.00</t>
  </si>
  <si>
    <t xml:space="preserve">001-CC-00023122</t>
  </si>
  <si>
    <t xml:space="preserve">7229, 8361, 12594</t>
  </si>
  <si>
    <t xml:space="preserve">DMFE845</t>
  </si>
  <si>
    <t xml:space="preserve">Otros conceptos: 30,669,750.00 | Retenciones (crédito): 766,744.00</t>
  </si>
  <si>
    <t xml:space="preserve">001-CC-00023123</t>
  </si>
  <si>
    <t xml:space="preserve">7230, 8362, 12595</t>
  </si>
  <si>
    <t xml:space="preserve">DMFE846</t>
  </si>
  <si>
    <t xml:space="preserve">Otros conceptos: 10,787,879.00 | Retenciones (crédito): 107,879.00</t>
  </si>
  <si>
    <t xml:space="preserve">001-CC-00023128</t>
  </si>
  <si>
    <t xml:space="preserve">7235, 8187, 12600</t>
  </si>
  <si>
    <t xml:space="preserve">DMFE847</t>
  </si>
  <si>
    <t xml:space="preserve">22050501 PROVEEDORES NACIONALES; 23652507 SERVICIOS GENERALES (DECLARANTES) 4%; 26959501 OTRAS</t>
  </si>
  <si>
    <t xml:space="preserve">Otros conceptos: 12,754,590.00 | Retenciones (crédito): 510,184.00</t>
  </si>
  <si>
    <t xml:space="preserve">001-CC-00023129</t>
  </si>
  <si>
    <t xml:space="preserve">7236, 8250, 12601</t>
  </si>
  <si>
    <t xml:space="preserve">DROGUERIA ALONSO LTDA</t>
  </si>
  <si>
    <t xml:space="preserve">800126903</t>
  </si>
  <si>
    <t xml:space="preserve">CENT1165</t>
  </si>
  <si>
    <t xml:space="preserve">IVA: 152,439.00 | Retenciones (crédito): 40,115.00 | Gasto/otros: No disponible (líneas fuera del archivo exportado)</t>
  </si>
  <si>
    <t xml:space="preserve">001-FSC-00011581</t>
  </si>
  <si>
    <t xml:space="preserve">7576, 8241, 9202, 11242</t>
  </si>
  <si>
    <t xml:space="preserve">ECOLDIET SAS</t>
  </si>
  <si>
    <t xml:space="preserve">900727726</t>
  </si>
  <si>
    <t xml:space="preserve">601</t>
  </si>
  <si>
    <t xml:space="preserve">23352501 HONORARIOS; 23651505 HONORARIOS 11%; 24081513 IVA TRANSITORIO SERVICIOS 19%; 51109501 OTROS</t>
  </si>
  <si>
    <t xml:space="preserve">IVA: 1,406,000.00 | Gastos: 7,400,000.00 | Retenciones (crédito): 814,000.00</t>
  </si>
  <si>
    <t xml:space="preserve">001-FSC-00011397</t>
  </si>
  <si>
    <t xml:space="preserve">7315, 8166, 11451, 16273</t>
  </si>
  <si>
    <t xml:space="preserve">EL COMERCIO ELECTRICO S.A.S.</t>
  </si>
  <si>
    <t xml:space="preserve">890323635</t>
  </si>
  <si>
    <t xml:space="preserve">NCEN2097</t>
  </si>
  <si>
    <t xml:space="preserve">IVA: 1,539.00 | Retenciones (crédito): 0.00 | Gasto/otros: No disponible (líneas fuera del archivo exportado)</t>
  </si>
  <si>
    <t xml:space="preserve">001-NT-00012673</t>
  </si>
  <si>
    <t xml:space="preserve">7795, 11124</t>
  </si>
  <si>
    <t xml:space="preserve">NFFN31709</t>
  </si>
  <si>
    <t xml:space="preserve">IVA: 46,512.00 | Retenciones (crédito): 0.00 | Gasto/otros: No disponible (líneas fuera del archivo exportado)</t>
  </si>
  <si>
    <t xml:space="preserve">001-FSC-00011530</t>
  </si>
  <si>
    <t xml:space="preserve">7794, 11123</t>
  </si>
  <si>
    <t xml:space="preserve">NFFN31988</t>
  </si>
  <si>
    <t xml:space="preserve">IVA: 10,702.00 | Retenciones (crédito): 0.00 | Gasto/otros: No disponible (líneas fuera del archivo exportado)</t>
  </si>
  <si>
    <t xml:space="preserve">001-FSC-00011526</t>
  </si>
  <si>
    <t xml:space="preserve">7792, 11121</t>
  </si>
  <si>
    <t xml:space="preserve">NFFN31995</t>
  </si>
  <si>
    <t xml:space="preserve">IVA: 2,700.00 | Retenciones (crédito): 0.00 | Gasto/otros: No disponible (líneas fuera del archivo exportado)</t>
  </si>
  <si>
    <t xml:space="preserve">001-FSC-00011527</t>
  </si>
  <si>
    <t xml:space="preserve">7793, 11122</t>
  </si>
  <si>
    <t xml:space="preserve">NFFN32170</t>
  </si>
  <si>
    <t xml:space="preserve">IVA: 295.00 | Retenciones (crédito): 0.00 | Gasto/otros: No disponible (líneas fuera del archivo exportado)</t>
  </si>
  <si>
    <t xml:space="preserve">001-FSC-00011559</t>
  </si>
  <si>
    <t xml:space="preserve">7796, 11125</t>
  </si>
  <si>
    <t xml:space="preserve">EL MOLINO EDUARDO MOLINARI PALACIN S.A.S</t>
  </si>
  <si>
    <t xml:space="preserve">890308111</t>
  </si>
  <si>
    <t xml:space="preserve">1PAN11527</t>
  </si>
  <si>
    <t xml:space="preserve">001-FSC-00011586</t>
  </si>
  <si>
    <t xml:space="preserve">7774</t>
  </si>
  <si>
    <t xml:space="preserve">1PAN11528</t>
  </si>
  <si>
    <t xml:space="preserve">001-FSC-00011588</t>
  </si>
  <si>
    <t xml:space="preserve">7775</t>
  </si>
  <si>
    <t xml:space="preserve">EL RINCÓN COSTEÑO 1923. CEVICHERIA Y COMIDA DE MAR</t>
  </si>
  <si>
    <t xml:space="preserve">1006426854</t>
  </si>
  <si>
    <t xml:space="preserve">ERCO914</t>
  </si>
  <si>
    <t xml:space="preserve">EMPRESAS MUNICIPALES DE CALI E.I.C.E. E.S.P.</t>
  </si>
  <si>
    <t xml:space="preserve">890399003</t>
  </si>
  <si>
    <t xml:space="preserve">10851800</t>
  </si>
  <si>
    <t xml:space="preserve">IVA: 30,315.00 | Retenciones (crédito): 0.00 | Gasto/otros: No disponible (líneas fuera del archivo exportado)</t>
  </si>
  <si>
    <t xml:space="preserve">001-FSC-00011389</t>
  </si>
  <si>
    <t xml:space="preserve">7803, 11336</t>
  </si>
  <si>
    <t xml:space="preserve">10851988</t>
  </si>
  <si>
    <t xml:space="preserve">IVA: 2,616.00 | Retenciones (crédito): 0.00 | Gasto/otros: No disponible (líneas fuera del archivo exportado)</t>
  </si>
  <si>
    <t xml:space="preserve">001-FSC-00011358</t>
  </si>
  <si>
    <t xml:space="preserve">7801, 11334</t>
  </si>
  <si>
    <t xml:space="preserve">10852836</t>
  </si>
  <si>
    <t xml:space="preserve">IVA: 68,400.00 | Retenciones (crédito): 0.00 | Gasto/otros: No disponible (líneas fuera del archivo exportado)</t>
  </si>
  <si>
    <t xml:space="preserve">001-FSC-00011359</t>
  </si>
  <si>
    <t xml:space="preserve">7802, 11335</t>
  </si>
  <si>
    <t xml:space="preserve">10918170</t>
  </si>
  <si>
    <t xml:space="preserve">IVA: 154,590.00 | Retenciones (crédito): 0.00 | Gasto/otros: No disponible (líneas fuera del archivo exportado)</t>
  </si>
  <si>
    <t xml:space="preserve">001-FSC-00011484</t>
  </si>
  <si>
    <t xml:space="preserve">7816, 11337</t>
  </si>
  <si>
    <t xml:space="preserve">18586743</t>
  </si>
  <si>
    <t xml:space="preserve">Aprobado (Documento equivalente - Servicios públicos domiciliarios, Recibido)</t>
  </si>
  <si>
    <t xml:space="preserve">001-FSC-00011485</t>
  </si>
  <si>
    <t xml:space="preserve">7817</t>
  </si>
  <si>
    <t xml:space="preserve">18587193</t>
  </si>
  <si>
    <t xml:space="preserve">001-FSC-00011486</t>
  </si>
  <si>
    <t xml:space="preserve">7818</t>
  </si>
  <si>
    <t xml:space="preserve">ESTACION DE SERVICIO EL ESTADIO AB SAS</t>
  </si>
  <si>
    <t xml:space="preserve">900918945</t>
  </si>
  <si>
    <t xml:space="preserve">EDS54345</t>
  </si>
  <si>
    <t xml:space="preserve">ETIMARCAS S.A.S</t>
  </si>
  <si>
    <t xml:space="preserve">805012966</t>
  </si>
  <si>
    <t xml:space="preserve">FM1614</t>
  </si>
  <si>
    <t xml:space="preserve">IVA: 5,302.00 | Retenciones (crédito): 0.00 | Gasto/otros: No disponible (líneas fuera del archivo exportado)</t>
  </si>
  <si>
    <t xml:space="preserve">001-FSC-00011363</t>
  </si>
  <si>
    <t xml:space="preserve">7648, 11096</t>
  </si>
  <si>
    <t xml:space="preserve">FM1615</t>
  </si>
  <si>
    <t xml:space="preserve">15889001 PROPIEDAD PLANTA Y EQUIPO EN TRANSITO; 23359501 OTROS; 23654002 COMPRAS GENERALES 2,5%</t>
  </si>
  <si>
    <t xml:space="preserve">Inventarios/activos: 1,024,008.00 | Retenciones (crédito): 21,513.00</t>
  </si>
  <si>
    <t xml:space="preserve">IVA DIAN 163,497.07 vs IVA Journal 0.00.</t>
  </si>
  <si>
    <t xml:space="preserve">001-FSC-00011362</t>
  </si>
  <si>
    <t xml:space="preserve">7094, 7647, 8371</t>
  </si>
  <si>
    <t xml:space="preserve">Exxis Colombia SAS</t>
  </si>
  <si>
    <t xml:space="preserve">900601633</t>
  </si>
  <si>
    <t xml:space="preserve">FD3296</t>
  </si>
  <si>
    <t xml:space="preserve">23359501 OTROS; 23652509 SERVICIO LICENCIAMIENTO SOFTWARE 3.5%; 23680209 DEMAS ACTIVIDADES SERVICIOS 6.6 x 1000; 24081513 IVA TRANSITORIO SERVICIOS 19%</t>
  </si>
  <si>
    <t xml:space="preserve">IVA: 2,936,188.00 | Retenciones (crédito): 1,298,323.00 | Gasto/otros: No disponible (líneas fuera del archivo exportado)</t>
  </si>
  <si>
    <t xml:space="preserve">001-FSC-00011522</t>
  </si>
  <si>
    <t xml:space="preserve">7887, 7888, 7889, 7890, 8304, 9246, 11444</t>
  </si>
  <si>
    <t xml:space="preserve">FEDERACIÓN NACIONAL DE COMERCIANTES EMPRESARIOS - FENALCO SECCIONAL VALLE DEL CA</t>
  </si>
  <si>
    <t xml:space="preserve">890303215</t>
  </si>
  <si>
    <t xml:space="preserve">FCE136164</t>
  </si>
  <si>
    <t xml:space="preserve">001-FSC-00011524</t>
  </si>
  <si>
    <t xml:space="preserve">7766</t>
  </si>
  <si>
    <t xml:space="preserve">FCE136173</t>
  </si>
  <si>
    <t xml:space="preserve">001-FSC-00011520</t>
  </si>
  <si>
    <t xml:space="preserve">7764</t>
  </si>
  <si>
    <t xml:space="preserve">FCE136174</t>
  </si>
  <si>
    <t xml:space="preserve">23359501 OTROS; 23654002 COMPRAS GENERALES 2,5%; 23680203 DEMAS ACTIVIDADES SERVICIOS 10 X 1000; 24081513 IVA TRANSITORIO SERVICIOS 19%</t>
  </si>
  <si>
    <t xml:space="preserve">IVA: 5,700,000.00 | Retenciones (crédito): 1,050,000.00 | Gasto/otros: No disponible (líneas fuera del archivo exportado)</t>
  </si>
  <si>
    <t xml:space="preserve">001-FSC-00011521</t>
  </si>
  <si>
    <t xml:space="preserve">7765, 8378, 9209, 11317</t>
  </si>
  <si>
    <t xml:space="preserve">NCE3248</t>
  </si>
  <si>
    <t xml:space="preserve">001-NT-00012672</t>
  </si>
  <si>
    <t xml:space="preserve">7767</t>
  </si>
  <si>
    <t xml:space="preserve">FERNANDEZ CABAL GLORIA ISABEL</t>
  </si>
  <si>
    <t xml:space="preserve">31886310</t>
  </si>
  <si>
    <t xml:space="preserve">NDSE1697</t>
  </si>
  <si>
    <t xml:space="preserve">001-DSE-00001697</t>
  </si>
  <si>
    <t xml:space="preserve">7470</t>
  </si>
  <si>
    <t xml:space="preserve">FERREUNIVERSAL DEL VALLE SAS</t>
  </si>
  <si>
    <t xml:space="preserve">805024690</t>
  </si>
  <si>
    <t xml:space="preserve">2FE2744</t>
  </si>
  <si>
    <t xml:space="preserve">IVA: 30,400.00 | Retenciones (crédito): 0.00 | Gasto/otros: No disponible (líneas fuera del archivo exportado)</t>
  </si>
  <si>
    <t xml:space="preserve">001-FSC-00011413</t>
  </si>
  <si>
    <t xml:space="preserve">7656, 11101</t>
  </si>
  <si>
    <t xml:space="preserve">FERROTORNILLOS ARLEX S.A.S.</t>
  </si>
  <si>
    <t xml:space="preserve">901042248</t>
  </si>
  <si>
    <t xml:space="preserve">FE27158</t>
  </si>
  <si>
    <t xml:space="preserve">FE27171</t>
  </si>
  <si>
    <t xml:space="preserve">FE27240</t>
  </si>
  <si>
    <t xml:space="preserve">FE27246</t>
  </si>
  <si>
    <t xml:space="preserve">23359501 OTROS; 23654002 COMPRAS GENERALES 2,5%; 23680302 DEMAS ACTIVIDADES COMERCIALES 7,7 X 1000; 24081510 IVA TRANSITORIO COMPRAS 19%</t>
  </si>
  <si>
    <t xml:space="preserve">IVA: 476,437.00 | Retenciones (crédito): 81,997.00 | Gasto/otros: No disponible (líneas fuera del archivo exportado)</t>
  </si>
  <si>
    <t xml:space="preserve">001-FSC-00011437</t>
  </si>
  <si>
    <t xml:space="preserve">7918, 8399, 9275, 11170</t>
  </si>
  <si>
    <t xml:space="preserve">FE27249</t>
  </si>
  <si>
    <t xml:space="preserve">FLOREZ ROJAS MAYRA ALEJANDRA</t>
  </si>
  <si>
    <t xml:space="preserve">1085947221</t>
  </si>
  <si>
    <t xml:space="preserve">FECM126</t>
  </si>
  <si>
    <t xml:space="preserve">FUTUROS HERMANOS SOCIEDAD POR ACCIONES SIMPLIFICADA</t>
  </si>
  <si>
    <t xml:space="preserve">900462205</t>
  </si>
  <si>
    <t xml:space="preserve">FUT98224</t>
  </si>
  <si>
    <t xml:space="preserve">001-FSC-00011562</t>
  </si>
  <si>
    <t xml:space="preserve">7873</t>
  </si>
  <si>
    <t xml:space="preserve">Faimedia e.u</t>
  </si>
  <si>
    <t xml:space="preserve">900218767</t>
  </si>
  <si>
    <t xml:space="preserve">FAI3801</t>
  </si>
  <si>
    <t xml:space="preserve">IVA: 285,000.00 | Retenciones (crédito): 75,000.00 | Gasto/otros: No disponible (líneas fuera del archivo exportado)</t>
  </si>
  <si>
    <t xml:space="preserve">001-FSC-00011368</t>
  </si>
  <si>
    <t xml:space="preserve">7858, 8262, 9214, 11433</t>
  </si>
  <si>
    <t xml:space="preserve">GASTRONOMÍA ITALIANA EN COLOMBIA S.A.S</t>
  </si>
  <si>
    <t xml:space="preserve">900934851</t>
  </si>
  <si>
    <t xml:space="preserve">CSFE279664</t>
  </si>
  <si>
    <t xml:space="preserve">IVA: 10,011.00 | Retenciones (crédito): 0.00 | Gasto/otros: No disponible (líneas fuera del archivo exportado)</t>
  </si>
  <si>
    <t xml:space="preserve">001-FSC-00011544</t>
  </si>
  <si>
    <t xml:space="preserve">7907, 11166</t>
  </si>
  <si>
    <t xml:space="preserve">GERMAN EDUARDO CONTRERAS OLIVEROS</t>
  </si>
  <si>
    <t xml:space="preserve">94331874</t>
  </si>
  <si>
    <t xml:space="preserve">FCPE4211</t>
  </si>
  <si>
    <t xml:space="preserve">IVA: 3,449.00 | Retenciones (crédito): 0.00 | Gasto/otros: No disponible (líneas fuera del archivo exportado)</t>
  </si>
  <si>
    <t xml:space="preserve">001-FSC-00011608</t>
  </si>
  <si>
    <t xml:space="preserve">8045, 11215</t>
  </si>
  <si>
    <t xml:space="preserve">GCPE3005</t>
  </si>
  <si>
    <t xml:space="preserve">IVA: 38,287.00 | Retenciones (crédito): 0.00 | Gasto/otros: No disponible (líneas fuera del archivo exportado)</t>
  </si>
  <si>
    <t xml:space="preserve">001-FSC-00011401</t>
  </si>
  <si>
    <t xml:space="preserve">8040, 11212</t>
  </si>
  <si>
    <t xml:space="preserve">GCPE3060</t>
  </si>
  <si>
    <t xml:space="preserve">IVA: 8,302.00 | Retenciones (crédito): 0.00 | Gasto/otros: No disponible (líneas fuera del archivo exportado)</t>
  </si>
  <si>
    <t xml:space="preserve">001-FSC-00011528</t>
  </si>
  <si>
    <t xml:space="preserve">8044, 11214</t>
  </si>
  <si>
    <t xml:space="preserve">GLORIA MERCEDES GUZMÁN RODRIGUEZ</t>
  </si>
  <si>
    <t xml:space="preserve">31532595</t>
  </si>
  <si>
    <t xml:space="preserve">FEGM929</t>
  </si>
  <si>
    <t xml:space="preserve">23352501 HONORARIOS; 51109501 OTROS</t>
  </si>
  <si>
    <t xml:space="preserve">Gastos: 2,000,000.00 | Retenciones (crédito): 0.00</t>
  </si>
  <si>
    <t xml:space="preserve">001-FSC-00011538</t>
  </si>
  <si>
    <t xml:space="preserve">7303, 16262</t>
  </si>
  <si>
    <t xml:space="preserve">GOMEZ CAMACHO MARIA DEL MAR</t>
  </si>
  <si>
    <t xml:space="preserve">1144066740</t>
  </si>
  <si>
    <t xml:space="preserve">NDSE1727</t>
  </si>
  <si>
    <t xml:space="preserve">23359501 OTROS; 23652506 SERVICIOS DE HOTEL Y RESTAURANTE 3.5%; 23680207 DEMAS ACTIVIDADES SERVICIOS 8.8 x 1000</t>
  </si>
  <si>
    <t xml:space="preserve">Retenciones (crédito): 93,892.00 | Gasto/otros: No disponible (líneas fuera del archivo exportado)</t>
  </si>
  <si>
    <t xml:space="preserve">001-DSE-00001727</t>
  </si>
  <si>
    <t xml:space="preserve">7398, 8206, 9239</t>
  </si>
  <si>
    <t xml:space="preserve">GORROS MAGICOS S.A.S.</t>
  </si>
  <si>
    <t xml:space="preserve">901641292</t>
  </si>
  <si>
    <t xml:space="preserve">FEC20037</t>
  </si>
  <si>
    <t xml:space="preserve">23359501 OTROS; 23654002 COMPRAS GENERALES 2,5%; 23680302 DEMAS ACTIVIDADES COMERCIALES 7,7 X 1000; 24081510 IVA TRANSITORIO COMPRAS 19%; 51055101 DOTACION Y SUMINISTRO A TRABAJADORES</t>
  </si>
  <si>
    <t xml:space="preserve">IVA: 1,021,849.00 | Gastos: 672,269.00 | Retenciones (crédito): 175,866.00 | Gasto/otros: No disponible (líneas fuera del archivo exportado)</t>
  </si>
  <si>
    <t xml:space="preserve">001-FSC-00011364</t>
  </si>
  <si>
    <t xml:space="preserve">8014, 8409, 9281, 11198, 16114</t>
  </si>
  <si>
    <t xml:space="preserve">FEC20038</t>
  </si>
  <si>
    <t xml:space="preserve">001-FSC-00011365</t>
  </si>
  <si>
    <t xml:space="preserve">8015, 8410, 9282, 11199, 16115</t>
  </si>
  <si>
    <t xml:space="preserve">NC2544</t>
  </si>
  <si>
    <t xml:space="preserve">001-NT-00012649</t>
  </si>
  <si>
    <t xml:space="preserve">8016, 8411, 9283, 11200, 16116</t>
  </si>
  <si>
    <t xml:space="preserve">GREEN SAS</t>
  </si>
  <si>
    <t xml:space="preserve">900316197</t>
  </si>
  <si>
    <t xml:space="preserve">709F250010</t>
  </si>
  <si>
    <t xml:space="preserve">001-FSC-00011508</t>
  </si>
  <si>
    <t xml:space="preserve">7869, 11438</t>
  </si>
  <si>
    <t xml:space="preserve">GRUPO GESTIÓN PRODUCTIVA ORGANIZACIONAL S.A.S.</t>
  </si>
  <si>
    <t xml:space="preserve">901177349</t>
  </si>
  <si>
    <t xml:space="preserve">FA1283</t>
  </si>
  <si>
    <t xml:space="preserve">23352501 HONORARIOS; 23652507 SERVICIOS GENERALES (DECLARANTES) 4%; 23680203 DEMAS ACTIVIDADES SERVICIOS 10 X 1000; 24081513 IVA TRANSITORIO SERVICIOS 19%</t>
  </si>
  <si>
    <t xml:space="preserve">IVA: 266,000.00 | Retenciones (crédito): 70,000.00 | Gasto/otros: No disponible (líneas fuera del archivo exportado)</t>
  </si>
  <si>
    <t xml:space="preserve">001-FSC-00011357</t>
  </si>
  <si>
    <t xml:space="preserve">7318, 8272, 9220, 11467</t>
  </si>
  <si>
    <t xml:space="preserve">GUERRERO PASCUAZA ANDRES FERNANDO</t>
  </si>
  <si>
    <t xml:space="preserve">98395931</t>
  </si>
  <si>
    <t xml:space="preserve">NDSE1732</t>
  </si>
  <si>
    <t xml:space="preserve">Retenciones (crédito): 21,250.00 | Gasto/otros: No disponible (líneas fuera del archivo exportado)</t>
  </si>
  <si>
    <t xml:space="preserve">001-DSE-00001732</t>
  </si>
  <si>
    <t xml:space="preserve">8064, 8420</t>
  </si>
  <si>
    <t xml:space="preserve">Grupo AZC S.A.S.</t>
  </si>
  <si>
    <t xml:space="preserve">900680284</t>
  </si>
  <si>
    <t xml:space="preserve">AZ104752</t>
  </si>
  <si>
    <t xml:space="preserve">23352501 HONORARIOS; 23651505 HONORARIOS 11%; 23680202 SERVIC DE CONSULTORIA PROFES 6,6 X 1000; 24081510 IVA TRANSITORIO COMPRAS 19%; 51102501 ASESORIA JURIDICA</t>
  </si>
  <si>
    <t xml:space="preserve">IVA: 645,387.00 | Gastos: 3,396,774.00 | Retenciones (crédito): 396,064.00</t>
  </si>
  <si>
    <t xml:space="preserve">001-FSC-00011370</t>
  </si>
  <si>
    <t xml:space="preserve">7312, 8164, 9179, 11158, 16228</t>
  </si>
  <si>
    <t xml:space="preserve">HDI SEGUROS COLOMBIA S.A.</t>
  </si>
  <si>
    <t xml:space="preserve">860039988</t>
  </si>
  <si>
    <t xml:space="preserve">FPO15013161</t>
  </si>
  <si>
    <t xml:space="preserve">FPO15013237</t>
  </si>
  <si>
    <t xml:space="preserve">FPO15071922</t>
  </si>
  <si>
    <t xml:space="preserve">IVA: 41,168.00 | Retenciones (crédito): 0.00 | Gasto/otros: No disponible (líneas fuera del archivo exportado)</t>
  </si>
  <si>
    <t xml:space="preserve">001-FSC-00011533</t>
  </si>
  <si>
    <t xml:space="preserve">7735, 11299</t>
  </si>
  <si>
    <t xml:space="preserve">FPO15090765</t>
  </si>
  <si>
    <t xml:space="preserve">NCFP2127294</t>
  </si>
  <si>
    <t xml:space="preserve">Un mismo comprobante del Journal coincide con varios documentos de la DIAN; no se puede agrupar sin duplicar valores.</t>
  </si>
  <si>
    <t xml:space="preserve">El mismo comprobante aparece cruzado con otros documentos DIAN: NCFP2127296.</t>
  </si>
  <si>
    <t xml:space="preserve">001-NT-00012678</t>
  </si>
  <si>
    <t xml:space="preserve">7736, 11300, 11301</t>
  </si>
  <si>
    <t xml:space="preserve">NCFP2127296</t>
  </si>
  <si>
    <t xml:space="preserve">El mismo comprobante aparece cruzado con otros documentos DIAN: NCFP2127294.</t>
  </si>
  <si>
    <t xml:space="preserve">HENAO MORILLO JESUS ABIECER</t>
  </si>
  <si>
    <t xml:space="preserve">98398237</t>
  </si>
  <si>
    <t xml:space="preserve">NDSE1723</t>
  </si>
  <si>
    <t xml:space="preserve">001-DSE-00001723</t>
  </si>
  <si>
    <t xml:space="preserve">8070</t>
  </si>
  <si>
    <t xml:space="preserve">HOTELES ESTELAR S.A.</t>
  </si>
  <si>
    <t xml:space="preserve">890304099</t>
  </si>
  <si>
    <t xml:space="preserve">E022106627</t>
  </si>
  <si>
    <t xml:space="preserve">23359501 OTROS; 23652506 SERVICIOS DE HOTEL Y RESTAURANTE 3.5%; 24081513 IVA TRANSITORIO SERVICIOS 19%</t>
  </si>
  <si>
    <t xml:space="preserve">IVA: 86,830.00 | Retenciones (crédito): 15,995.00 | Gasto/otros: No disponible (líneas fuera del archivo exportado)</t>
  </si>
  <si>
    <t xml:space="preserve">001-FSC-00011449</t>
  </si>
  <si>
    <t xml:space="preserve">7769, 8216, 11319</t>
  </si>
  <si>
    <t xml:space="preserve">E022106669</t>
  </si>
  <si>
    <t xml:space="preserve">IVA: 144,780.00 | Retenciones (crédito): 0.00 | Gasto/otros: No disponible (líneas fuera del archivo exportado)</t>
  </si>
  <si>
    <t xml:space="preserve">001-FSC-00011451</t>
  </si>
  <si>
    <t xml:space="preserve">7770, 11320</t>
  </si>
  <si>
    <t xml:space="preserve">HUSIEN IBRAHIM IYAD</t>
  </si>
  <si>
    <t xml:space="preserve">12978490</t>
  </si>
  <si>
    <t xml:space="preserve">HDS7959</t>
  </si>
  <si>
    <t xml:space="preserve">13309501 OTROS; 23359501 OTROS; 23652506 SERVICIOS DE HOTEL Y RESTAURANTE 3.5%; 24081513 IVA TRANSITORIO SERVICIOS 19%</t>
  </si>
  <si>
    <t xml:space="preserve">IVA: 242,050.00 | Otros conceptos: -1,595,500.00 | Retenciones (crédito): 106,470.00 | Gasto/otros: No disponible (líneas fuera del archivo exportado)</t>
  </si>
  <si>
    <t xml:space="preserve">001-FSC-00011387</t>
  </si>
  <si>
    <t xml:space="preserve">3313, 7410, 7411, 8208, 11229</t>
  </si>
  <si>
    <t xml:space="preserve">HDS7960</t>
  </si>
  <si>
    <t xml:space="preserve">001-FSC-00011523</t>
  </si>
  <si>
    <t xml:space="preserve">7412</t>
  </si>
  <si>
    <t xml:space="preserve">INGENIERIA ELECTRICA Y METALMECANICA IEM SAS</t>
  </si>
  <si>
    <t xml:space="preserve">901284765</t>
  </si>
  <si>
    <t xml:space="preserve">FACE1006</t>
  </si>
  <si>
    <t xml:space="preserve">23359501 OTROS; 23652507 SERVICIOS GENERALES (DECLARANTES) 4%; 24081513 IVA TRANSITORIO SERVICIOS 19%</t>
  </si>
  <si>
    <t xml:space="preserve">IVA: 28,500.00 | Retenciones (crédito): 6,000.00 | Gasto/otros: No disponible (líneas fuera del archivo exportado)</t>
  </si>
  <si>
    <t xml:space="preserve">001-FSC-00011570</t>
  </si>
  <si>
    <t xml:space="preserve">7949, 8274, 11473</t>
  </si>
  <si>
    <t xml:space="preserve">INTER RAPIDISIMO S.A</t>
  </si>
  <si>
    <t xml:space="preserve">800251569</t>
  </si>
  <si>
    <t xml:space="preserve">FE80234502</t>
  </si>
  <si>
    <t xml:space="preserve">FE81608547</t>
  </si>
  <si>
    <t xml:space="preserve">001-FSC-00011607</t>
  </si>
  <si>
    <t xml:space="preserve">7635</t>
  </si>
  <si>
    <t xml:space="preserve">FE81829569</t>
  </si>
  <si>
    <t xml:space="preserve">001-FSC-00011597</t>
  </si>
  <si>
    <t xml:space="preserve">7634</t>
  </si>
  <si>
    <t xml:space="preserve">INTERBARQUES ZONA FRANCA SAS</t>
  </si>
  <si>
    <t xml:space="preserve">900930835</t>
  </si>
  <si>
    <t xml:space="preserve">FEZF6588</t>
  </si>
  <si>
    <t xml:space="preserve">23359501 OTROS; 24081513 IVA TRANSITORIO SERVICIOS 19%; 26952001 PARA OPERACION; 23359501 OTROS; 26952001 PARA OPERACION</t>
  </si>
  <si>
    <t xml:space="preserve">IVA: 794,580.00 | Otros conceptos: 6,782,000.00 | Retenciones (crédito): 0.00</t>
  </si>
  <si>
    <t xml:space="preserve">Contabilizado en 2 comprobantes del Journal (001-FPI-00000480, 001-FPI-00000481); se sumaron todos.</t>
  </si>
  <si>
    <t xml:space="preserve">001-FPI-00000480, 001-FPI-00000481</t>
  </si>
  <si>
    <t xml:space="preserve">7902, 11454, 12547, 7903, 12549</t>
  </si>
  <si>
    <t xml:space="preserve">FEZF6589</t>
  </si>
  <si>
    <t xml:space="preserve">IVA: 413,820.00 | Otros conceptos: 3,478,000.00 | Retenciones (crédito): 0.00</t>
  </si>
  <si>
    <t xml:space="preserve">Contabilizado en 2 comprobantes del Journal (001-FPI-00000501, 001-FPI-00000502); se sumaron todos.</t>
  </si>
  <si>
    <t xml:space="preserve">001-FPI-00000501, 001-FPI-00000502</t>
  </si>
  <si>
    <t xml:space="preserve">7904, 11455, 12552, 7905, 12553</t>
  </si>
  <si>
    <t xml:space="preserve">INVERSIONES SERTB S.A.S</t>
  </si>
  <si>
    <t xml:space="preserve">900860366</t>
  </si>
  <si>
    <t xml:space="preserve">FE2I642346</t>
  </si>
  <si>
    <t xml:space="preserve">Ideas Impresión y Diseño S.A.S.</t>
  </si>
  <si>
    <t xml:space="preserve">805027722</t>
  </si>
  <si>
    <t xml:space="preserve">FE1602</t>
  </si>
  <si>
    <t xml:space="preserve">23359501 OTROS; 23670501 IVA RET. COMPRAS RC 15%; 24081510 IVA TRANSITORIO COMPRAS 19%</t>
  </si>
  <si>
    <t xml:space="preserve">IVA: 741,000.00 | Retenciones (crédito): 111,150.00 | Gasto/otros: No disponible (líneas fuera del archivo exportado)</t>
  </si>
  <si>
    <t xml:space="preserve">001-FSC-00011356</t>
  </si>
  <si>
    <t xml:space="preserve">7660, 9146, 11103</t>
  </si>
  <si>
    <t xml:space="preserve">FE1603</t>
  </si>
  <si>
    <t xml:space="preserve">IVA: 80,750.00 | Retenciones (crédito): 0.00 | Gasto/otros: No disponible (líneas fuera del archivo exportado)</t>
  </si>
  <si>
    <t xml:space="preserve">001-FSC-00011381</t>
  </si>
  <si>
    <t xml:space="preserve">7661, 11104</t>
  </si>
  <si>
    <t xml:space="preserve">FE1608</t>
  </si>
  <si>
    <t xml:space="preserve">IVA: 427,500.00 | Retenciones (crédito): 64,125.00 | Gasto/otros: No disponible (líneas fuera del archivo exportado)</t>
  </si>
  <si>
    <t xml:space="preserve">001-FSC-00011468</t>
  </si>
  <si>
    <t xml:space="preserve">7664, 9149, 11107</t>
  </si>
  <si>
    <t xml:space="preserve">FE1610</t>
  </si>
  <si>
    <t xml:space="preserve">IVA: 99,750.00 | Retenciones (crédito): 14,963.00 | Gasto/otros: No disponible (líneas fuera del archivo exportado)</t>
  </si>
  <si>
    <t xml:space="preserve">001-FSC-00011462</t>
  </si>
  <si>
    <t xml:space="preserve">7662, 9147, 11105</t>
  </si>
  <si>
    <t xml:space="preserve">FE1613</t>
  </si>
  <si>
    <t xml:space="preserve">IVA: 1,520,000.00 | Retenciones (crédito): 228,000.00 | Gasto/otros: No disponible (líneas fuera del archivo exportado)</t>
  </si>
  <si>
    <t xml:space="preserve">001-FSC-00011464</t>
  </si>
  <si>
    <t xml:space="preserve">7663, 9148, 11106</t>
  </si>
  <si>
    <t xml:space="preserve">JALED MOHAMAD  SHAYEB SHAYEB </t>
  </si>
  <si>
    <t xml:space="preserve">1085928334</t>
  </si>
  <si>
    <t xml:space="preserve">FETR2773</t>
  </si>
  <si>
    <t xml:space="preserve">001-FSC-00011440</t>
  </si>
  <si>
    <t xml:space="preserve">7380</t>
  </si>
  <si>
    <t xml:space="preserve">FETR2774</t>
  </si>
  <si>
    <t xml:space="preserve">FETR2775</t>
  </si>
  <si>
    <t xml:space="preserve">001-FSC-00011478</t>
  </si>
  <si>
    <t xml:space="preserve">7382</t>
  </si>
  <si>
    <t xml:space="preserve">JESUS ABIECER HENAO MORILLO</t>
  </si>
  <si>
    <t xml:space="preserve">FEA13328</t>
  </si>
  <si>
    <t xml:space="preserve">IVA: 72,452.00 | Retenciones (crédito): 0.00 | Gasto/otros: No disponible (líneas fuera del archivo exportado)</t>
  </si>
  <si>
    <t xml:space="preserve">001-FSC-00011391</t>
  </si>
  <si>
    <t xml:space="preserve">8067, 11506</t>
  </si>
  <si>
    <t xml:space="preserve">FEA13329</t>
  </si>
  <si>
    <t xml:space="preserve">IVA: 86,219.00 | Retenciones (crédito): 15,882.00 | Gasto/otros: No disponible (líneas fuera del archivo exportado)</t>
  </si>
  <si>
    <t xml:space="preserve">001-FSC-00011395</t>
  </si>
  <si>
    <t xml:space="preserve">8068, 8221, 11507</t>
  </si>
  <si>
    <t xml:space="preserve">NC2127</t>
  </si>
  <si>
    <t xml:space="preserve">001-NT-00012656</t>
  </si>
  <si>
    <t xml:space="preserve">8069, 11508</t>
  </si>
  <si>
    <t xml:space="preserve">JIANG  JIANPING</t>
  </si>
  <si>
    <t xml:space="preserve">700001614</t>
  </si>
  <si>
    <t xml:space="preserve">NDSE1716</t>
  </si>
  <si>
    <t xml:space="preserve">001-DSE-00001716</t>
  </si>
  <si>
    <t xml:space="preserve">7525</t>
  </si>
  <si>
    <t xml:space="preserve">NDSE1737</t>
  </si>
  <si>
    <t xml:space="preserve">001-DSE-00001737</t>
  </si>
  <si>
    <t xml:space="preserve">7527</t>
  </si>
  <si>
    <t xml:space="preserve">JILMA  AGUILAR CORONADO</t>
  </si>
  <si>
    <t xml:space="preserve">67038405</t>
  </si>
  <si>
    <t xml:space="preserve">HON130</t>
  </si>
  <si>
    <t xml:space="preserve">23359501 OTROS; 51102501 ASESORIA JURIDICA</t>
  </si>
  <si>
    <t xml:space="preserve">Gastos: 3,200,000.00 | Retenciones (crédito): 0.00</t>
  </si>
  <si>
    <t xml:space="preserve">001-FSC-00011537</t>
  </si>
  <si>
    <t xml:space="preserve">7523, 16225</t>
  </si>
  <si>
    <t xml:space="preserve">JOHNY EULALIO CABEZAS ORTIZ</t>
  </si>
  <si>
    <t xml:space="preserve">6645873</t>
  </si>
  <si>
    <t xml:space="preserve">POSF16862</t>
  </si>
  <si>
    <t xml:space="preserve">POSF16953</t>
  </si>
  <si>
    <t xml:space="preserve">POSF17075</t>
  </si>
  <si>
    <t xml:space="preserve">JORGE ARMANDO MENESES URBANO</t>
  </si>
  <si>
    <t xml:space="preserve">10305973</t>
  </si>
  <si>
    <t xml:space="preserve">NC1</t>
  </si>
  <si>
    <t xml:space="preserve">001-NT-00012660</t>
  </si>
  <si>
    <t xml:space="preserve">7378</t>
  </si>
  <si>
    <t xml:space="preserve">JOSE RITTER LOPEZ PEÑA</t>
  </si>
  <si>
    <t xml:space="preserve">16258486</t>
  </si>
  <si>
    <t xml:space="preserve">FEVR23677</t>
  </si>
  <si>
    <t xml:space="preserve">IVA: 1,497.00 | Retenciones (crédito): 0.00 | Gasto/otros: No disponible (líneas fuera del archivo exportado)</t>
  </si>
  <si>
    <t xml:space="preserve">001-FSC-00011540</t>
  </si>
  <si>
    <t xml:space="preserve">7416, 11231</t>
  </si>
  <si>
    <t xml:space="preserve">K RAMIREZ SAS</t>
  </si>
  <si>
    <t xml:space="preserve">901531447</t>
  </si>
  <si>
    <t xml:space="preserve">AZ348153</t>
  </si>
  <si>
    <t xml:space="preserve">23359501 OTROS; 51159502 IMPUESTO AL CONSUMO 8%</t>
  </si>
  <si>
    <t xml:space="preserve">Otros impuestos: 8,875.00 | Retenciones (crédito): 0.00 | Gasto/otros: No disponible (líneas fuera del archivo exportado)</t>
  </si>
  <si>
    <t xml:space="preserve">001-FSC-00011402</t>
  </si>
  <si>
    <t xml:space="preserve">7988, 16340</t>
  </si>
  <si>
    <t xml:space="preserve">BZ576934</t>
  </si>
  <si>
    <t xml:space="preserve">001-FSC-00011412</t>
  </si>
  <si>
    <t xml:space="preserve">7991</t>
  </si>
  <si>
    <t xml:space="preserve">BZ580232</t>
  </si>
  <si>
    <t xml:space="preserve">001-FSC-00011403</t>
  </si>
  <si>
    <t xml:space="preserve">7989</t>
  </si>
  <si>
    <t xml:space="preserve">BZ580904</t>
  </si>
  <si>
    <t xml:space="preserve">001-FSC-00011405</t>
  </si>
  <si>
    <t xml:space="preserve">7990</t>
  </si>
  <si>
    <t xml:space="preserve">BZ583280</t>
  </si>
  <si>
    <t xml:space="preserve">23359501 OTROS; 23359501 OTROS</t>
  </si>
  <si>
    <t xml:space="preserve">Contabilizado en 2 comprobantes del Journal (001-FSC-00011405, 001-FSC-00011513); se sumaron todos.</t>
  </si>
  <si>
    <t xml:space="preserve">001-FSC-00011405, 001-FSC-00011513</t>
  </si>
  <si>
    <t xml:space="preserve">7990, 7996</t>
  </si>
  <si>
    <t xml:space="preserve">BZ587766</t>
  </si>
  <si>
    <t xml:space="preserve">001-FSC-00011546</t>
  </si>
  <si>
    <t xml:space="preserve">7998</t>
  </si>
  <si>
    <t xml:space="preserve">BZ590593</t>
  </si>
  <si>
    <t xml:space="preserve">001-FSC-00011553</t>
  </si>
  <si>
    <t xml:space="preserve">7999</t>
  </si>
  <si>
    <t xml:space="preserve">BZ591133</t>
  </si>
  <si>
    <t xml:space="preserve">001-FSC-00011554</t>
  </si>
  <si>
    <t xml:space="preserve">8000</t>
  </si>
  <si>
    <t xml:space="preserve">KATHERINE NAVARRO CAMPO</t>
  </si>
  <si>
    <t xml:space="preserve">37577634</t>
  </si>
  <si>
    <t xml:space="preserve">FE196</t>
  </si>
  <si>
    <t xml:space="preserve">Retenciones (crédito): 45,450.00 | Gasto/otros: No disponible (líneas fuera del archivo exportado)</t>
  </si>
  <si>
    <t xml:space="preserve">001-FSC-00011575</t>
  </si>
  <si>
    <t xml:space="preserve">7481, 8349</t>
  </si>
  <si>
    <t xml:space="preserve">FE197</t>
  </si>
  <si>
    <t xml:space="preserve">13300501 A PROVEEDORES NACIONALES; 23359501 OTROS; 23654002 COMPRAS GENERALES 2,5%</t>
  </si>
  <si>
    <t xml:space="preserve">Otros conceptos: -408,525.00 | Retenciones (crédito): 20,950.00 | Gasto/otros: No disponible (líneas fuera del archivo exportado)</t>
  </si>
  <si>
    <t xml:space="preserve">001-FSC-00011469</t>
  </si>
  <si>
    <t xml:space="preserve">3144, 7479, 7480, 8348</t>
  </si>
  <si>
    <t xml:space="preserve">NC13</t>
  </si>
  <si>
    <t xml:space="preserve">001-NT-00012688</t>
  </si>
  <si>
    <t xml:space="preserve">7482, 8350</t>
  </si>
  <si>
    <t xml:space="preserve">LABORATORIO CLINICO COLMEDICOS IPS SAS</t>
  </si>
  <si>
    <t xml:space="preserve">800049104</t>
  </si>
  <si>
    <t xml:space="preserve">FCE52404</t>
  </si>
  <si>
    <t xml:space="preserve">23359501 OTROS; 23652511 SERVICIOS INT. SALUD IPS 2%; 51058401 GASTOS MEDICOS Y DROGAS</t>
  </si>
  <si>
    <t xml:space="preserve">Gastos: 31,300.00 | Retenciones (crédito): 1,686.00 | Gasto/otros: No disponible (líneas fuera del archivo exportado)</t>
  </si>
  <si>
    <t xml:space="preserve">001-FSC-00011457</t>
  </si>
  <si>
    <t xml:space="preserve">7556, 8311, 16187</t>
  </si>
  <si>
    <t xml:space="preserve">LATINOAMÉRICA HOSTING S.A.S.</t>
  </si>
  <si>
    <t xml:space="preserve">901152321</t>
  </si>
  <si>
    <t xml:space="preserve">FE79081</t>
  </si>
  <si>
    <t xml:space="preserve">LOPEZ INFANTE PAOLA ANDREA</t>
  </si>
  <si>
    <t xml:space="preserve">29116346</t>
  </si>
  <si>
    <t xml:space="preserve">NDSE1702</t>
  </si>
  <si>
    <t xml:space="preserve">Retenciones (crédito): 882,900.00 | Gasto/otros: No disponible (líneas fuera del archivo exportado)</t>
  </si>
  <si>
    <t xml:space="preserve">001-DSE-00001702</t>
  </si>
  <si>
    <t xml:space="preserve">7198, 8341, 9258</t>
  </si>
  <si>
    <t xml:space="preserve">LOPEZ TORRES SULAY</t>
  </si>
  <si>
    <t xml:space="preserve">31579867</t>
  </si>
  <si>
    <t xml:space="preserve">NDSE1696</t>
  </si>
  <si>
    <t xml:space="preserve">001-DSE-00001696</t>
  </si>
  <si>
    <t xml:space="preserve">7467</t>
  </si>
  <si>
    <t xml:space="preserve">LUIS FERNANDO MENA SALDARRIAGA</t>
  </si>
  <si>
    <t xml:space="preserve">16591962</t>
  </si>
  <si>
    <t xml:space="preserve">FE54</t>
  </si>
  <si>
    <t xml:space="preserve">23359501 OTROS; 23651505 HONORARIOS 11%</t>
  </si>
  <si>
    <t xml:space="preserve">Retenciones (crédito): 440,000.00 | Gasto/otros: No disponible (líneas fuera del archivo exportado)</t>
  </si>
  <si>
    <t xml:space="preserve">001-FSC-00011374</t>
  </si>
  <si>
    <t xml:space="preserve">7429, 8140</t>
  </si>
  <si>
    <t xml:space="preserve">FE55</t>
  </si>
  <si>
    <t xml:space="preserve">23359501 OTROS; 23651505 HONORARIOS 11%; 51109501 OTROS</t>
  </si>
  <si>
    <t xml:space="preserve">Gastos: 17,000,000.00 | Retenciones (crédito): 1,870,000.00 | Gasto/otros: No disponible (líneas fuera del archivo exportado)</t>
  </si>
  <si>
    <t xml:space="preserve">001-FSC-00011375</t>
  </si>
  <si>
    <t xml:space="preserve">7430, 8141, 16257</t>
  </si>
  <si>
    <t xml:space="preserve">FE56</t>
  </si>
  <si>
    <t xml:space="preserve">Gastos: 2,379,000.00 | Retenciones (crédito): 261,690.00 | Gasto/otros: No disponible (líneas fuera del archivo exportado)</t>
  </si>
  <si>
    <t xml:space="preserve">001-FSC-00011545</t>
  </si>
  <si>
    <t xml:space="preserve">7434, 8142, 16258</t>
  </si>
  <si>
    <t xml:space="preserve">MAKRO SUPERMAYORISTA S.A.S</t>
  </si>
  <si>
    <t xml:space="preserve">900059238</t>
  </si>
  <si>
    <t xml:space="preserve">13FT116717067</t>
  </si>
  <si>
    <t xml:space="preserve">IVA: 53,039.00 | Retenciones (crédito): 0.00 | Gasto/otros: No disponible (líneas fuera del archivo exportado)</t>
  </si>
  <si>
    <t xml:space="preserve">001-FSC-00011599</t>
  </si>
  <si>
    <t xml:space="preserve">7838, 11135</t>
  </si>
  <si>
    <t xml:space="preserve">MANISOL S.A.S</t>
  </si>
  <si>
    <t xml:space="preserve">890801339</t>
  </si>
  <si>
    <t xml:space="preserve">C30630433</t>
  </si>
  <si>
    <t xml:space="preserve">T30653129</t>
  </si>
  <si>
    <t xml:space="preserve">23359501 OTROS; 24081510 IVA TRANSITORIO COMPRAS 19%; 51055101 DOTACION Y SUMINISTRO A TRABAJADORES</t>
  </si>
  <si>
    <t xml:space="preserve">IVA: 367,020.00 | Gastos: 227,257.00 | Retenciones (crédito): 0.00 | Gasto/otros: No disponible (líneas fuera del archivo exportado)</t>
  </si>
  <si>
    <t xml:space="preserve">001-FSC-00011458</t>
  </si>
  <si>
    <t xml:space="preserve">7820, 11129, 16107</t>
  </si>
  <si>
    <t xml:space="preserve">T30653416</t>
  </si>
  <si>
    <t xml:space="preserve">MARTHA LILIANA PINEDA MARTINEZ -</t>
  </si>
  <si>
    <t xml:space="preserve">1116236400</t>
  </si>
  <si>
    <t xml:space="preserve">FE9594</t>
  </si>
  <si>
    <t xml:space="preserve">MASSER S A S</t>
  </si>
  <si>
    <t xml:space="preserve">900491889</t>
  </si>
  <si>
    <t xml:space="preserve">KO52445476</t>
  </si>
  <si>
    <t xml:space="preserve">001-FSC-00011585</t>
  </si>
  <si>
    <t xml:space="preserve">7879</t>
  </si>
  <si>
    <t xml:space="preserve">KO53494633</t>
  </si>
  <si>
    <t xml:space="preserve">MEDIVALLE SF SAS</t>
  </si>
  <si>
    <t xml:space="preserve">900517932</t>
  </si>
  <si>
    <t xml:space="preserve">MVFE96021</t>
  </si>
  <si>
    <t xml:space="preserve">15889001 PROPIEDAD PLANTA Y EQUIPO EN TRANSITO; 23359501 OTROS; 23654002 COMPRAS GENERALES 2,5%; 23680302 DEMAS ACTIVIDADES COMERCIALES 7,7 X 1000</t>
  </si>
  <si>
    <t xml:space="preserve">Inventarios/activos: 2,600,000.00 | Retenciones (crédito): 85,020.00</t>
  </si>
  <si>
    <t xml:space="preserve">001-FSC-00011502</t>
  </si>
  <si>
    <t xml:space="preserve">7102, 7884, 8392, 9271</t>
  </si>
  <si>
    <t xml:space="preserve">MVFE96024</t>
  </si>
  <si>
    <t xml:space="preserve">Inventarios/activos: 1,540,000.00 | Retenciones (crédito): 50,358.00</t>
  </si>
  <si>
    <t xml:space="preserve">001-FSC-00011501</t>
  </si>
  <si>
    <t xml:space="preserve">7101, 7883, 8391, 9270</t>
  </si>
  <si>
    <t xml:space="preserve">MENA SALDARRIAGA CARLOS ALFONSO</t>
  </si>
  <si>
    <t xml:space="preserve">16601539</t>
  </si>
  <si>
    <t xml:space="preserve">NDSE1735</t>
  </si>
  <si>
    <t xml:space="preserve">130505 NACIONALES; 23359501 OTROS</t>
  </si>
  <si>
    <t xml:space="preserve">Otros conceptos: -71,987.00 | Retenciones (crédito): 0.00 | Gasto/otros: No disponible (líneas fuera del archivo exportado)</t>
  </si>
  <si>
    <t xml:space="preserve">001-DSE-00001735</t>
  </si>
  <si>
    <t xml:space="preserve">1768, 7437, 7438</t>
  </si>
  <si>
    <t xml:space="preserve">MERCAMIO SA</t>
  </si>
  <si>
    <t xml:space="preserve">900061224</t>
  </si>
  <si>
    <t xml:space="preserve">4U26641</t>
  </si>
  <si>
    <t xml:space="preserve">23359502 CUENTA PUENTE CAJA MENOR; 24081510 IVA TRANSITORIO COMPRAS 19%; 24081511 IVA TRANSITORIO COMPRAS 5%</t>
  </si>
  <si>
    <t xml:space="preserve">IVA: 42,373.00 | Retenciones (crédito): 0.00 | Gasto/otros: No disponible (líneas fuera del archivo exportado)</t>
  </si>
  <si>
    <t xml:space="preserve">001-FSC-00011584</t>
  </si>
  <si>
    <t xml:space="preserve">8088, 11137, 11221</t>
  </si>
  <si>
    <t xml:space="preserve">MIGAN CAPITAL SAS</t>
  </si>
  <si>
    <t xml:space="preserve">900872767</t>
  </si>
  <si>
    <t xml:space="preserve">13SX275973</t>
  </si>
  <si>
    <t xml:space="preserve">001-FSC-00011504</t>
  </si>
  <si>
    <t xml:space="preserve">7898</t>
  </si>
  <si>
    <t xml:space="preserve">13SX280570</t>
  </si>
  <si>
    <t xml:space="preserve">001-FSC-00011600</t>
  </si>
  <si>
    <t xml:space="preserve">7900</t>
  </si>
  <si>
    <t xml:space="preserve">MIGUEL ALEJANDRO CHAVARRO TORRES</t>
  </si>
  <si>
    <t xml:space="preserve">16897793</t>
  </si>
  <si>
    <t xml:space="preserve">FEM1024</t>
  </si>
  <si>
    <t xml:space="preserve">MIGUEL ANGEL CHIMACHANA MARTINEZ</t>
  </si>
  <si>
    <t xml:space="preserve">94044342</t>
  </si>
  <si>
    <t xml:space="preserve">FE11171</t>
  </si>
  <si>
    <t xml:space="preserve">IVA: 29,699.00 | Retenciones (crédito): 0.00 | Gasto/otros: No disponible (líneas fuera del archivo exportado)</t>
  </si>
  <si>
    <t xml:space="preserve">001-FSC-00011531</t>
  </si>
  <si>
    <t xml:space="preserve">8038, 11210</t>
  </si>
  <si>
    <t xml:space="preserve">MUNOZ HERRERA EDISON</t>
  </si>
  <si>
    <t xml:space="preserve">94431867</t>
  </si>
  <si>
    <t xml:space="preserve">NDSE1718</t>
  </si>
  <si>
    <t xml:space="preserve">001-DSE-00001718</t>
  </si>
  <si>
    <t xml:space="preserve">8050</t>
  </si>
  <si>
    <t xml:space="preserve">NARVAEZ C SAS</t>
  </si>
  <si>
    <t xml:space="preserve">901321067</t>
  </si>
  <si>
    <t xml:space="preserve">FEV14492</t>
  </si>
  <si>
    <t xml:space="preserve">001-FSC-00011441</t>
  </si>
  <si>
    <t xml:space="preserve">7955</t>
  </si>
  <si>
    <t xml:space="preserve">FEV14493</t>
  </si>
  <si>
    <t xml:space="preserve">23359501 OTROS; 23359501 OTROS; 23359501 OTROS</t>
  </si>
  <si>
    <t xml:space="preserve">Contabilizado en 3 comprobantes del Journal (001-FSC-00011439, 001-FSC-00011441, 001-FSC-00011472); se sumaron todos.</t>
  </si>
  <si>
    <t xml:space="preserve">001-FSC-00011439, 001-FSC-00011441, 001-FSC-00011472</t>
  </si>
  <si>
    <t xml:space="preserve">7954, 7955, 7960</t>
  </si>
  <si>
    <t xml:space="preserve">FEV14557</t>
  </si>
  <si>
    <t xml:space="preserve">001-FSC-00011473</t>
  </si>
  <si>
    <t xml:space="preserve">7961</t>
  </si>
  <si>
    <t xml:space="preserve">FEV14558</t>
  </si>
  <si>
    <t xml:space="preserve">001-FSC-00011445</t>
  </si>
  <si>
    <t xml:space="preserve">7956</t>
  </si>
  <si>
    <t xml:space="preserve">FEV14559</t>
  </si>
  <si>
    <t xml:space="preserve">FEV14590</t>
  </si>
  <si>
    <t xml:space="preserve">FEV14591</t>
  </si>
  <si>
    <t xml:space="preserve">001-FSC-00011474</t>
  </si>
  <si>
    <t xml:space="preserve">7962</t>
  </si>
  <si>
    <t xml:space="preserve">FEV14592</t>
  </si>
  <si>
    <t xml:space="preserve">FEV14644</t>
  </si>
  <si>
    <t xml:space="preserve">001-FSC-00011475</t>
  </si>
  <si>
    <t xml:space="preserve">7963</t>
  </si>
  <si>
    <t xml:space="preserve">NEXO REDES Y TECNOLOGÍA S.A.S.</t>
  </si>
  <si>
    <t xml:space="preserve">901635332</t>
  </si>
  <si>
    <t xml:space="preserve">FENX3552</t>
  </si>
  <si>
    <t xml:space="preserve">IVA: 17,563.00 | Retenciones (crédito): 0.00 | Gasto/otros: No disponible (líneas fuera del archivo exportado)</t>
  </si>
  <si>
    <t xml:space="preserve">001-FSC-00011352</t>
  </si>
  <si>
    <t xml:space="preserve">8012, 11489</t>
  </si>
  <si>
    <t xml:space="preserve">ONCEDIECISIETE S.A.S.</t>
  </si>
  <si>
    <t xml:space="preserve">900156094</t>
  </si>
  <si>
    <t xml:space="preserve">ON383</t>
  </si>
  <si>
    <t xml:space="preserve">23359501 OTROS; 23651505 HONORARIOS 11%; 23680202 SERVIC DE CONSULTORIA PROFES 6,6 X 1000; 24081513 IVA TRANSITORIO SERVICIOS 19%; 51109501 OTROS</t>
  </si>
  <si>
    <t xml:space="preserve">IVA: 760,000.00 | Gastos: 4,000,000.00 | Retenciones (crédito): 466,400.00</t>
  </si>
  <si>
    <t xml:space="preserve">001-FSC-00011525</t>
  </si>
  <si>
    <t xml:space="preserve">7841, 8161, 9176, 11428, 16270</t>
  </si>
  <si>
    <t xml:space="preserve">OPERADORES DE ESTACIONES DE SERVICIO LTDA.</t>
  </si>
  <si>
    <t xml:space="preserve">900156095</t>
  </si>
  <si>
    <t xml:space="preserve">CA018544</t>
  </si>
  <si>
    <t xml:space="preserve">EL018029</t>
  </si>
  <si>
    <t xml:space="preserve">23359501 OTROS; 23654005 COMPRAS COMBUSTIBLE 0,1%</t>
  </si>
  <si>
    <t xml:space="preserve">Retenciones (crédito): 438.00 | Gasto/otros: No disponible (líneas fuera del archivo exportado)</t>
  </si>
  <si>
    <t xml:space="preserve">001-FSC-00011346</t>
  </si>
  <si>
    <t xml:space="preserve">7845, 8434</t>
  </si>
  <si>
    <t xml:space="preserve">EL018092</t>
  </si>
  <si>
    <t xml:space="preserve">Retenciones (crédito): 598.00 | Gasto/otros: No disponible (líneas fuera del archivo exportado)</t>
  </si>
  <si>
    <t xml:space="preserve">001-FSC-00011463</t>
  </si>
  <si>
    <t xml:space="preserve">7846, 8435</t>
  </si>
  <si>
    <t xml:space="preserve">OPERLOG COLOMBIA SAS</t>
  </si>
  <si>
    <t xml:space="preserve">900702986</t>
  </si>
  <si>
    <t xml:space="preserve">OP11114</t>
  </si>
  <si>
    <t xml:space="preserve">23354501 TRANSPORTES, FLETES Y ACARREOS; 23652501 TRANSPORTE 1%</t>
  </si>
  <si>
    <t xml:space="preserve">Retenciones (crédito): 1,926.00 | Gasto/otros: No disponible (líneas fuera del archivo exportado)</t>
  </si>
  <si>
    <t xml:space="preserve">001-FSC-00011574</t>
  </si>
  <si>
    <t xml:space="preserve">7360, 8190</t>
  </si>
  <si>
    <t xml:space="preserve">OPG SECOEX SAS</t>
  </si>
  <si>
    <t xml:space="preserve">901676800</t>
  </si>
  <si>
    <t xml:space="preserve">SX3205</t>
  </si>
  <si>
    <t xml:space="preserve">23359501 OTROS; 23670501 IVA RET. COMPRAS RC 15%; 24081513 IVA TRANSITORIO SERVICIOS 19%</t>
  </si>
  <si>
    <t xml:space="preserve">IVA: 41,800.00 | Retenciones (crédito): 6,270.00 | Gasto/otros: No disponible (líneas fuera del archivo exportado)</t>
  </si>
  <si>
    <t xml:space="preserve">001-FSC-00011371</t>
  </si>
  <si>
    <t xml:space="preserve">8020, 9153, 11491</t>
  </si>
  <si>
    <t xml:space="preserve">SX3245</t>
  </si>
  <si>
    <t xml:space="preserve">001-FSC-00011418</t>
  </si>
  <si>
    <t xml:space="preserve">8022, 9154, 11492</t>
  </si>
  <si>
    <t xml:space="preserve">ORDOÑEZ RODRIGUEZ ALEX FERNANDO</t>
  </si>
  <si>
    <t xml:space="preserve">1130674917</t>
  </si>
  <si>
    <t xml:space="preserve">FVAL1424</t>
  </si>
  <si>
    <t xml:space="preserve">FVAL1481</t>
  </si>
  <si>
    <t xml:space="preserve">ORGANIZACION MEDICO ODONTOLOGICA NACIONAL INTEGRADA S.A.</t>
  </si>
  <si>
    <t xml:space="preserve">811037385</t>
  </si>
  <si>
    <t xml:space="preserve">ECC52144</t>
  </si>
  <si>
    <t xml:space="preserve">Gastos: 139,500.00 | Retenciones (crédito): 2,790.00</t>
  </si>
  <si>
    <t xml:space="preserve">001-FSC-00011377</t>
  </si>
  <si>
    <t xml:space="preserve">7671, 8315, 16194</t>
  </si>
  <si>
    <t xml:space="preserve">ECC52842</t>
  </si>
  <si>
    <t xml:space="preserve">Gastos: 4,650,300.00 | Retenciones (crédito): 93,006.00</t>
  </si>
  <si>
    <t xml:space="preserve">001-FSC-00011465</t>
  </si>
  <si>
    <t xml:space="preserve">7672, 8316, 16195</t>
  </si>
  <si>
    <t xml:space="preserve">OSORIO PEREZ JOHN BAIRO</t>
  </si>
  <si>
    <t xml:space="preserve">94515540</t>
  </si>
  <si>
    <t xml:space="preserve">NDSE1701</t>
  </si>
  <si>
    <t xml:space="preserve">001-DSE-00001701</t>
  </si>
  <si>
    <t xml:space="preserve">8057</t>
  </si>
  <si>
    <t xml:space="preserve">NDSE1717</t>
  </si>
  <si>
    <t xml:space="preserve">001-DSE-00001717</t>
  </si>
  <si>
    <t xml:space="preserve">8058, 8284, 9230</t>
  </si>
  <si>
    <t xml:space="preserve">OURO CONSULTORIA S.A.S</t>
  </si>
  <si>
    <t xml:space="preserve">901572994</t>
  </si>
  <si>
    <t xml:space="preserve">OBI364</t>
  </si>
  <si>
    <t xml:space="preserve">23359501 OTROS; 23651505 HONORARIOS 11%; 24081513 IVA TRANSITORIO SERVICIOS 19%; 51102501 ASESORIA JURIDICA</t>
  </si>
  <si>
    <t xml:space="preserve">IVA: 475,000.00 | Gastos: 2,500,000.00 | Retenciones (crédito): 275,000.00</t>
  </si>
  <si>
    <t xml:space="preserve">001-FSC-00011388</t>
  </si>
  <si>
    <t xml:space="preserve">8005, 8170, 11484, 16230</t>
  </si>
  <si>
    <t xml:space="preserve">PAEZ MARTINEZ REMIGIO</t>
  </si>
  <si>
    <t xml:space="preserve">11510149</t>
  </si>
  <si>
    <t xml:space="preserve">NDSE1720</t>
  </si>
  <si>
    <t xml:space="preserve">001-DSE-00001720</t>
  </si>
  <si>
    <t xml:space="preserve">7406</t>
  </si>
  <si>
    <t xml:space="preserve">PAGOS AUTOMATICOS DE COLOMBIA SAS</t>
  </si>
  <si>
    <t xml:space="preserve">901294241</t>
  </si>
  <si>
    <t xml:space="preserve">FEV113265090</t>
  </si>
  <si>
    <t xml:space="preserve">FEVH239729</t>
  </si>
  <si>
    <t xml:space="preserve">FEVH240068</t>
  </si>
  <si>
    <t xml:space="preserve">FEVH240309</t>
  </si>
  <si>
    <t xml:space="preserve">FEVH241893</t>
  </si>
  <si>
    <t xml:space="preserve">FEVH242096</t>
  </si>
  <si>
    <t xml:space="preserve">FEVH242213</t>
  </si>
  <si>
    <t xml:space="preserve">FEVH244585</t>
  </si>
  <si>
    <t xml:space="preserve">FEVH245236</t>
  </si>
  <si>
    <t xml:space="preserve">FVEW822859</t>
  </si>
  <si>
    <t xml:space="preserve">FVEW822860</t>
  </si>
  <si>
    <t xml:space="preserve">FVEW826196</t>
  </si>
  <si>
    <t xml:space="preserve">FVEW828757</t>
  </si>
  <si>
    <t xml:space="preserve">FVEW832598</t>
  </si>
  <si>
    <t xml:space="preserve">FVEW834255</t>
  </si>
  <si>
    <t xml:space="preserve">FVEW839056</t>
  </si>
  <si>
    <t xml:space="preserve">FVEW839573</t>
  </si>
  <si>
    <t xml:space="preserve">FVEW847615</t>
  </si>
  <si>
    <t xml:space="preserve">FVEW847707</t>
  </si>
  <si>
    <t xml:space="preserve">FVEW849327</t>
  </si>
  <si>
    <t xml:space="preserve">FVEW852238</t>
  </si>
  <si>
    <t xml:space="preserve">FVEW855899</t>
  </si>
  <si>
    <t xml:space="preserve">FVEW857462</t>
  </si>
  <si>
    <t xml:space="preserve">FVEW863746</t>
  </si>
  <si>
    <t xml:space="preserve">FVFN1639253</t>
  </si>
  <si>
    <t xml:space="preserve">PAPELERIA UNIVERSAL DISTRIBUIDORA SAS</t>
  </si>
  <si>
    <t xml:space="preserve">901160842</t>
  </si>
  <si>
    <t xml:space="preserve">1D317239</t>
  </si>
  <si>
    <t xml:space="preserve">IVA: 49,176.00 | Retenciones (crédito): 0.00 | Gasto/otros: No disponible (líneas fuera del archivo exportado)</t>
  </si>
  <si>
    <t xml:space="preserve">001-FSC-00011411</t>
  </si>
  <si>
    <t xml:space="preserve">7926, 11177</t>
  </si>
  <si>
    <t xml:space="preserve">1D327275</t>
  </si>
  <si>
    <t xml:space="preserve">001-FSC-00011603</t>
  </si>
  <si>
    <t xml:space="preserve">7929</t>
  </si>
  <si>
    <t xml:space="preserve">1D327276</t>
  </si>
  <si>
    <t xml:space="preserve">IVA: 4,215.00 | Retenciones (crédito): 0.00 | Gasto/otros: No disponible (líneas fuera del archivo exportado)</t>
  </si>
  <si>
    <t xml:space="preserve">001-FSC-00011604</t>
  </si>
  <si>
    <t xml:space="preserve">7930, 11179</t>
  </si>
  <si>
    <t xml:space="preserve">1D327277</t>
  </si>
  <si>
    <t xml:space="preserve">IVA: 4,418.00 | Retenciones (crédito): 0.00 | Gasto/otros: No disponible (líneas fuera del archivo exportado)</t>
  </si>
  <si>
    <t xml:space="preserve">001-FSC-00011605</t>
  </si>
  <si>
    <t xml:space="preserve">7931, 11180</t>
  </si>
  <si>
    <t xml:space="preserve">1D327278</t>
  </si>
  <si>
    <t xml:space="preserve">IVA: 3,856.00 | Retenciones (crédito): 0.00 | Gasto/otros: No disponible (líneas fuera del archivo exportado)</t>
  </si>
  <si>
    <t xml:space="preserve">001-FSC-00011606</t>
  </si>
  <si>
    <t xml:space="preserve">7932, 11181</t>
  </si>
  <si>
    <t xml:space="preserve">1D327279</t>
  </si>
  <si>
    <t xml:space="preserve">IVA: 2,850.00 | Retenciones (crédito): 0.00 | Gasto/otros: No disponible (líneas fuera del archivo exportado)</t>
  </si>
  <si>
    <t xml:space="preserve">001-FSC-00011602</t>
  </si>
  <si>
    <t xml:space="preserve">7928, 11178</t>
  </si>
  <si>
    <t xml:space="preserve">PERALTA PERALTA OLGA DORIS</t>
  </si>
  <si>
    <t xml:space="preserve">38241287</t>
  </si>
  <si>
    <t xml:space="preserve">FONC237</t>
  </si>
  <si>
    <t xml:space="preserve">001-FSC-00011489</t>
  </si>
  <si>
    <t xml:space="preserve">7484</t>
  </si>
  <si>
    <t xml:space="preserve">PEREZ LOAIZA ALVARO HUMBERTO</t>
  </si>
  <si>
    <t xml:space="preserve">79507659</t>
  </si>
  <si>
    <t xml:space="preserve">NDSE1711</t>
  </si>
  <si>
    <t xml:space="preserve">23359501 OTROS; 23652501 TRANSPORTE 1%; 23680201 SERVICIOS DE TRANSPORTE 3,3 X 1000</t>
  </si>
  <si>
    <t xml:space="preserve">Retenciones (crédito): 23,275.00 | Gasto/otros: No disponible (líneas fuera del archivo exportado)</t>
  </si>
  <si>
    <t xml:space="preserve">001-DSE-00001711</t>
  </si>
  <si>
    <t xml:space="preserve">7549, 8180, 9164</t>
  </si>
  <si>
    <t xml:space="preserve">PEREZ MALLARINO MABEL</t>
  </si>
  <si>
    <t xml:space="preserve">45515698</t>
  </si>
  <si>
    <t xml:space="preserve">NDSE1699</t>
  </si>
  <si>
    <t xml:space="preserve">23359501 OTROS; 51109501 OTROS</t>
  </si>
  <si>
    <t xml:space="preserve">Gastos: 2,300,000.00 | Retenciones (crédito): 0.00</t>
  </si>
  <si>
    <t xml:space="preserve">001-DSE-00001699</t>
  </si>
  <si>
    <t xml:space="preserve">7505, 16264</t>
  </si>
  <si>
    <t xml:space="preserve">NDSE1731</t>
  </si>
  <si>
    <t xml:space="preserve">23359501 OTROS; 51103501 ASESORIA TECNICA</t>
  </si>
  <si>
    <t xml:space="preserve">001-DSE-00001731</t>
  </si>
  <si>
    <t xml:space="preserve">7508, 16243</t>
  </si>
  <si>
    <t xml:space="preserve">PEREZ TELLEZ SUSANA</t>
  </si>
  <si>
    <t xml:space="preserve">1004959929</t>
  </si>
  <si>
    <t xml:space="preserve">NDSE1721</t>
  </si>
  <si>
    <t xml:space="preserve">001-DSE-00001721</t>
  </si>
  <si>
    <t xml:space="preserve">7366</t>
  </si>
  <si>
    <t xml:space="preserve">PEÑALOZA DULCEY CAROLINA</t>
  </si>
  <si>
    <t xml:space="preserve">1143842889</t>
  </si>
  <si>
    <t xml:space="preserve">NDSE1698</t>
  </si>
  <si>
    <t xml:space="preserve">001-DSE-00001698</t>
  </si>
  <si>
    <t xml:space="preserve">7393, 16253</t>
  </si>
  <si>
    <t xml:space="preserve">NDSE1730</t>
  </si>
  <si>
    <t xml:space="preserve">001-DSE-00001730</t>
  </si>
  <si>
    <t xml:space="preserve">7396, 16254</t>
  </si>
  <si>
    <t xml:space="preserve">PKF CABRERA INTERNACIONAL S.A. B.I.C</t>
  </si>
  <si>
    <t xml:space="preserve">805005846</t>
  </si>
  <si>
    <t xml:space="preserve">FCAB8643</t>
  </si>
  <si>
    <t xml:space="preserve">23352501 HONORARIOS; 23651505 HONORARIOS 11%; 23680202 SERVIC DE CONSULTORIA PROFES 6,6 X 1000; 24081513 IVA TRANSITORIO SERVICIOS 19%; 51101001 REVISORIA FISCAL</t>
  </si>
  <si>
    <t xml:space="preserve">IVA: 1,597,520.00 | Gastos: 8,408,000.00 | Retenciones (crédito): 980,373.00</t>
  </si>
  <si>
    <t xml:space="preserve">001-FSC-00011373</t>
  </si>
  <si>
    <t xml:space="preserve">7307, 8154, 9171, 11261, 16219</t>
  </si>
  <si>
    <t xml:space="preserve">PLANEAR INVERSIONES SAS</t>
  </si>
  <si>
    <t xml:space="preserve">901166056</t>
  </si>
  <si>
    <t xml:space="preserve">P1Y402707</t>
  </si>
  <si>
    <t xml:space="preserve">P2Y72417</t>
  </si>
  <si>
    <t xml:space="preserve">PNS HEALTH  HECTOR FABIO MARIN MIRANDA</t>
  </si>
  <si>
    <t xml:space="preserve">6466301</t>
  </si>
  <si>
    <t xml:space="preserve">FE26</t>
  </si>
  <si>
    <t xml:space="preserve">Otros conceptos: 12,666,650.00 | Retenciones (crédito): 316,666.00</t>
  </si>
  <si>
    <t xml:space="preserve">001-CC-00023120</t>
  </si>
  <si>
    <t xml:space="preserve">7201, 8352, 12570</t>
  </si>
  <si>
    <t xml:space="preserve">PORTILLA CASTILLO ANA JUDITH</t>
  </si>
  <si>
    <t xml:space="preserve">37003541</t>
  </si>
  <si>
    <t xml:space="preserve">NDSE1719</t>
  </si>
  <si>
    <t xml:space="preserve">001-DSE-00001719</t>
  </si>
  <si>
    <t xml:space="preserve">7473</t>
  </si>
  <si>
    <t xml:space="preserve">NDSE1722</t>
  </si>
  <si>
    <t xml:space="preserve">001-DSE-00001722</t>
  </si>
  <si>
    <t xml:space="preserve">7475</t>
  </si>
  <si>
    <t xml:space="preserve">PROMADERAS ANDRADE S.A.S.</t>
  </si>
  <si>
    <t xml:space="preserve">900196585</t>
  </si>
  <si>
    <t xml:space="preserve">FE1369</t>
  </si>
  <si>
    <t xml:space="preserve">23359501 OTROS; 23654002 COMPRAS GENERALES 2,5%; 24081511 IVA TRANSITORIO COMPRAS 5%</t>
  </si>
  <si>
    <t xml:space="preserve">IVA: 33,750.00 | Retenciones (crédito): 16,875.00 | Gasto/otros: No disponible (líneas fuera del archivo exportado)</t>
  </si>
  <si>
    <t xml:space="preserve">001-FSC-00011500</t>
  </si>
  <si>
    <t xml:space="preserve">7856, 8386, 11223</t>
  </si>
  <si>
    <t xml:space="preserve">PROSEGTEC SAS</t>
  </si>
  <si>
    <t xml:space="preserve">901951356</t>
  </si>
  <si>
    <t xml:space="preserve">PST8875</t>
  </si>
  <si>
    <t xml:space="preserve">IVA: 47,404.00 | Retenciones (crédito): 0.00 | Gasto/otros: No disponible (líneas fuera del archivo exportado)</t>
  </si>
  <si>
    <t xml:space="preserve">001-FSC-00011568</t>
  </si>
  <si>
    <t xml:space="preserve">8035, 11499</t>
  </si>
  <si>
    <t xml:space="preserve">QUALITY GROUP SERVICES SAS</t>
  </si>
  <si>
    <t xml:space="preserve">900183423</t>
  </si>
  <si>
    <t xml:space="preserve">FEV42522</t>
  </si>
  <si>
    <t xml:space="preserve">23354001 ARRENDAMIENTOS; 24081513 IVA TRANSITORIO SERVICIOS 19%; 51202001 EQUIPO DE OFICINA</t>
  </si>
  <si>
    <t xml:space="preserve">IVA: 50,313.00 | Gastos: 264,804.00 | Retenciones (crédito): 0.00</t>
  </si>
  <si>
    <t xml:space="preserve">001-FSC-00011569</t>
  </si>
  <si>
    <t xml:space="preserve">7327, 11431, 16356</t>
  </si>
  <si>
    <t xml:space="preserve">QUINTERO LOPEZ JORGE ANDRES</t>
  </si>
  <si>
    <t xml:space="preserve">14590630</t>
  </si>
  <si>
    <t xml:space="preserve">NDSE1712</t>
  </si>
  <si>
    <t xml:space="preserve">001-DSE-00001712</t>
  </si>
  <si>
    <t xml:space="preserve">8078</t>
  </si>
  <si>
    <t xml:space="preserve">NDSE1726</t>
  </si>
  <si>
    <t xml:space="preserve">001-DSE-00001726</t>
  </si>
  <si>
    <t xml:space="preserve">8080</t>
  </si>
  <si>
    <t xml:space="preserve">RIVERA MONTOYA SAS</t>
  </si>
  <si>
    <t xml:space="preserve">901231302</t>
  </si>
  <si>
    <t xml:space="preserve">FA45510</t>
  </si>
  <si>
    <t xml:space="preserve">IVA: 6,386.00 | Retenciones (crédito): 0.00 | Gasto/otros: No disponible (líneas fuera del archivo exportado)</t>
  </si>
  <si>
    <t xml:space="preserve">001-FSC-00011598</t>
  </si>
  <si>
    <t xml:space="preserve">7941, 11469</t>
  </si>
  <si>
    <t xml:space="preserve">SALERNITANO SAS</t>
  </si>
  <si>
    <t xml:space="preserve">901686515</t>
  </si>
  <si>
    <t xml:space="preserve">FS19605</t>
  </si>
  <si>
    <t xml:space="preserve">Otros impuestos: 14,481.00 | Retenciones (crédito): 0.00 | Gasto/otros: No disponible (líneas fuera del archivo exportado)</t>
  </si>
  <si>
    <t xml:space="preserve">001-FSC-00011561</t>
  </si>
  <si>
    <t xml:space="preserve">8024, 16342</t>
  </si>
  <si>
    <t xml:space="preserve">FS19751</t>
  </si>
  <si>
    <t xml:space="preserve">Otros impuestos: 3,667.00 | Retenciones (crédito): 0.00 | Gasto/otros: No disponible (líneas fuera del archivo exportado)</t>
  </si>
  <si>
    <t xml:space="preserve">001-FSC-00011587</t>
  </si>
  <si>
    <t xml:space="preserve">8025, 16343</t>
  </si>
  <si>
    <t xml:space="preserve">FS19753</t>
  </si>
  <si>
    <t xml:space="preserve">SALUD SEMILLAS SAS</t>
  </si>
  <si>
    <t xml:space="preserve">805023380</t>
  </si>
  <si>
    <t xml:space="preserve">SSFE432</t>
  </si>
  <si>
    <t xml:space="preserve">23352501 HONORARIOS; 23651505 HONORARIOS 11%; 23680203 DEMAS ACTIVIDADES SERVICIOS 10 X 1000; 24081513 IVA TRANSITORIO SERVICIOS 19%</t>
  </si>
  <si>
    <t xml:space="preserve">IVA: 190,000.00 | Retenciones (crédito): 120,000.00 | Gasto/otros: No disponible (líneas fuera del archivo exportado)</t>
  </si>
  <si>
    <t xml:space="preserve">001-FSC-00011367</t>
  </si>
  <si>
    <t xml:space="preserve">7309, 8157, 9206, 11268</t>
  </si>
  <si>
    <t xml:space="preserve">SANDRA PATRICIA GUAYARA RIOS</t>
  </si>
  <si>
    <t xml:space="preserve">67010198</t>
  </si>
  <si>
    <t xml:space="preserve">FE6804</t>
  </si>
  <si>
    <t xml:space="preserve">IVA: 11,975.00 | Retenciones (crédito): 0.00 | Gasto/otros: No disponible (líneas fuera del archivo exportado)</t>
  </si>
  <si>
    <t xml:space="preserve">001-FSC-00011511</t>
  </si>
  <si>
    <t xml:space="preserve">7519, 11057</t>
  </si>
  <si>
    <t xml:space="preserve">SARANTO S.A.S</t>
  </si>
  <si>
    <t xml:space="preserve">901186632</t>
  </si>
  <si>
    <t xml:space="preserve">FE1I592968</t>
  </si>
  <si>
    <t xml:space="preserve">FE1I597879</t>
  </si>
  <si>
    <t xml:space="preserve">SEGURIDAD ATLAS LTDA.</t>
  </si>
  <si>
    <t xml:space="preserve">890312749</t>
  </si>
  <si>
    <t xml:space="preserve">NACL637346</t>
  </si>
  <si>
    <t xml:space="preserve">IVA: 11,034.00 | Retenciones (crédito): 0.00 | Gasto/otros: No disponible (líneas fuera del archivo exportado)</t>
  </si>
  <si>
    <t xml:space="preserve">001-FSC-00011372</t>
  </si>
  <si>
    <t xml:space="preserve">7780, 11322</t>
  </si>
  <si>
    <t xml:space="preserve">SEGURIDAD INDUSTRIAL Y MEDICA S.A.S</t>
  </si>
  <si>
    <t xml:space="preserve">900472949</t>
  </si>
  <si>
    <t xml:space="preserve">FEVS32711</t>
  </si>
  <si>
    <t xml:space="preserve">IVA: 67,260.00 | Retenciones (crédito): 0.00 | Gasto/otros: No disponible (líneas fuera del archivo exportado)</t>
  </si>
  <si>
    <t xml:space="preserve">001-FSC-00011518</t>
  </si>
  <si>
    <t xml:space="preserve">7876, 11151</t>
  </si>
  <si>
    <t xml:space="preserve">SEGUROS DE VIDA  SURAMERICANA S.A</t>
  </si>
  <si>
    <t xml:space="preserve">890903790</t>
  </si>
  <si>
    <t xml:space="preserve">20833727276</t>
  </si>
  <si>
    <t xml:space="preserve">SEGUROS GENERALES SURAMERICANA S.A</t>
  </si>
  <si>
    <t xml:space="preserve">890903407</t>
  </si>
  <si>
    <t xml:space="preserve">10304525305</t>
  </si>
  <si>
    <t xml:space="preserve">IVA: 1,435,470.00 | Retenciones (crédito): 0.00 | Gasto/otros: No disponible (líneas fuera del archivo exportado)</t>
  </si>
  <si>
    <t xml:space="preserve">001-FSC-00011376</t>
  </si>
  <si>
    <t xml:space="preserve">7825, 11341</t>
  </si>
  <si>
    <t xml:space="preserve">SERVICENTRO PLAZA BOLIVAR SAS</t>
  </si>
  <si>
    <t xml:space="preserve">901142152</t>
  </si>
  <si>
    <t xml:space="preserve">FE1638045</t>
  </si>
  <si>
    <t xml:space="preserve">FE1655503</t>
  </si>
  <si>
    <t xml:space="preserve">FE1669088</t>
  </si>
  <si>
    <t xml:space="preserve">FE1683834</t>
  </si>
  <si>
    <t xml:space="preserve">SIIGO S.A.S</t>
  </si>
  <si>
    <t xml:space="preserve">830048145</t>
  </si>
  <si>
    <t xml:space="preserve">952044498</t>
  </si>
  <si>
    <t xml:space="preserve">IVA: 4,731.00 | Retenciones (crédito): 0.00 | Gasto/otros: No disponible (líneas fuera del archivo exportado)</t>
  </si>
  <si>
    <t xml:space="preserve">001-FSC-00011567</t>
  </si>
  <si>
    <t xml:space="preserve">7685, 11274</t>
  </si>
  <si>
    <t xml:space="preserve">SILVA PITO YESIKA TATIANA</t>
  </si>
  <si>
    <t xml:space="preserve">1061716861</t>
  </si>
  <si>
    <t xml:space="preserve">HFRP284</t>
  </si>
  <si>
    <t xml:space="preserve">SINERGIA Y TECNOLOGIA SAS   </t>
  </si>
  <si>
    <t xml:space="preserve">900694853</t>
  </si>
  <si>
    <t xml:space="preserve">HI4009</t>
  </si>
  <si>
    <t xml:space="preserve">IVA: 119,109.00 | Retenciones (crédito): 0.00 | Gasto/otros: No disponible (líneas fuera del archivo exportado)</t>
  </si>
  <si>
    <t xml:space="preserve">001-FSC-00011560</t>
  </si>
  <si>
    <t xml:space="preserve">7892, 11160</t>
  </si>
  <si>
    <t xml:space="preserve">SISTEMAS DE INFORMACION EMPRESARIAL S.A.S.</t>
  </si>
  <si>
    <t xml:space="preserve">890319193</t>
  </si>
  <si>
    <t xml:space="preserve">01IE183283</t>
  </si>
  <si>
    <t xml:space="preserve">IVA: 19,284.00 | Retenciones (crédito): 0.00 | Gasto/otros: No disponible (líneas fuera del archivo exportado)</t>
  </si>
  <si>
    <t xml:space="preserve">001-FSC-00011348</t>
  </si>
  <si>
    <t xml:space="preserve">7785, 11325</t>
  </si>
  <si>
    <t xml:space="preserve">01IE183289</t>
  </si>
  <si>
    <t xml:space="preserve">IVA: 170,983.00 | Retenciones (crédito): 0.00 | Gasto/otros: No disponible (líneas fuera del archivo exportado)</t>
  </si>
  <si>
    <t xml:space="preserve">001-FSC-00011347</t>
  </si>
  <si>
    <t xml:space="preserve">7784, 11324</t>
  </si>
  <si>
    <t xml:space="preserve">01IE184568</t>
  </si>
  <si>
    <t xml:space="preserve">IVA: 22,885.00 | Retenciones (crédito): 0.00 | Gasto/otros: No disponible (líneas fuera del archivo exportado)</t>
  </si>
  <si>
    <t xml:space="preserve">001-FSC-00011390</t>
  </si>
  <si>
    <t xml:space="preserve">7786, 11326</t>
  </si>
  <si>
    <t xml:space="preserve">SOCIEDAD PORTUARIA TERMINAL DE CONTENEDORES DE BUENAVENTURA S.A.</t>
  </si>
  <si>
    <t xml:space="preserve">800084048</t>
  </si>
  <si>
    <t xml:space="preserve">13112086</t>
  </si>
  <si>
    <t xml:space="preserve">23359501 OTROS; 26959501 OTRAS; 23359501 OTROS; 26959501 OTRAS</t>
  </si>
  <si>
    <t xml:space="preserve">Otros conceptos: 672,643.00 | Retenciones (crédito): 0.00</t>
  </si>
  <si>
    <t xml:space="preserve">Contabilizado en 2 comprobantes del Journal (001-FPI-00000497, 001-FPI-00000498); se sumaron todos.</t>
  </si>
  <si>
    <t xml:space="preserve">001-FPI-00000497, 001-FPI-00000498</t>
  </si>
  <si>
    <t xml:space="preserve">7564, 12582, 7565, 12583</t>
  </si>
  <si>
    <t xml:space="preserve">13112087</t>
  </si>
  <si>
    <t xml:space="preserve">Otros conceptos: 401,614.00 | Retenciones (crédito): 0.00</t>
  </si>
  <si>
    <t xml:space="preserve">001-FPI-00000499</t>
  </si>
  <si>
    <t xml:space="preserve">7566, 12584</t>
  </si>
  <si>
    <t xml:space="preserve">3220501</t>
  </si>
  <si>
    <t xml:space="preserve">Revisar: 001-NB-00003678, 001-NT-00012687</t>
  </si>
  <si>
    <t xml:space="preserve">001-NB-00003678, 001-NT-00012687</t>
  </si>
  <si>
    <t xml:space="preserve">SODIMAC COLOMBIA S.A.</t>
  </si>
  <si>
    <t xml:space="preserve">800242106</t>
  </si>
  <si>
    <t xml:space="preserve">3104100346123</t>
  </si>
  <si>
    <t xml:space="preserve">IVA: 5,173.00 | Retenciones (crédito): 0.00 | Gasto/otros: No disponible (líneas fuera del archivo exportado)</t>
  </si>
  <si>
    <t xml:space="preserve">001-FSC-00011507</t>
  </si>
  <si>
    <t xml:space="preserve">7615, 11085</t>
  </si>
  <si>
    <t xml:space="preserve">3104100347337</t>
  </si>
  <si>
    <t xml:space="preserve">IVA: 12,821.00 | Retenciones (crédito): 0.00 | Gasto/otros: No disponible (líneas fuera del archivo exportado)</t>
  </si>
  <si>
    <t xml:space="preserve">001-FSC-00011589</t>
  </si>
  <si>
    <t xml:space="preserve">7626, 11089</t>
  </si>
  <si>
    <t xml:space="preserve">3107100389852</t>
  </si>
  <si>
    <t xml:space="preserve">IVA: 7,632.00 | Retenciones (crédito): 0.00 | Gasto/otros: No disponible (líneas fuera del archivo exportado)</t>
  </si>
  <si>
    <t xml:space="preserve">001-FSC-00011503</t>
  </si>
  <si>
    <t xml:space="preserve">7614, 11084</t>
  </si>
  <si>
    <t xml:space="preserve">3108100421446</t>
  </si>
  <si>
    <t xml:space="preserve">IVA: 384,463.00 | Retenciones (crédito): 0.00 | Gasto/otros: No disponible (líneas fuera del archivo exportado)</t>
  </si>
  <si>
    <t xml:space="preserve">001-FSC-00011499</t>
  </si>
  <si>
    <t xml:space="preserve">7613, 11083</t>
  </si>
  <si>
    <t xml:space="preserve">3108100423035</t>
  </si>
  <si>
    <t xml:space="preserve">IVA: 136,752.00 | Retenciones (crédito): 0.00 | Gasto/otros: No disponible (líneas fuera del archivo exportado)</t>
  </si>
  <si>
    <t xml:space="preserve">001-FSC-00011498</t>
  </si>
  <si>
    <t xml:space="preserve">7612, 11082</t>
  </si>
  <si>
    <t xml:space="preserve">3109100479657</t>
  </si>
  <si>
    <t xml:space="preserve">3110100471717</t>
  </si>
  <si>
    <t xml:space="preserve">15889001 PROPIEDAD PLANTA Y EQUIPO EN TRANSITO; 23359501 OTROS</t>
  </si>
  <si>
    <t xml:space="preserve">Inventarios/activos: 199,900.00 | Retenciones (crédito): 0.00</t>
  </si>
  <si>
    <t xml:space="preserve">IVA DIAN 31,916.81 vs IVA Journal 0.00.</t>
  </si>
  <si>
    <t xml:space="preserve">001-FSC-00011515</t>
  </si>
  <si>
    <t xml:space="preserve">7090, 7617</t>
  </si>
  <si>
    <t xml:space="preserve">3110100474613</t>
  </si>
  <si>
    <t xml:space="preserve">IVA: 14,479.00 | Retenciones (crédito): 0.00 | Gasto/otros: No disponible (líneas fuera del archivo exportado)</t>
  </si>
  <si>
    <t xml:space="preserve">001-FSC-00011609</t>
  </si>
  <si>
    <t xml:space="preserve">7627, 11090</t>
  </si>
  <si>
    <t xml:space="preserve">3111100546406</t>
  </si>
  <si>
    <t xml:space="preserve">IVA: 47,021.00 | Retenciones (crédito): 0.00 | Gasto/otros: No disponible (líneas fuera del archivo exportado)</t>
  </si>
  <si>
    <t xml:space="preserve">001-FSC-00011529</t>
  </si>
  <si>
    <t xml:space="preserve">7624, 11087</t>
  </si>
  <si>
    <t xml:space="preserve">3111100548249</t>
  </si>
  <si>
    <t xml:space="preserve">IVA: 14,976.00 | Retenciones (crédito): 0.00 | Gasto/otros: No disponible (líneas fuera del archivo exportado)</t>
  </si>
  <si>
    <t xml:space="preserve">001-FSC-00011611</t>
  </si>
  <si>
    <t xml:space="preserve">7628, 11091</t>
  </si>
  <si>
    <t xml:space="preserve">3112100408730</t>
  </si>
  <si>
    <t xml:space="preserve">IVA: 142,891.00 | Retenciones (crédito): 0.00 | Gasto/otros: No disponible (líneas fuera del archivo exportado)</t>
  </si>
  <si>
    <t xml:space="preserve">001-FSC-00011496</t>
  </si>
  <si>
    <t xml:space="preserve">7610, 11080</t>
  </si>
  <si>
    <t xml:space="preserve">3112100408731</t>
  </si>
  <si>
    <t xml:space="preserve">IVA: 17,116.00 | Retenciones (crédito): 0.00 | Gasto/otros: No disponible (líneas fuera del archivo exportado)</t>
  </si>
  <si>
    <t xml:space="preserve">001-FSC-00011510</t>
  </si>
  <si>
    <t xml:space="preserve">7616, 11086</t>
  </si>
  <si>
    <t xml:space="preserve">3112100410535</t>
  </si>
  <si>
    <t xml:space="preserve">IVA: 2,539.00 | Retenciones (crédito): 0.00 | Gasto/otros: No disponible (líneas fuera del archivo exportado)</t>
  </si>
  <si>
    <t xml:space="preserve">001-FSC-00011543</t>
  </si>
  <si>
    <t xml:space="preserve">7625, 11088</t>
  </si>
  <si>
    <t xml:space="preserve">3116100285460</t>
  </si>
  <si>
    <t xml:space="preserve">IVA: 62,524.00 | Retenciones (crédito): 0.00 | Gasto/otros: No disponible (líneas fuera del archivo exportado)</t>
  </si>
  <si>
    <t xml:space="preserve">001-FSC-00011497</t>
  </si>
  <si>
    <t xml:space="preserve">7611, 11081</t>
  </si>
  <si>
    <t xml:space="preserve">3117100267318</t>
  </si>
  <si>
    <t xml:space="preserve">3117100267723</t>
  </si>
  <si>
    <t xml:space="preserve">IVA: 40,347.00 | Retenciones (crédito): 0.00 | Gasto/otros: No disponible (líneas fuera del archivo exportado)</t>
  </si>
  <si>
    <t xml:space="preserve">001-FSC-00011494</t>
  </si>
  <si>
    <t xml:space="preserve">7608, 11078</t>
  </si>
  <si>
    <t xml:space="preserve">NC4924349</t>
  </si>
  <si>
    <t xml:space="preserve">NC4924461</t>
  </si>
  <si>
    <t xml:space="preserve">NC4959647</t>
  </si>
  <si>
    <t xml:space="preserve">SOLUCIONES SOSTENIBLES DE COLOMBIA SAS</t>
  </si>
  <si>
    <t xml:space="preserve">901176966</t>
  </si>
  <si>
    <t xml:space="preserve">SCFE5</t>
  </si>
  <si>
    <t xml:space="preserve">23359501 OTROS; 23652501 TRANSPORTE 1%; 26952001 PARA OPERACION; 23359501 OTROS; 26952001 PARA OPERACION; 23359501 OTROS; 23652507 SERVICIOS GENERALES (DECLARANTES) 4%; 24081513 IVA TRANSITORIO SERVICIOS 19%; 26952001 PARA OPERACION</t>
  </si>
  <si>
    <t xml:space="preserve">IVA: 1,167,796.00 | Otros conceptos: 13,375,095.00 | Retenciones (crédito): 317,852.00</t>
  </si>
  <si>
    <t xml:space="preserve">Contabilizado en 3 comprobantes del Journal (001-FPI-00000489, 001-FPI-00000490, 001-FPI-00000493); se sumaron todos.</t>
  </si>
  <si>
    <t xml:space="preserve">001-FPI-00000489, 001-FPI-00000490, 001-FPI-00000493</t>
  </si>
  <si>
    <t xml:space="preserve">7934, 8192, 12558, 7935, 12559, 7936, 8269, 11464, 12560</t>
  </si>
  <si>
    <t xml:space="preserve">SCFE6</t>
  </si>
  <si>
    <t xml:space="preserve">IVA: 804,893.00 | Otros conceptos: 7,851,778.00 | Retenciones (crédito): 205,451.00</t>
  </si>
  <si>
    <t xml:space="preserve">Contabilizado en 3 comprobantes del Journal (001-FPI-00000504, 001-FPI-00000505, 001-FPI-00000506); se sumaron todos.</t>
  </si>
  <si>
    <t xml:space="preserve">001-FPI-00000504, 001-FPI-00000505, 001-FPI-00000506</t>
  </si>
  <si>
    <t xml:space="preserve">7937, 8193, 12564, 7938, 12565, 7939, 8270, 11465, 12566</t>
  </si>
  <si>
    <t xml:space="preserve">STOP S.A.S</t>
  </si>
  <si>
    <t xml:space="preserve">890911898</t>
  </si>
  <si>
    <t xml:space="preserve">37567688</t>
  </si>
  <si>
    <t xml:space="preserve">IVA: 89,539.00 | Gastos: 471,260.00 | Retenciones (crédito): 0.00</t>
  </si>
  <si>
    <t xml:space="preserve">001-FSC-00011512</t>
  </si>
  <si>
    <t xml:space="preserve">7830, 11131, 16109</t>
  </si>
  <si>
    <t xml:space="preserve">SUAREZ CASTRO ANDRES FRANCISCO</t>
  </si>
  <si>
    <t xml:space="preserve">80807615</t>
  </si>
  <si>
    <t xml:space="preserve">NDSE1710</t>
  </si>
  <si>
    <t xml:space="preserve">Gastos: 1,626,400.00 | Retenciones (crédito): 0.00</t>
  </si>
  <si>
    <t xml:space="preserve">001-DSE-00001710</t>
  </si>
  <si>
    <t xml:space="preserve">7668, 16268</t>
  </si>
  <si>
    <t xml:space="preserve">SURAMERICA COMERCIAL S.A.S</t>
  </si>
  <si>
    <t xml:space="preserve">900943243</t>
  </si>
  <si>
    <t xml:space="preserve">F0012059313</t>
  </si>
  <si>
    <t xml:space="preserve">001-FSC-00011590</t>
  </si>
  <si>
    <t xml:space="preserve">7912</t>
  </si>
  <si>
    <t xml:space="preserve">F0532011439</t>
  </si>
  <si>
    <t xml:space="preserve">001-FSC-00011591</t>
  </si>
  <si>
    <t xml:space="preserve">7913</t>
  </si>
  <si>
    <t xml:space="preserve">TCC SAS</t>
  </si>
  <si>
    <t xml:space="preserve">860016640</t>
  </si>
  <si>
    <t xml:space="preserve">C0031011008</t>
  </si>
  <si>
    <t xml:space="preserve">001-FSC-00011556</t>
  </si>
  <si>
    <t xml:space="preserve">7723</t>
  </si>
  <si>
    <t xml:space="preserve">C0031011375</t>
  </si>
  <si>
    <t xml:space="preserve">001-FSC-00011558</t>
  </si>
  <si>
    <t xml:space="preserve">7724</t>
  </si>
  <si>
    <t xml:space="preserve">TECNOLOGIA INFORMATICA Y COMUNICACIONES SAS</t>
  </si>
  <si>
    <t xml:space="preserve">901149951</t>
  </si>
  <si>
    <t xml:space="preserve">FE132724</t>
  </si>
  <si>
    <t xml:space="preserve">IVA: 7,983.00 | Retenciones (crédito): 0.00 | Gasto/otros: No disponible (líneas fuera del archivo exportado)</t>
  </si>
  <si>
    <t xml:space="preserve">001-FSC-00011414</t>
  </si>
  <si>
    <t xml:space="preserve">7920, 11173</t>
  </si>
  <si>
    <t xml:space="preserve">FE132988</t>
  </si>
  <si>
    <t xml:space="preserve">IVA: 5,588.00 | Retenciones (crédito): 0.00 | Gasto/otros: No disponible (líneas fuera del archivo exportado)</t>
  </si>
  <si>
    <t xml:space="preserve">001-FSC-00011415</t>
  </si>
  <si>
    <t xml:space="preserve">7921, 11174</t>
  </si>
  <si>
    <t xml:space="preserve">FE134508</t>
  </si>
  <si>
    <t xml:space="preserve">IVA: 14,210.00 | Retenciones (crédito): 0.00 | Gasto/otros: No disponible (líneas fuera del archivo exportado)</t>
  </si>
  <si>
    <t xml:space="preserve">001-FSC-00011596</t>
  </si>
  <si>
    <t xml:space="preserve">7924, 11175</t>
  </si>
  <si>
    <t xml:space="preserve">TRANSPORTADORA LA PRENSA DEL VALLE S.A.S</t>
  </si>
  <si>
    <t xml:space="preserve">890301067</t>
  </si>
  <si>
    <t xml:space="preserve">FED160074</t>
  </si>
  <si>
    <t xml:space="preserve">001-FSC-00011354</t>
  </si>
  <si>
    <t xml:space="preserve">7344</t>
  </si>
  <si>
    <t xml:space="preserve">FED160859</t>
  </si>
  <si>
    <t xml:space="preserve">001-FSC-00011467</t>
  </si>
  <si>
    <t xml:space="preserve">7348</t>
  </si>
  <si>
    <t xml:space="preserve">FED161667</t>
  </si>
  <si>
    <t xml:space="preserve">001-FSC-00011459</t>
  </si>
  <si>
    <t xml:space="preserve">7347</t>
  </si>
  <si>
    <t xml:space="preserve">FED162566</t>
  </si>
  <si>
    <t xml:space="preserve">001-FSC-00011532</t>
  </si>
  <si>
    <t xml:space="preserve">7351</t>
  </si>
  <si>
    <t xml:space="preserve">TRES RIOS S.A.S</t>
  </si>
  <si>
    <t xml:space="preserve">900718771</t>
  </si>
  <si>
    <t xml:space="preserve">E433517</t>
  </si>
  <si>
    <t xml:space="preserve">VALENTINA YEPES ABADIA</t>
  </si>
  <si>
    <t xml:space="preserve">1113688126</t>
  </si>
  <si>
    <t xml:space="preserve">FE69</t>
  </si>
  <si>
    <t xml:space="preserve">23354001 ARRENDAMIENTOS; 23653002 BIENES INMUEBLES 3,5%</t>
  </si>
  <si>
    <t xml:space="preserve">Retenciones (crédito): 262,500.00 | Gasto/otros: No disponible (líneas fuera del archivo exportado)</t>
  </si>
  <si>
    <t xml:space="preserve">001-FSC-00011344</t>
  </si>
  <si>
    <t xml:space="preserve">7324, 8321</t>
  </si>
  <si>
    <t xml:space="preserve">VELASCO MUÑOZ WILLIAM JOSE</t>
  </si>
  <si>
    <t xml:space="preserve">16915764</t>
  </si>
  <si>
    <t xml:space="preserve">FE4550</t>
  </si>
  <si>
    <t xml:space="preserve">23359501 OTROS; 23652508 SERVICIOS GENERALES (NO DECLARANTES) 6%; 23654002 COMPRAS GENERALES 2,5%; 23680203 DEMAS ACTIVIDADES SERVICIOS 10 X 1000</t>
  </si>
  <si>
    <t xml:space="preserve">Retenciones (crédito): 24,450.00 | Gasto/otros: No disponible (líneas fuera del archivo exportado)</t>
  </si>
  <si>
    <t xml:space="preserve">001-FSC-00011400</t>
  </si>
  <si>
    <t xml:space="preserve">7446, 8294, 8337, 9191</t>
  </si>
  <si>
    <t xml:space="preserve">FE4553</t>
  </si>
  <si>
    <t xml:space="preserve">001-FSC-00011399</t>
  </si>
  <si>
    <t xml:space="preserve">7445</t>
  </si>
  <si>
    <t xml:space="preserve">VICMAR MULTISERVICIOS S.A.S</t>
  </si>
  <si>
    <t xml:space="preserve">901583473</t>
  </si>
  <si>
    <t xml:space="preserve">VICM589</t>
  </si>
  <si>
    <t xml:space="preserve">IVA: 357,960.00 | Retenciones (crédito): 94,200.00 | Gasto/otros: No disponible (líneas fuera del archivo exportado)</t>
  </si>
  <si>
    <t xml:space="preserve">001-FSC-00011416</t>
  </si>
  <si>
    <t xml:space="preserve">8009, 8276, 9224, 11486</t>
  </si>
  <si>
    <t xml:space="preserve">VUKONICH GARCIA MATEO</t>
  </si>
  <si>
    <t xml:space="preserve">1006038039</t>
  </si>
  <si>
    <t xml:space="preserve">NDSE1706</t>
  </si>
  <si>
    <t xml:space="preserve">001-DSE-00001706</t>
  </si>
  <si>
    <t xml:space="preserve">7370</t>
  </si>
  <si>
    <t xml:space="preserve">NDSE1707</t>
  </si>
  <si>
    <t xml:space="preserve">001-DSE-00001707</t>
  </si>
  <si>
    <t xml:space="preserve">7371</t>
  </si>
  <si>
    <t xml:space="preserve">ZIGMA ECOOM SAS</t>
  </si>
  <si>
    <t xml:space="preserve">901944570</t>
  </si>
  <si>
    <t xml:space="preserve">FEZ1763</t>
  </si>
  <si>
    <t xml:space="preserve">001-FSC-00011345</t>
  </si>
  <si>
    <t xml:space="preserve">8032</t>
  </si>
  <si>
    <t xml:space="preserve">ACMEY INDUSTRIAL CO LTDA</t>
  </si>
  <si>
    <t xml:space="preserve">444444003</t>
  </si>
  <si>
    <t xml:space="preserve">22100501 PROVEEDORES DEL EXTERIOR</t>
  </si>
  <si>
    <t xml:space="preserve">Ajuste por diferencia en cambio (no es documento DIAN); validar manualmente.</t>
  </si>
  <si>
    <t xml:space="preserve">Descripción: REGITRO DE DIFERENCIA EN TASA NO REALIZADA DEL MES DE SEP DE 2026</t>
  </si>
  <si>
    <t xml:space="preserve">Journal</t>
  </si>
  <si>
    <t xml:space="preserve">001-DFC-00000059</t>
  </si>
  <si>
    <t xml:space="preserve">7263</t>
  </si>
  <si>
    <t xml:space="preserve">ADOBE SYSTEMS SOFTWARE IRELAND LIMITED</t>
  </si>
  <si>
    <t xml:space="preserve">901374292</t>
  </si>
  <si>
    <t xml:space="preserve">IVA: 128,470.00 | Retenciones (crédito): 0.00 | Gasto/otros: No disponible (líneas fuera del archivo exportado)</t>
  </si>
  <si>
    <t xml:space="preserve">Registrado en el Journal pero no se encontró el documento en la DIAN.</t>
  </si>
  <si>
    <t xml:space="preserve">Descripción: SUSCRIPCION PERIODO 17 AGO A L 16 DE DE DE 2026</t>
  </si>
  <si>
    <t xml:space="preserve">001-FSC-00011612</t>
  </si>
  <si>
    <t xml:space="preserve">7972, 11191</t>
  </si>
  <si>
    <t xml:space="preserve">IVA: 107,958.00 | Retenciones (crédito): 0.00 | Gasto/otros: No disponible (líneas fuera del archivo exportado)</t>
  </si>
  <si>
    <t xml:space="preserve">Descripción: SUSCRIPCION PERIODO 17 AGO AL 16 DE SEP DE 2026</t>
  </si>
  <si>
    <t xml:space="preserve">001-FSC-00011616</t>
  </si>
  <si>
    <t xml:space="preserve">7973, 11192</t>
  </si>
  <si>
    <t xml:space="preserve">ALMACENES LA 13 SA</t>
  </si>
  <si>
    <t xml:space="preserve">900212550</t>
  </si>
  <si>
    <t xml:space="preserve">23359502 CUENTA PUENTE CAJA MENOR; 24081510 IVA TRANSITORIO COMPRAS 19%</t>
  </si>
  <si>
    <t xml:space="preserve">IVA: 10,571.00 | Retenciones (crédito): 0.00 | Gasto/otros: No disponible (líneas fuera del archivo exportado)</t>
  </si>
  <si>
    <t xml:space="preserve">Descripción: COMPRA DE SARTEN PARA OFICINA CAJA MENOR</t>
  </si>
  <si>
    <t xml:space="preserve">001-FSC-00011548</t>
  </si>
  <si>
    <t xml:space="preserve">8090, 11144</t>
  </si>
  <si>
    <t xml:space="preserve">Descripción: COSTO DESTINO SEGUN BL 272052412</t>
  </si>
  <si>
    <t xml:space="preserve">001-FPI-00000478</t>
  </si>
  <si>
    <t xml:space="preserve">7245, 8195, 12628</t>
  </si>
  <si>
    <t xml:space="preserve">001-FPI-00000488</t>
  </si>
  <si>
    <t xml:space="preserve">7246, 8196, 12630</t>
  </si>
  <si>
    <t xml:space="preserve">ANTHROPIC PBC</t>
  </si>
  <si>
    <t xml:space="preserve">444444500</t>
  </si>
  <si>
    <t xml:space="preserve">7289</t>
  </si>
  <si>
    <t xml:space="preserve">Descripción: SUSCRIPCION IA PLAN STANDAR DEL AGO 22 A SEP 22 DE 2026</t>
  </si>
  <si>
    <t xml:space="preserve">001-FSC-00011534</t>
  </si>
  <si>
    <t xml:space="preserve">7287</t>
  </si>
  <si>
    <t xml:space="preserve">ARAS LTDA</t>
  </si>
  <si>
    <t xml:space="preserve">Descripción: ALQUILER DE CONTENEDOR SEGUN BL27205412</t>
  </si>
  <si>
    <t xml:space="preserve">001-FPI-00000476</t>
  </si>
  <si>
    <t xml:space="preserve">7738, 12621</t>
  </si>
  <si>
    <t xml:space="preserve">Descripción: COSTO ORIGEN SEGUN BL 272052412</t>
  </si>
  <si>
    <t xml:space="preserve">001-FPI-00000486</t>
  </si>
  <si>
    <t xml:space="preserve">7739, 12623</t>
  </si>
  <si>
    <t xml:space="preserve">AVIANCA S A</t>
  </si>
  <si>
    <t xml:space="preserve">Descripción: fv 4865828112 PAGO ADICIONAL DE EQUIPAJE DR CABRALES VIAJE MEDELLIN</t>
  </si>
  <si>
    <t xml:space="preserve">001-FSC-00011566</t>
  </si>
  <si>
    <t xml:space="preserve">7749</t>
  </si>
  <si>
    <t xml:space="preserve">BABY SUPPLIES CO. LTD.</t>
  </si>
  <si>
    <t xml:space="preserve">44444446</t>
  </si>
  <si>
    <t xml:space="preserve">7283</t>
  </si>
  <si>
    <t xml:space="preserve">CAJA COMPENSACION FAMILIAR VALLE DEL CA</t>
  </si>
  <si>
    <t xml:space="preserve">890303208</t>
  </si>
  <si>
    <t xml:space="preserve">23359501 OTROS; 51058401 GASTOS MEDICOS Y DROGAS</t>
  </si>
  <si>
    <t xml:space="preserve">Gastos: 79,942.00 | Retenciones (crédito): 0.00</t>
  </si>
  <si>
    <t xml:space="preserve">Descripción: COMPRA DE MEDICAMENTOS LFM CAJA MENOR</t>
  </si>
  <si>
    <t xml:space="preserve">001-FSC-00011408</t>
  </si>
  <si>
    <t xml:space="preserve">7755, 16200</t>
  </si>
  <si>
    <t xml:space="preserve">Gastos: 233,000.00 | Retenciones (crédito): 0.00</t>
  </si>
  <si>
    <t xml:space="preserve">001-FSC-00011509</t>
  </si>
  <si>
    <t xml:space="preserve">7757, 16201</t>
  </si>
  <si>
    <t xml:space="preserve">Gastos: 114,100.00 | Retenciones (crédito): 0.00</t>
  </si>
  <si>
    <t xml:space="preserve">Descripción: COMPRA DE MEDICAMENTO LFM CAJA MENOR</t>
  </si>
  <si>
    <t xml:space="preserve">001-FSC-00011542</t>
  </si>
  <si>
    <t xml:space="preserve">7759, 16202</t>
  </si>
  <si>
    <t xml:space="preserve">Descripción: LEGALIZACION CAJA MENOR AL09 DE SEP 2026</t>
  </si>
  <si>
    <t xml:space="preserve">001-NT-00012664</t>
  </si>
  <si>
    <t xml:space="preserve">7453</t>
  </si>
  <si>
    <t xml:space="preserve">Descripción: LEGALIZACION CAJA MENOR AL 24/09/2026</t>
  </si>
  <si>
    <t xml:space="preserve">001-NT-00012684</t>
  </si>
  <si>
    <t xml:space="preserve">7455, 7456</t>
  </si>
  <si>
    <t xml:space="preserve">Descripción: COMPRA SOPORTE MUÑEQ PARA LFM CAJA MENOR</t>
  </si>
  <si>
    <t xml:space="preserve">COMBUSTIBLES LIQUIDOS DE COLOMBIA S.A.</t>
  </si>
  <si>
    <t xml:space="preserve">Descripción: COMPRA COMBUSTIBLE MONTACARGA ZF CAJA MENOR</t>
  </si>
  <si>
    <t xml:space="preserve">Descripción: COMPRA DE COMBUSTIBLE ZF CAJA MENOR</t>
  </si>
  <si>
    <t xml:space="preserve">CONCESIONARIA RUTAS DEL VALLE S.A.S.</t>
  </si>
  <si>
    <t xml:space="preserve">901489697</t>
  </si>
  <si>
    <t xml:space="preserve">Descripción: SEERVICIO DE PEAJE DEL 4, 8 Y 9 DE PETIEMBRE CAJA MENOR</t>
  </si>
  <si>
    <t xml:space="preserve">001-FSC-00011406</t>
  </si>
  <si>
    <t xml:space="preserve">7975</t>
  </si>
  <si>
    <t xml:space="preserve">Descripción: PEAJE CAJA MENOR</t>
  </si>
  <si>
    <t xml:space="preserve">001-FSC-00011550</t>
  </si>
  <si>
    <t xml:space="preserve">7977</t>
  </si>
  <si>
    <t xml:space="preserve">Descripción: PEAJE CAJA MEMOR</t>
  </si>
  <si>
    <t xml:space="preserve">001-FSC-00011551</t>
  </si>
  <si>
    <t xml:space="preserve">7978</t>
  </si>
  <si>
    <t xml:space="preserve">001-FSC-00011552</t>
  </si>
  <si>
    <t xml:space="preserve">7979</t>
  </si>
  <si>
    <t xml:space="preserve">Descripción: PEJAE CAJA MENOR</t>
  </si>
  <si>
    <t xml:space="preserve">001-FSC-00011593</t>
  </si>
  <si>
    <t xml:space="preserve">7980</t>
  </si>
  <si>
    <t xml:space="preserve">CONTRERAS OLIVEROS GERMAN EDUARDO</t>
  </si>
  <si>
    <t xml:space="preserve">Descripción: COMPRA DE MATERIALES REAPARCION DE BODEGA 11</t>
  </si>
  <si>
    <t xml:space="preserve">IVA: 9,404.00 | Retenciones (crédito): 0.00 | Gasto/otros: No disponible (líneas fuera del archivo exportado)</t>
  </si>
  <si>
    <t xml:space="preserve">Descripción: COMPRA DE INSUMOS PARA REAPARACION BODEGA TERREOMOTO 10/08/2026</t>
  </si>
  <si>
    <t xml:space="preserve">001-FSC-00011492</t>
  </si>
  <si>
    <t xml:space="preserve">8043, 11213</t>
  </si>
  <si>
    <t xml:space="preserve">COORDINADORA MERCANTIL S A</t>
  </si>
  <si>
    <t xml:space="preserve">Descripción: SERVICIO DE FLETES ECOMMERCE CAJA MENOR</t>
  </si>
  <si>
    <t xml:space="preserve">Descripción: VIATICOS DE CASINO POR CAPACITACION EN IPIALES</t>
  </si>
  <si>
    <t xml:space="preserve">IVA: 4,638.00 | Retenciones (crédito): 0.00 | Gasto/otros: No disponible (líneas fuera del archivo exportado)</t>
  </si>
  <si>
    <t xml:space="preserve">Descripción: COMPR DE INSUMOS DE ASEO CAJA MENOR</t>
  </si>
  <si>
    <t xml:space="preserve">001-FSC-00011594</t>
  </si>
  <si>
    <t xml:space="preserve">7867, 11148</t>
  </si>
  <si>
    <t xml:space="preserve">EASY PUNTO S.A.S</t>
  </si>
  <si>
    <t xml:space="preserve">901033735</t>
  </si>
  <si>
    <t xml:space="preserve">IVA: 383.00 | Retenciones (crédito): 0.00 | Gasto/otros: No disponible (líneas fuera del archivo exportado)</t>
  </si>
  <si>
    <t xml:space="preserve">Descripción: PARQUEADERO ENTREGA DE MERCANCIA CAJA MENR</t>
  </si>
  <si>
    <t xml:space="preserve">001-FSC-00011601</t>
  </si>
  <si>
    <t xml:space="preserve">7915, 11459</t>
  </si>
  <si>
    <t xml:space="preserve">EL MOLINO EDUARDO MOLINARI PALACIN &amp; CI</t>
  </si>
  <si>
    <t xml:space="preserve">Descripción: REFRIGERIO EVENTO BAL STUDIO MERCADEO CAJA MENOR</t>
  </si>
  <si>
    <t xml:space="preserve">EMPRESAS MUNICIPALES DE CALI EICE ESP</t>
  </si>
  <si>
    <t xml:space="preserve">Descripción: DEE 18532615 SERVICO DE ENERGIA Y ACEDUCTO DE LA BODEGA 21 PERIODO JUL 18A AGO 18</t>
  </si>
  <si>
    <t xml:space="preserve">001-FSC-00011392</t>
  </si>
  <si>
    <t xml:space="preserve">7804</t>
  </si>
  <si>
    <t xml:space="preserve">Descripción: DEE 18535339 SERVICO DE ENERGIA BOD 11 PERIODO JUL 18 AGO 18</t>
  </si>
  <si>
    <t xml:space="preserve">001-FSC-00011393</t>
  </si>
  <si>
    <t xml:space="preserve">7805</t>
  </si>
  <si>
    <t xml:space="preserve">Descripción: DEE 18537480 SERVICIO DE ACUEDUCTO BOD 11 PERIODO JUL 18 A AGO 18</t>
  </si>
  <si>
    <t xml:space="preserve">001-FSC-00011394</t>
  </si>
  <si>
    <t xml:space="preserve">7806</t>
  </si>
  <si>
    <t xml:space="preserve">EXPRESO VALLE DE ATRIZ S.A.</t>
  </si>
  <si>
    <t xml:space="preserve">814000009</t>
  </si>
  <si>
    <t xml:space="preserve">Descripción: TRASNPORTE  VISITA CAPCAITACION CLIENTES SAN GIL BUCARAMANGA EDISON</t>
  </si>
  <si>
    <t xml:space="preserve">001-FSC-00011443</t>
  </si>
  <si>
    <t xml:space="preserve">7675</t>
  </si>
  <si>
    <t xml:space="preserve">Descripción: VIATICOS POR VIAJE DE CAPACITACION  TERRESTRE A PASTO</t>
  </si>
  <si>
    <t xml:space="preserve">001-FSC-00011476</t>
  </si>
  <si>
    <t xml:space="preserve">7677</t>
  </si>
  <si>
    <t xml:space="preserve">FERREAGRO DE OCCIDENTE S A S</t>
  </si>
  <si>
    <t xml:space="preserve">901264687</t>
  </si>
  <si>
    <t xml:space="preserve">Descripción: FELT 41617 COMPRA DE INSUMOS PARA LA FINCA</t>
  </si>
  <si>
    <t xml:space="preserve">001-FSC-00011366</t>
  </si>
  <si>
    <t xml:space="preserve">7947</t>
  </si>
  <si>
    <t xml:space="preserve">FUTUROS HERMANOS SOCIEDAD POR ACCIONES</t>
  </si>
  <si>
    <t xml:space="preserve">Descripción: PARQUEADERO VISITA DR. RLANDO CAJA MENOR</t>
  </si>
  <si>
    <t xml:space="preserve">GASTRONOMIA ITALIANA COLOMBIANA S A S</t>
  </si>
  <si>
    <t xml:space="preserve">Descripción: COMPRADE CORE OFFER EMPLEADO DEL MES DE JUN JUL Y AGO CAJA MENOR</t>
  </si>
  <si>
    <t xml:space="preserve">GONZALEZ EXPORTING CORP DBA GOEXCO</t>
  </si>
  <si>
    <t xml:space="preserve">44444445</t>
  </si>
  <si>
    <t xml:space="preserve">22100501 PROVEEDORES DEL EXTERIOR; 26952001 PARA OPERACION</t>
  </si>
  <si>
    <t xml:space="preserve">Otros conceptos: 670,089,786.00 | Retenciones (crédito): 0.00</t>
  </si>
  <si>
    <t xml:space="preserve">Descripción: COSTO FACTURA PROVEEDOR SEGUN BL 272052412</t>
  </si>
  <si>
    <t xml:space="preserve">001-FPI-00000475</t>
  </si>
  <si>
    <t xml:space="preserve">7276, 12509</t>
  </si>
  <si>
    <t xml:space="preserve">Otros conceptos: 410,508,736.00 | Retenciones (crédito): 0.00</t>
  </si>
  <si>
    <t xml:space="preserve">Descripción: COSTO PROVEEDOR SEGUN BL 272052412</t>
  </si>
  <si>
    <t xml:space="preserve">001-FPI-00000485</t>
  </si>
  <si>
    <t xml:space="preserve">7278, 12511</t>
  </si>
  <si>
    <t xml:space="preserve">Otros conceptos: 761,082,417.00 | Retenciones (crédito): 0.00</t>
  </si>
  <si>
    <t xml:space="preserve">Descripción: FACTURA PROVEEDOR SEGUN BL 275363475</t>
  </si>
  <si>
    <t xml:space="preserve">001-FPI-00000494</t>
  </si>
  <si>
    <t xml:space="preserve">7280, 12513</t>
  </si>
  <si>
    <t xml:space="preserve">GOOGLE LLC</t>
  </si>
  <si>
    <t xml:space="preserve">44444444</t>
  </si>
  <si>
    <t xml:space="preserve">Descripción: PUBLICIDAD EN PAGINAS WEB</t>
  </si>
  <si>
    <t xml:space="preserve">001-FSC-00011454</t>
  </si>
  <si>
    <t xml:space="preserve">7496</t>
  </si>
  <si>
    <t xml:space="preserve">Descripción: PUBLICIDAD PAGINAS WEB</t>
  </si>
  <si>
    <t xml:space="preserve">001-FSC-00011455</t>
  </si>
  <si>
    <t xml:space="preserve">7497</t>
  </si>
  <si>
    <t xml:space="preserve">Descripción: fe 5665692607 GOOGLE WORKSPACE DEL MES DE AGO DE 2026</t>
  </si>
  <si>
    <t xml:space="preserve">001-FSC-00011535</t>
  </si>
  <si>
    <t xml:space="preserve">7498</t>
  </si>
  <si>
    <t xml:space="preserve">23359505 OTROS DEL EXTERIOR</t>
  </si>
  <si>
    <t xml:space="preserve">Descripción: inv 368052711 SUSCRIPCION WORKPLACE PRO ZOOM MES DE SEP DE 2026</t>
  </si>
  <si>
    <t xml:space="preserve">001-FSC-00011573</t>
  </si>
  <si>
    <t xml:space="preserve">8096</t>
  </si>
  <si>
    <t xml:space="preserve">Descripción: SUSCRIPCION IA PRO - MERCADEO</t>
  </si>
  <si>
    <t xml:space="preserve">001-FSC-00011577</t>
  </si>
  <si>
    <t xml:space="preserve">7502</t>
  </si>
  <si>
    <t xml:space="preserve">Descripción: SUSCRIPCION GOOGLE IA PRO PARA PUBLICIDAD</t>
  </si>
  <si>
    <t xml:space="preserve">001-FSC-00011579</t>
  </si>
  <si>
    <t xml:space="preserve">7503</t>
  </si>
  <si>
    <t xml:space="preserve">GUERRERO SPITTIA ANDRES JAVIER</t>
  </si>
  <si>
    <t xml:space="preserve">16848018</t>
  </si>
  <si>
    <t xml:space="preserve">13659501 OTROS; 23359501 OTROS</t>
  </si>
  <si>
    <t xml:space="preserve">Otros conceptos: 64,457.00 | Retenciones (crédito): 0.00 | Gasto/otros: No disponible (líneas fuera del archivo exportado)</t>
  </si>
  <si>
    <t xml:space="preserve">Descripción: - FPO 15013237 POLIZA DE VEHICULO EMPLEADOS PERIODO DEL 15 DE SEP AL 15 DE OCT 2026</t>
  </si>
  <si>
    <t xml:space="preserve">001-FSC-00011379</t>
  </si>
  <si>
    <t xml:space="preserve">5036, 7441</t>
  </si>
  <si>
    <t xml:space="preserve">Godaddy.com LLC</t>
  </si>
  <si>
    <t xml:space="preserve">444444001</t>
  </si>
  <si>
    <t xml:space="preserve">Descripción: RENOVACION DE DOMINIO.OM NUTRIFIT</t>
  </si>
  <si>
    <t xml:space="preserve">001-FSC-00011613</t>
  </si>
  <si>
    <t xml:space="preserve">7487</t>
  </si>
  <si>
    <t xml:space="preserve">Descripción: SUSCRIPCION CANVA BUSSINES</t>
  </si>
  <si>
    <t xml:space="preserve">001-FSC-00011578</t>
  </si>
  <si>
    <t xml:space="preserve">8075</t>
  </si>
  <si>
    <t xml:space="preserve">I R C C S.A.S INDUSTRIA DE RESTAURANTES</t>
  </si>
  <si>
    <t xml:space="preserve">860533413</t>
  </si>
  <si>
    <t xml:space="preserve">Otros impuestos: 7,748.00 | Retenciones (crédito): 0.00 | Gasto/otros: No disponible (líneas fuera del archivo exportado)</t>
  </si>
  <si>
    <t xml:space="preserve">Descripción: SRVICIO DE RESTAURANTE LFM CAJA MENOR</t>
  </si>
  <si>
    <t xml:space="preserve">001-FSC-00011610</t>
  </si>
  <si>
    <t xml:space="preserve">7745, 16331</t>
  </si>
  <si>
    <t xml:space="preserve">IKSO SAS</t>
  </si>
  <si>
    <t xml:space="preserve">901331844</t>
  </si>
  <si>
    <t xml:space="preserve">Descripción: COMPRA DE MESA PARA BODEGA TERREOMOTO 10/08/2026</t>
  </si>
  <si>
    <t xml:space="preserve">001-FSC-00011493</t>
  </si>
  <si>
    <t xml:space="preserve">7970</t>
  </si>
  <si>
    <t xml:space="preserve">INTER RAPIDISIMO   S A</t>
  </si>
  <si>
    <t xml:space="preserve">Descripción: SERVICIO DE MESNAJERIA DE CORREPONDENCIA CAJA MENRO</t>
  </si>
  <si>
    <t xml:space="preserve">K RAMIREZ S A S</t>
  </si>
  <si>
    <t xml:space="preserve">Descripción: SERVICIO DE REFRIGERIO DESCARGUE - CAJA MENOR</t>
  </si>
  <si>
    <t xml:space="preserve">Descripción: REFRIGERIO DESCARGUE DE MERCANCIA CAJA MENOR</t>
  </si>
  <si>
    <t xml:space="preserve">001-FSC-00011513</t>
  </si>
  <si>
    <t xml:space="preserve">7996</t>
  </si>
  <si>
    <t xml:space="preserve">Descripción: REFRIGERIO DESCANGUE DE MERCANCIA CAJA MENOR</t>
  </si>
  <si>
    <t xml:space="preserve">MAERSK COLOMBIA SAS</t>
  </si>
  <si>
    <t xml:space="preserve">800235053</t>
  </si>
  <si>
    <t xml:space="preserve">Otros conceptos: 81,258.00 | Retenciones (crédito): 0.00</t>
  </si>
  <si>
    <t xml:space="preserve">Descripción: EMISION DEL BL 272052412</t>
  </si>
  <si>
    <t xml:space="preserve">001-FPI-00000477</t>
  </si>
  <si>
    <t xml:space="preserve">7592, 12587</t>
  </si>
  <si>
    <t xml:space="preserve">Otros conceptos: 97,510.00 | Retenciones (crédito): 0.00</t>
  </si>
  <si>
    <t xml:space="preserve">Descripción: COSTO EMISION SEGUB BL 272052412</t>
  </si>
  <si>
    <t xml:space="preserve">001-FPI-00000487</t>
  </si>
  <si>
    <t xml:space="preserve">7593, 12589</t>
  </si>
  <si>
    <t xml:space="preserve">Otros conceptos: 97,323.00 | Retenciones (crédito): 0.00</t>
  </si>
  <si>
    <t xml:space="preserve">Descripción: EMISION DE BL SEGUN BL275363475</t>
  </si>
  <si>
    <t xml:space="preserve">001-FPI-00000495</t>
  </si>
  <si>
    <t xml:space="preserve">7594, 12591</t>
  </si>
  <si>
    <t xml:space="preserve">MENESES URBANO JORGE ARMANDO</t>
  </si>
  <si>
    <t xml:space="preserve">Descripción: ELEC 352 COMPRA DE MICROPERFORADO PUBLICIDADD - ERROR FACTURACION DOBLE</t>
  </si>
  <si>
    <t xml:space="preserve">001-FSC-00011396</t>
  </si>
  <si>
    <t xml:space="preserve">7377</t>
  </si>
  <si>
    <t xml:space="preserve">META PLATFORMS IRELAND LTDA</t>
  </si>
  <si>
    <t xml:space="preserve">4444440015</t>
  </si>
  <si>
    <t xml:space="preserve">Descripción: PUBLICIDAD EN PAGINAS WEB DEL 25 DE AGO DE 2026</t>
  </si>
  <si>
    <t xml:space="preserve">001-FSC-00011452</t>
  </si>
  <si>
    <t xml:space="preserve">7489</t>
  </si>
  <si>
    <t xml:space="preserve">Descripción: publicidad en paginas web del 14 de ago de 2026</t>
  </si>
  <si>
    <t xml:space="preserve">001-FSC-00011453</t>
  </si>
  <si>
    <t xml:space="preserve">7490</t>
  </si>
  <si>
    <t xml:space="preserve">MIGAN CAPITAL</t>
  </si>
  <si>
    <t xml:space="preserve">Descripción: REFRIGERIO LFM CAJA MENOR</t>
  </si>
  <si>
    <t xml:space="preserve">MILLENIUM NATURAL SYSTEMS LLC</t>
  </si>
  <si>
    <t xml:space="preserve">834259681</t>
  </si>
  <si>
    <t xml:space="preserve">13300503 A PROVEEDORES DEL EXTERIOR ANT MCIA; 13809502 OTROS DEL EXTERIOR; 22100501 PROVEEDORES DEL EXTERIOR; 42102001 DIFERENCIA EN CAMBIO</t>
  </si>
  <si>
    <t xml:space="preserve">3231, 3232, 5405, 5406, 5407, 5408, 5409, 5410, 7294, 7295, 15362, 15363</t>
  </si>
  <si>
    <t xml:space="preserve">Descripción: fe 855 SERVICIO DE TRANSPORTE Y FLETES DE MERCANCIA</t>
  </si>
  <si>
    <t xml:space="preserve">001-FSC-00011576</t>
  </si>
  <si>
    <t xml:space="preserve">7296</t>
  </si>
  <si>
    <t xml:space="preserve">Descripción: casino por viaje de visita de clientes</t>
  </si>
  <si>
    <t xml:space="preserve">001-FSC-00011439</t>
  </si>
  <si>
    <t xml:space="preserve">7954</t>
  </si>
  <si>
    <t xml:space="preserve">Descripción: CASINO CAPACITACION CLIENTES SAN GIL BUCARMANGA</t>
  </si>
  <si>
    <t xml:space="preserve">Descripción: VIATIVOS DE CASINO POR CAPACITACION EN PASTO</t>
  </si>
  <si>
    <t xml:space="preserve">001-FSC-00011472</t>
  </si>
  <si>
    <t xml:space="preserve">7960</t>
  </si>
  <si>
    <t xml:space="preserve">NEW FELLOW MED CO. LTD.</t>
  </si>
  <si>
    <t xml:space="preserve">44444441</t>
  </si>
  <si>
    <t xml:space="preserve">7265, 7266, 7267, 7268, 7269, 7270, 7271, 7272, 7273, 7274</t>
  </si>
  <si>
    <t xml:space="preserve">OPERADORA DE TIENDAS SA</t>
  </si>
  <si>
    <t xml:space="preserve">737810</t>
  </si>
  <si>
    <t xml:space="preserve">Descripción: GASTOS DE VIAJE SUAY EN GUATEMALA 15 USD</t>
  </si>
  <si>
    <t xml:space="preserve">001-FSC-00011361</t>
  </si>
  <si>
    <t xml:space="preserve">7291</t>
  </si>
  <si>
    <t xml:space="preserve">OPERADORES DE ESTACIONES DE SERVICIO LT</t>
  </si>
  <si>
    <t xml:space="preserve">Retenciones (crédito): 51.00 | Gasto/otros: No disponible (líneas fuera del archivo exportado)</t>
  </si>
  <si>
    <t xml:space="preserve">Descripción: COMPRA COMBUSTIBLE TOYOTA CAJA MENOR</t>
  </si>
  <si>
    <t xml:space="preserve">001-FSC-00011595</t>
  </si>
  <si>
    <t xml:space="preserve">7848, 8436</t>
  </si>
  <si>
    <t xml:space="preserve">IVA: 5,460.00 | Retenciones (crédito): 0.00 | Gasto/otros: No disponible (líneas fuera del archivo exportado)</t>
  </si>
  <si>
    <t xml:space="preserve">Descripción: PEAJES DEL 12DE AGO AL 08 DESEP DE 2026 - LFM TC VISA OCCID</t>
  </si>
  <si>
    <t xml:space="preserve">001-FSC-00011487</t>
  </si>
  <si>
    <t xml:space="preserve">7951, 11476</t>
  </si>
  <si>
    <t xml:space="preserve">Descripción: COMPRA DE PAPELERIA PAR JULIAN Y BODEGA (RESMAS)</t>
  </si>
  <si>
    <t xml:space="preserve">Descripción: COMPRA DE PAPELERIA COMERCIAL CAJA MENOR</t>
  </si>
  <si>
    <t xml:space="preserve">PARQUEADERO ALBONAR</t>
  </si>
  <si>
    <t xml:space="preserve">800244815</t>
  </si>
  <si>
    <t xml:space="preserve">IVA: 479.00 | Retenciones (crédito): 0.00 | Gasto/otros: No disponible (líneas fuera del archivo exportado)</t>
  </si>
  <si>
    <t xml:space="preserve">Descripción: PARQUEADERO CAJA MENOR</t>
  </si>
  <si>
    <t xml:space="preserve">001-FSC-00011491</t>
  </si>
  <si>
    <t xml:space="preserve">7631, 11256</t>
  </si>
  <si>
    <t xml:space="preserve">PIMENTAL ALAYD DE ORTEGA MILVIA JEANNET</t>
  </si>
  <si>
    <t xml:space="preserve">1187546</t>
  </si>
  <si>
    <t xml:space="preserve">Descripción: DTE 1723681242 SERVICIO DE ALOJAMIENTO Y LIMPIEZA DEL 23 AL 28 DE AGOSTO DE 2026 - VIAJE SULAY</t>
  </si>
  <si>
    <t xml:space="preserve">001-FSC-00011360</t>
  </si>
  <si>
    <t xml:space="preserve">7255</t>
  </si>
  <si>
    <t xml:space="preserve">PROFESSIONAL SOLUTIONS PERU SRL</t>
  </si>
  <si>
    <t xml:space="preserve">20517059715</t>
  </si>
  <si>
    <t xml:space="preserve">7259, 7260</t>
  </si>
  <si>
    <t xml:space="preserve">22100501 PROVEEDORES DEL EXTERIOR; 51103501 ASESORIA TECNICA</t>
  </si>
  <si>
    <t xml:space="preserve">Gastos: 14,371,889.00 | Retenciones (crédito): 0.00</t>
  </si>
  <si>
    <t xml:space="preserve">Descripción: E001-944 CUOTA NRO 3 PROYECTO IMPLEMENTAICON SAP Y DESARROLLO E INTEGRACION DE HERRAMIENTAS TECNOLOG</t>
  </si>
  <si>
    <t xml:space="preserve">001-FSC-00011565</t>
  </si>
  <si>
    <t xml:space="preserve">7261, 16241</t>
  </si>
  <si>
    <t xml:space="preserve">RYA EQUIPMENTS</t>
  </si>
  <si>
    <t xml:space="preserve">44444449</t>
  </si>
  <si>
    <t xml:space="preserve">7285</t>
  </si>
  <si>
    <t xml:space="preserve">SALERNITANO S.A.S.</t>
  </si>
  <si>
    <t xml:space="preserve">Descripción: SERVICIO DE REFRIGERIO LFM CAJA MENOR</t>
  </si>
  <si>
    <t xml:space="preserve">SOCIEDAD PORTUARIA TERMINAL DE CONTENED</t>
  </si>
  <si>
    <t xml:space="preserve">Otros conceptos: 333,436.00 | Retenciones (crédito): 0.00</t>
  </si>
  <si>
    <t xml:space="preserve">Descripción: PAGO BODEGAJE IMPORTACION SEGUN BL272052412</t>
  </si>
  <si>
    <t xml:space="preserve">001-FPI-00000482</t>
  </si>
  <si>
    <t xml:space="preserve">7561, 12576</t>
  </si>
  <si>
    <t xml:space="preserve">Otros conceptos: 207,642.00 | Retenciones (crédito): 0.00</t>
  </si>
  <si>
    <t xml:space="preserve">Descripción: PESAJE DE CONTENEDOR SEGUN BL272052412</t>
  </si>
  <si>
    <t xml:space="preserve">001-FPI-00000483</t>
  </si>
  <si>
    <t xml:space="preserve">7562, 12577</t>
  </si>
  <si>
    <t xml:space="preserve">Otros conceptos: 1,112,420.00 | Retenciones (crédito): 0.00</t>
  </si>
  <si>
    <t xml:space="preserve">Descripción: GASTOS DE IMPORTACION SEGUN BL272052412</t>
  </si>
  <si>
    <t xml:space="preserve">001-FPI-00000484</t>
  </si>
  <si>
    <t xml:space="preserve">7563, 12578</t>
  </si>
  <si>
    <t xml:space="preserve">SODIMAC COLOMBIA SA</t>
  </si>
  <si>
    <t xml:space="preserve">IVA: 8,526.00 | Retenciones (crédito): 0.00 | Gasto/otros: No disponible (líneas fuera del archivo exportado)</t>
  </si>
  <si>
    <t xml:space="preserve">Descripción: COPRA DE GUANTES MULTIPLEX ZONA FRANCA</t>
  </si>
  <si>
    <t xml:space="preserve">001-FSC-00011404</t>
  </si>
  <si>
    <t xml:space="preserve">7600, 11077</t>
  </si>
  <si>
    <t xml:space="preserve">IVA: 19,255.00 | Retenciones (crédito): 0.00 | Gasto/otros: No disponible (líneas fuera del archivo exportado)</t>
  </si>
  <si>
    <t xml:space="preserve">Descripción: COMPRA DE TABLERO BIFASE LINEA PARA REPARCION BODEGA TERREOMOTO 10/08/2026</t>
  </si>
  <si>
    <t xml:space="preserve">001-FSC-00011495</t>
  </si>
  <si>
    <t xml:space="preserve">7609, 11079</t>
  </si>
  <si>
    <t xml:space="preserve">Descripción: COMPRA DE CABLES, CINTA, TUBOS, ENCHUFES Y OTROS INSUMOS PARA REPARACION BODEGA TERREMOTOR 10/08/202</t>
  </si>
  <si>
    <t xml:space="preserve">Descripción: COMPRA DE CNALES DRYWAL PARA REPARACION BODEGA TERREMOTO 10/08/2026</t>
  </si>
  <si>
    <t xml:space="preserve">Descripción: COMPRA DE PINTURA, AISLANTES TERMICO Y OTROS INSUMOS PARA REPARACION DE BODEGA TERREMOTO 10/08/2026</t>
  </si>
  <si>
    <t xml:space="preserve">Descripción: fe 2409 compra de plastico para amblaje de pantallas evento medellin caja menor</t>
  </si>
  <si>
    <t xml:space="preserve">Descripción: COMPRA DE ELEMENTOS DE ASEO ZF CAJA MENOR</t>
  </si>
  <si>
    <t xml:space="preserve">Descripción: - COMPRA DE VENTILADOR RECEPCION</t>
  </si>
  <si>
    <t xml:space="preserve">Inventarios/activos: 129,900.00 | Retenciones (crédito): 0.00</t>
  </si>
  <si>
    <t xml:space="preserve">Descripción: - COMPRA DE VENTILADOR COCINA CAJA MENOR</t>
  </si>
  <si>
    <t xml:space="preserve">001-FSC-00011519</t>
  </si>
  <si>
    <t xml:space="preserve">7091, 7618</t>
  </si>
  <si>
    <t xml:space="preserve">Descripción: COMPRA DE INSUMOS PARA REPARACION BODEGA SINIESTRO 10/08/2026</t>
  </si>
  <si>
    <t xml:space="preserve">Descripción: COMPRA CAJON PESADO CONTABILIDAD CAJA MENOR</t>
  </si>
  <si>
    <t xml:space="preserve">Descripción: COMPRA DE REPUESTOS VALVULA Y TAPON ZF CAJA MENOR</t>
  </si>
  <si>
    <t xml:space="preserve">Descripción: COMPRA DE MATRIALES ADECUACION BODEGA ZF SINIESTRO CAJA MENRO</t>
  </si>
  <si>
    <t xml:space="preserve">Descripción: DOTACIN PARA JESSICA Y LEIDY CAJA MENOR</t>
  </si>
  <si>
    <t xml:space="preserve">SURAMERICA COMERCIAL SAS</t>
  </si>
  <si>
    <t xml:space="preserve">Descripción: COMPRA DE ELEMENTOS DE ASEO OFICINA CAJA MENOR</t>
  </si>
  <si>
    <t xml:space="preserve">001-FSC-00011505</t>
  </si>
  <si>
    <t xml:space="preserve">7910</t>
  </si>
  <si>
    <t xml:space="preserve">Descripción: SERVICO DE TRANSPORTE FLETES DE MERCANCIA</t>
  </si>
  <si>
    <t xml:space="preserve">Descripción: ENVIO DE MERCANCIA MERCADEO EVENTO CAJA MENOR</t>
  </si>
  <si>
    <t xml:space="preserve">TRANSPORTES SANDONA S A</t>
  </si>
  <si>
    <t xml:space="preserve">891200297</t>
  </si>
  <si>
    <t xml:space="preserve">Descripción: SERVICO DE TRANSPORTE CAPACITACION CLIENTES SAN GIL BUCARAMANGA EDISON</t>
  </si>
  <si>
    <t xml:space="preserve">001-FSC-00011447</t>
  </si>
  <si>
    <t xml:space="preserve">7833</t>
  </si>
  <si>
    <t xml:space="preserve">Descripción: VIATICOS TERRESTRE DE CAPACITACION DE PASTO</t>
  </si>
  <si>
    <t xml:space="preserve">001-FSC-00011481</t>
  </si>
  <si>
    <t xml:space="preserve">7835</t>
  </si>
  <si>
    <t xml:space="preserve">TRES RIOS S.A.S.</t>
  </si>
  <si>
    <t xml:space="preserve">IVA: 447.00 | Retenciones (crédito): 0.00 | Gasto/otros: No disponible (líneas fuera del archivo exportado)</t>
  </si>
  <si>
    <t xml:space="preserve">001-FSC-00011506</t>
  </si>
  <si>
    <t xml:space="preserve">7895, 11448</t>
  </si>
  <si>
    <t xml:space="preserve">URIBE LOPEZ JUAN MANUEL</t>
  </si>
  <si>
    <t xml:space="preserve">16537474</t>
  </si>
  <si>
    <t xml:space="preserve">Otros conceptos: 138,833.00 | Retenciones (crédito): 0.00</t>
  </si>
  <si>
    <t xml:space="preserve">Descripción: - fpo 15013161 poliza de vechiculo gcz789 del periodo de sep 15 a oct 15 2026</t>
  </si>
  <si>
    <t xml:space="preserve">001-FSC-00011378</t>
  </si>
  <si>
    <t xml:space="preserve">5023, 7423</t>
  </si>
  <si>
    <t xml:space="preserve">VALENCIA MOYA BERNARDA</t>
  </si>
  <si>
    <t xml:space="preserve">Descripción: COMPRA DE BATERIA CONTROL CAMIONETA GRIS CAJA MENOR</t>
  </si>
  <si>
    <t xml:space="preserve">001-FSC-00011555</t>
  </si>
  <si>
    <t xml:space="preserve">8083</t>
  </si>
  <si>
    <t xml:space="preserve">VERANO  JUAN OMAR</t>
  </si>
  <si>
    <t xml:space="preserve">Descripción: casino por viaje de visita a clientes</t>
  </si>
  <si>
    <t xml:space="preserve">Descripción: CASINO POR VIAJE CAPACITCION CLIENTE SANGIL BUCARAMANGA</t>
  </si>
  <si>
    <t xml:space="preserve">001-FSC-00011444</t>
  </si>
  <si>
    <t xml:space="preserve">7541</t>
  </si>
  <si>
    <t xml:space="preserve">001-FSC-00011480</t>
  </si>
  <si>
    <t xml:space="preserve">7544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</si>
</sst>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.00;[RED]\-#,##0.00;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2" t="s">
        <v>1</v>
      </c>
      <c r="B3" s="4" t="n">
        <f aca="false">COUNTA(Conciliación!$M$2:$M$486)</f>
        <v>485</v>
      </c>
    </row>
    <row r="4" customFormat="false" ht="15" hidden="false" customHeight="false" outlineLevel="0" collapsed="false">
      <c r="A4" s="2" t="s">
        <v>2</v>
      </c>
      <c r="B4" s="4" t="n">
        <f aca="false">COUNTIF(Conciliación!$N$2:$N$486,"DIAN")</f>
        <v>373</v>
      </c>
    </row>
    <row r="5" customFormat="false" ht="15" hidden="false" customHeight="false" outlineLevel="0" collapsed="false">
      <c r="A5" s="2" t="s">
        <v>3</v>
      </c>
      <c r="B5" s="4" t="n">
        <f aca="false">COUNTIF(Conciliación!$N$2:$N$486,"Journal")</f>
        <v>112</v>
      </c>
    </row>
    <row r="6" customFormat="false" ht="15" hidden="false" customHeight="false" outlineLevel="0" collapsed="false">
      <c r="A6" s="2" t="s">
        <v>4</v>
      </c>
      <c r="B6" s="4" t="n">
        <f aca="false">COUNTIF(Conciliación!$M$2:$M$486,"VERIFICADO")</f>
        <v>33</v>
      </c>
    </row>
    <row r="7" customFormat="false" ht="15" hidden="false" customHeight="false" outlineLevel="0" collapsed="false">
      <c r="A7" s="2" t="s">
        <v>5</v>
      </c>
      <c r="B7" s="4" t="n">
        <f aca="false">COUNTIF(Conciliación!$M$2:$M$486,"PENDIENTE")</f>
        <v>239</v>
      </c>
    </row>
    <row r="8" customFormat="false" ht="15" hidden="false" customHeight="false" outlineLevel="0" collapsed="false">
      <c r="A8" s="2" t="s">
        <v>6</v>
      </c>
      <c r="B8" s="4" t="n">
        <f aca="false">COUNTIF(Conciliación!$M$2:$M$486,"INFORMACIÓN INSUFICIENTE")</f>
        <v>213</v>
      </c>
    </row>
    <row r="9" customFormat="false" ht="15" hidden="false" customHeight="false" outlineLevel="0" collapsed="false">
      <c r="A9" s="2" t="s">
        <v>7</v>
      </c>
      <c r="B9" s="4" t="n">
        <f aca="false">COUNTIF(Conciliación!$G$2:$G$486,"&gt;0")+COUNTIF(Conciliación!$G$2:$G$486,"&lt;0")</f>
        <v>46</v>
      </c>
    </row>
    <row r="10" customFormat="false" ht="15" hidden="false" customHeight="false" outlineLevel="0" collapsed="false">
      <c r="A10" s="2" t="s">
        <v>8</v>
      </c>
      <c r="B10" s="5" t="n">
        <f aca="false">SUMIF(Conciliación!$G$2:$G$486,"&gt;0")-SUMIF(Conciliación!$G$2:$G$486,"&lt;0")</f>
        <v>10945452.5089</v>
      </c>
    </row>
    <row r="11" customFormat="false" ht="15" hidden="false" customHeight="false" outlineLevel="0" collapsed="false">
      <c r="A11" s="2" t="s">
        <v>9</v>
      </c>
      <c r="B11" s="5" t="n">
        <f aca="false">SUM(Conciliación!$G$2:$G$486)</f>
        <v>21837.348900003</v>
      </c>
    </row>
    <row r="12" customFormat="false" ht="15" hidden="false" customHeight="false" outlineLevel="0" collapsed="false">
      <c r="A12" s="2" t="s">
        <v>10</v>
      </c>
      <c r="B12" s="5" t="n">
        <f aca="false">COUNTA('Pendientes de revisión manual'!$M$2:$M$453)</f>
        <v>452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6" t="s">
        <v>11</v>
      </c>
      <c r="B14" s="3"/>
    </row>
    <row r="15" customFormat="false" ht="15" hidden="false" customHeight="false" outlineLevel="0" collapsed="false">
      <c r="A15" s="2" t="s">
        <v>12</v>
      </c>
      <c r="B15" s="3"/>
    </row>
    <row r="16" customFormat="false" ht="23.85" hidden="false" customHeight="false" outlineLevel="0" collapsed="false">
      <c r="A16" s="2" t="s">
        <v>13</v>
      </c>
      <c r="B16" s="3"/>
    </row>
    <row r="17" customFormat="false" ht="23.85" hidden="false" customHeight="false" outlineLevel="0" collapsed="false">
      <c r="A17" s="2" t="s">
        <v>14</v>
      </c>
      <c r="B17" s="3"/>
    </row>
    <row r="18" customFormat="false" ht="23.85" hidden="false" customHeight="false" outlineLevel="0" collapsed="false">
      <c r="A18" s="2" t="s">
        <v>15</v>
      </c>
      <c r="B18" s="3"/>
    </row>
    <row r="19" customFormat="false" ht="46.25" hidden="false" customHeight="false" outlineLevel="0" collapsed="false">
      <c r="A19" s="2" t="s">
        <v>16</v>
      </c>
      <c r="B19" s="3"/>
    </row>
    <row r="20" customFormat="false" ht="23.85" hidden="false" customHeight="false" outlineLevel="0" collapsed="false">
      <c r="A20" s="2" t="s">
        <v>17</v>
      </c>
      <c r="B20" s="3"/>
    </row>
    <row r="21" customFormat="false" ht="15" hidden="false" customHeight="false" outlineLevel="0" collapsed="false">
      <c r="A21" s="2" t="s">
        <v>18</v>
      </c>
      <c r="B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7" min="5" style="0" width="16"/>
    <col collapsed="false" customWidth="true" hidden="false" outlineLevel="0" max="8" min="8" style="0" width="48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2" min="11" style="0" width="48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22"/>
  </cols>
  <sheetData>
    <row r="1" customFormat="false" ht="39.5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</row>
    <row r="2" customFormat="false" ht="43.25" hidden="false" customHeight="false" outlineLevel="0" collapsed="false">
      <c r="A2" s="8" t="s">
        <v>37</v>
      </c>
      <c r="B2" s="8" t="s">
        <v>38</v>
      </c>
      <c r="C2" s="8" t="s">
        <v>39</v>
      </c>
      <c r="D2" s="8" t="s">
        <v>40</v>
      </c>
      <c r="E2" s="9" t="n">
        <v>289000</v>
      </c>
      <c r="F2" s="9" t="n">
        <v>289000</v>
      </c>
      <c r="G2" s="9" t="n">
        <f aca="false">IF(AND(ISNUMBER(E2),ISNUMBER(F2)),E2-F2,"No disponible")</f>
        <v>0</v>
      </c>
      <c r="H2" s="8" t="s">
        <v>41</v>
      </c>
      <c r="I2" s="8" t="s">
        <v>42</v>
      </c>
      <c r="J2" s="8" t="s">
        <v>43</v>
      </c>
      <c r="K2" s="8" t="s">
        <v>44</v>
      </c>
      <c r="L2" s="8" t="s">
        <v>45</v>
      </c>
      <c r="M2" s="8" t="s">
        <v>6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</row>
    <row r="3" customFormat="false" ht="53.7" hidden="false" customHeight="false" outlineLevel="0" collapsed="false">
      <c r="A3" s="8" t="s">
        <v>51</v>
      </c>
      <c r="B3" s="8" t="s">
        <v>52</v>
      </c>
      <c r="C3" s="8" t="s">
        <v>53</v>
      </c>
      <c r="D3" s="8" t="s">
        <v>54</v>
      </c>
      <c r="E3" s="9" t="n">
        <v>17074120</v>
      </c>
      <c r="F3" s="9" t="n">
        <v>17074120</v>
      </c>
      <c r="G3" s="9" t="n">
        <f aca="false">IF(AND(ISNUMBER(E3),ISNUMBER(F3)),E3-F3,"No disponible")</f>
        <v>0</v>
      </c>
      <c r="H3" s="8" t="s">
        <v>55</v>
      </c>
      <c r="I3" s="8" t="s">
        <v>56</v>
      </c>
      <c r="J3" s="8" t="s">
        <v>43</v>
      </c>
      <c r="K3" s="8" t="s">
        <v>44</v>
      </c>
      <c r="L3" s="8" t="s">
        <v>45</v>
      </c>
      <c r="M3" s="8" t="s">
        <v>6</v>
      </c>
      <c r="N3" s="8" t="s">
        <v>46</v>
      </c>
      <c r="O3" s="8" t="s">
        <v>57</v>
      </c>
      <c r="P3" s="8" t="s">
        <v>58</v>
      </c>
      <c r="Q3" s="8" t="s">
        <v>59</v>
      </c>
      <c r="R3" s="8" t="s">
        <v>50</v>
      </c>
    </row>
    <row r="4" customFormat="false" ht="43.25" hidden="false" customHeight="false" outlineLevel="0" collapsed="false">
      <c r="A4" s="8" t="s">
        <v>60</v>
      </c>
      <c r="B4" s="8" t="s">
        <v>61</v>
      </c>
      <c r="C4" s="8" t="s">
        <v>62</v>
      </c>
      <c r="D4" s="8" t="s">
        <v>63</v>
      </c>
      <c r="E4" s="9" t="n">
        <v>939272</v>
      </c>
      <c r="F4" s="9" t="n">
        <v>939272</v>
      </c>
      <c r="G4" s="9" t="n">
        <f aca="false">IF(AND(ISNUMBER(E4),ISNUMBER(F4)),E4-F4,"No disponible")</f>
        <v>0</v>
      </c>
      <c r="H4" s="8" t="s">
        <v>64</v>
      </c>
      <c r="I4" s="8" t="s">
        <v>65</v>
      </c>
      <c r="J4" s="8" t="s">
        <v>43</v>
      </c>
      <c r="K4" s="8" t="s">
        <v>44</v>
      </c>
      <c r="L4" s="8" t="s">
        <v>66</v>
      </c>
      <c r="M4" s="8" t="s">
        <v>6</v>
      </c>
      <c r="N4" s="8" t="s">
        <v>46</v>
      </c>
      <c r="O4" s="8" t="s">
        <v>67</v>
      </c>
      <c r="P4" s="8" t="s">
        <v>68</v>
      </c>
      <c r="Q4" s="8" t="s">
        <v>69</v>
      </c>
      <c r="R4" s="8" t="s">
        <v>50</v>
      </c>
    </row>
    <row r="5" customFormat="false" ht="43.25" hidden="false" customHeight="false" outlineLevel="0" collapsed="false">
      <c r="A5" s="8" t="s">
        <v>60</v>
      </c>
      <c r="B5" s="8" t="s">
        <v>61</v>
      </c>
      <c r="C5" s="8" t="s">
        <v>70</v>
      </c>
      <c r="D5" s="8" t="s">
        <v>63</v>
      </c>
      <c r="E5" s="9" t="n">
        <v>13701380</v>
      </c>
      <c r="F5" s="9" t="n">
        <v>13701380</v>
      </c>
      <c r="G5" s="9" t="n">
        <f aca="false">IF(AND(ISNUMBER(E5),ISNUMBER(F5)),E5-F5,"No disponible")</f>
        <v>0</v>
      </c>
      <c r="H5" s="8" t="s">
        <v>64</v>
      </c>
      <c r="I5" s="8" t="s">
        <v>56</v>
      </c>
      <c r="J5" s="8" t="s">
        <v>43</v>
      </c>
      <c r="K5" s="8" t="s">
        <v>44</v>
      </c>
      <c r="L5" s="8" t="s">
        <v>45</v>
      </c>
      <c r="M5" s="8" t="s">
        <v>6</v>
      </c>
      <c r="N5" s="8" t="s">
        <v>46</v>
      </c>
      <c r="O5" s="8" t="s">
        <v>71</v>
      </c>
      <c r="P5" s="8" t="s">
        <v>72</v>
      </c>
      <c r="Q5" s="8" t="s">
        <v>59</v>
      </c>
      <c r="R5" s="8" t="s">
        <v>50</v>
      </c>
    </row>
    <row r="6" customFormat="false" ht="43.25" hidden="false" customHeight="false" outlineLevel="0" collapsed="false">
      <c r="A6" s="8" t="s">
        <v>60</v>
      </c>
      <c r="B6" s="8" t="s">
        <v>61</v>
      </c>
      <c r="C6" s="8" t="s">
        <v>73</v>
      </c>
      <c r="D6" s="8" t="s">
        <v>63</v>
      </c>
      <c r="E6" s="9" t="n">
        <v>4535050</v>
      </c>
      <c r="F6" s="9" t="n">
        <v>4535050</v>
      </c>
      <c r="G6" s="9" t="n">
        <f aca="false">IF(AND(ISNUMBER(E6),ISNUMBER(F6)),E6-F6,"No disponible")</f>
        <v>0</v>
      </c>
      <c r="H6" s="8" t="s">
        <v>64</v>
      </c>
      <c r="I6" s="8" t="s">
        <v>56</v>
      </c>
      <c r="J6" s="8" t="s">
        <v>43</v>
      </c>
      <c r="K6" s="8" t="s">
        <v>44</v>
      </c>
      <c r="L6" s="8" t="s">
        <v>45</v>
      </c>
      <c r="M6" s="8" t="s">
        <v>6</v>
      </c>
      <c r="N6" s="8" t="s">
        <v>46</v>
      </c>
      <c r="O6" s="8" t="s">
        <v>74</v>
      </c>
      <c r="P6" s="8" t="s">
        <v>75</v>
      </c>
      <c r="Q6" s="8" t="s">
        <v>59</v>
      </c>
      <c r="R6" s="8" t="s">
        <v>50</v>
      </c>
    </row>
    <row r="7" customFormat="false" ht="43.25" hidden="false" customHeight="false" outlineLevel="0" collapsed="false">
      <c r="A7" s="8" t="s">
        <v>76</v>
      </c>
      <c r="B7" s="8" t="s">
        <v>61</v>
      </c>
      <c r="C7" s="8" t="s">
        <v>77</v>
      </c>
      <c r="D7" s="8" t="s">
        <v>78</v>
      </c>
      <c r="E7" s="9" t="n">
        <v>3317339</v>
      </c>
      <c r="F7" s="9" t="n">
        <v>3317399</v>
      </c>
      <c r="G7" s="9" t="n">
        <f aca="false">IF(AND(ISNUMBER(E7),ISNUMBER(F7)),E7-F7,"No disponible")</f>
        <v>-60</v>
      </c>
      <c r="H7" s="8" t="s">
        <v>79</v>
      </c>
      <c r="I7" s="8" t="s">
        <v>80</v>
      </c>
      <c r="J7" s="8" t="s">
        <v>43</v>
      </c>
      <c r="K7" s="8" t="s">
        <v>81</v>
      </c>
      <c r="L7" s="8" t="s">
        <v>45</v>
      </c>
      <c r="M7" s="8" t="s">
        <v>82</v>
      </c>
      <c r="N7" s="8" t="s">
        <v>46</v>
      </c>
      <c r="O7" s="8" t="s">
        <v>83</v>
      </c>
      <c r="P7" s="8" t="s">
        <v>84</v>
      </c>
      <c r="Q7" s="8" t="s">
        <v>59</v>
      </c>
      <c r="R7" s="8" t="s">
        <v>50</v>
      </c>
    </row>
    <row r="8" customFormat="false" ht="43.25" hidden="false" customHeight="false" outlineLevel="0" collapsed="false">
      <c r="A8" s="8" t="s">
        <v>76</v>
      </c>
      <c r="B8" s="8" t="s">
        <v>61</v>
      </c>
      <c r="C8" s="8" t="s">
        <v>85</v>
      </c>
      <c r="D8" s="8" t="s">
        <v>86</v>
      </c>
      <c r="E8" s="9" t="n">
        <v>417940</v>
      </c>
      <c r="F8" s="9" t="s">
        <v>87</v>
      </c>
      <c r="G8" s="9" t="str">
        <f aca="false">IF(AND(ISNUMBER(E8),ISNUMBER(F8)),E8-F8,"No disponible")</f>
        <v>No disponible</v>
      </c>
      <c r="H8" s="8" t="s">
        <v>86</v>
      </c>
      <c r="I8" s="8" t="s">
        <v>80</v>
      </c>
      <c r="J8" s="8" t="s">
        <v>87</v>
      </c>
      <c r="K8" s="8" t="s">
        <v>88</v>
      </c>
      <c r="L8" s="8" t="s">
        <v>89</v>
      </c>
      <c r="M8" s="8" t="s">
        <v>82</v>
      </c>
      <c r="N8" s="8" t="s">
        <v>46</v>
      </c>
      <c r="O8" s="8" t="s">
        <v>87</v>
      </c>
      <c r="P8" s="8"/>
      <c r="Q8" s="8" t="s">
        <v>87</v>
      </c>
      <c r="R8" s="8" t="s">
        <v>86</v>
      </c>
    </row>
    <row r="9" customFormat="false" ht="43.25" hidden="false" customHeight="false" outlineLevel="0" collapsed="false">
      <c r="A9" s="8" t="s">
        <v>90</v>
      </c>
      <c r="B9" s="8" t="s">
        <v>91</v>
      </c>
      <c r="C9" s="8" t="s">
        <v>92</v>
      </c>
      <c r="D9" s="8" t="s">
        <v>93</v>
      </c>
      <c r="E9" s="9" t="n">
        <v>553160</v>
      </c>
      <c r="F9" s="9" t="n">
        <v>553160</v>
      </c>
      <c r="G9" s="9" t="n">
        <f aca="false">IF(AND(ISNUMBER(E9),ISNUMBER(F9)),E9-F9,"No disponible")</f>
        <v>0</v>
      </c>
      <c r="H9" s="8" t="s">
        <v>94</v>
      </c>
      <c r="I9" s="8" t="s">
        <v>56</v>
      </c>
      <c r="J9" s="8" t="s">
        <v>43</v>
      </c>
      <c r="K9" s="8" t="s">
        <v>44</v>
      </c>
      <c r="L9" s="8" t="s">
        <v>45</v>
      </c>
      <c r="M9" s="8" t="s">
        <v>6</v>
      </c>
      <c r="N9" s="8" t="s">
        <v>46</v>
      </c>
      <c r="O9" s="8" t="s">
        <v>95</v>
      </c>
      <c r="P9" s="8" t="s">
        <v>96</v>
      </c>
      <c r="Q9" s="8" t="s">
        <v>59</v>
      </c>
      <c r="R9" s="8" t="s">
        <v>50</v>
      </c>
    </row>
    <row r="10" customFormat="false" ht="43.25" hidden="false" customHeight="false" outlineLevel="0" collapsed="false">
      <c r="A10" s="8" t="s">
        <v>97</v>
      </c>
      <c r="B10" s="8" t="s">
        <v>98</v>
      </c>
      <c r="C10" s="8" t="s">
        <v>99</v>
      </c>
      <c r="D10" s="8" t="s">
        <v>100</v>
      </c>
      <c r="E10" s="9" t="n">
        <v>450000</v>
      </c>
      <c r="F10" s="9" t="n">
        <v>450000</v>
      </c>
      <c r="G10" s="9" t="n">
        <f aca="false">IF(AND(ISNUMBER(E10),ISNUMBER(F10)),E10-F10,"No disponible")</f>
        <v>0</v>
      </c>
      <c r="H10" s="8" t="s">
        <v>101</v>
      </c>
      <c r="I10" s="8" t="s">
        <v>56</v>
      </c>
      <c r="J10" s="8" t="s">
        <v>43</v>
      </c>
      <c r="K10" s="8" t="s">
        <v>44</v>
      </c>
      <c r="L10" s="8" t="s">
        <v>45</v>
      </c>
      <c r="M10" s="8" t="s">
        <v>6</v>
      </c>
      <c r="N10" s="8" t="s">
        <v>46</v>
      </c>
      <c r="O10" s="8" t="s">
        <v>102</v>
      </c>
      <c r="P10" s="8" t="s">
        <v>103</v>
      </c>
      <c r="Q10" s="8" t="s">
        <v>59</v>
      </c>
      <c r="R10" s="8" t="s">
        <v>50</v>
      </c>
    </row>
    <row r="11" customFormat="false" ht="32.8" hidden="false" customHeight="false" outlineLevel="0" collapsed="false">
      <c r="A11" s="8" t="s">
        <v>97</v>
      </c>
      <c r="B11" s="8" t="s">
        <v>98</v>
      </c>
      <c r="C11" s="8" t="s">
        <v>104</v>
      </c>
      <c r="D11" s="8" t="s">
        <v>105</v>
      </c>
      <c r="E11" s="9" t="n">
        <v>3150000</v>
      </c>
      <c r="F11" s="9" t="n">
        <v>3150000</v>
      </c>
      <c r="G11" s="9" t="n">
        <f aca="false">IF(AND(ISNUMBER(E11),ISNUMBER(F11)),E11-F11,"No disponible")</f>
        <v>0</v>
      </c>
      <c r="H11" s="8" t="s">
        <v>106</v>
      </c>
      <c r="I11" s="8" t="s">
        <v>56</v>
      </c>
      <c r="J11" s="8" t="s">
        <v>43</v>
      </c>
      <c r="K11" s="8" t="s">
        <v>107</v>
      </c>
      <c r="L11" s="8" t="s">
        <v>45</v>
      </c>
      <c r="M11" s="8" t="s">
        <v>108</v>
      </c>
      <c r="N11" s="8" t="s">
        <v>46</v>
      </c>
      <c r="O11" s="8" t="s">
        <v>109</v>
      </c>
      <c r="P11" s="8" t="s">
        <v>110</v>
      </c>
      <c r="Q11" s="8" t="s">
        <v>59</v>
      </c>
      <c r="R11" s="8" t="s">
        <v>111</v>
      </c>
    </row>
    <row r="12" customFormat="false" ht="32.8" hidden="false" customHeight="false" outlineLevel="0" collapsed="false">
      <c r="A12" s="8" t="s">
        <v>97</v>
      </c>
      <c r="B12" s="8" t="s">
        <v>98</v>
      </c>
      <c r="C12" s="8" t="s">
        <v>112</v>
      </c>
      <c r="D12" s="8" t="s">
        <v>105</v>
      </c>
      <c r="E12" s="9" t="n">
        <v>450000</v>
      </c>
      <c r="F12" s="9" t="n">
        <v>449999</v>
      </c>
      <c r="G12" s="9" t="n">
        <f aca="false">IF(AND(ISNUMBER(E12),ISNUMBER(F12)),E12-F12,"No disponible")</f>
        <v>1</v>
      </c>
      <c r="H12" s="8" t="s">
        <v>113</v>
      </c>
      <c r="I12" s="8" t="s">
        <v>56</v>
      </c>
      <c r="J12" s="8" t="s">
        <v>43</v>
      </c>
      <c r="K12" s="8" t="s">
        <v>114</v>
      </c>
      <c r="L12" s="8" t="s">
        <v>45</v>
      </c>
      <c r="M12" s="8" t="s">
        <v>82</v>
      </c>
      <c r="N12" s="8" t="s">
        <v>46</v>
      </c>
      <c r="O12" s="8" t="s">
        <v>115</v>
      </c>
      <c r="P12" s="8" t="s">
        <v>116</v>
      </c>
      <c r="Q12" s="8" t="s">
        <v>59</v>
      </c>
      <c r="R12" s="8" t="s">
        <v>111</v>
      </c>
    </row>
    <row r="13" customFormat="false" ht="32.8" hidden="false" customHeight="false" outlineLevel="0" collapsed="false">
      <c r="A13" s="8" t="s">
        <v>117</v>
      </c>
      <c r="B13" s="8" t="s">
        <v>118</v>
      </c>
      <c r="C13" s="8" t="s">
        <v>119</v>
      </c>
      <c r="D13" s="8" t="s">
        <v>120</v>
      </c>
      <c r="E13" s="9" t="n">
        <v>792000.02</v>
      </c>
      <c r="F13" s="9" t="n">
        <v>792000</v>
      </c>
      <c r="G13" s="9" t="n">
        <f aca="false">IF(AND(ISNUMBER(E13),ISNUMBER(F13)),E13-F13,"No disponible")</f>
        <v>0.0200000000186265</v>
      </c>
      <c r="H13" s="8" t="s">
        <v>121</v>
      </c>
      <c r="I13" s="8" t="s">
        <v>56</v>
      </c>
      <c r="J13" s="8" t="s">
        <v>43</v>
      </c>
      <c r="K13" s="8" t="s">
        <v>81</v>
      </c>
      <c r="L13" s="8" t="s">
        <v>45</v>
      </c>
      <c r="M13" s="8" t="s">
        <v>82</v>
      </c>
      <c r="N13" s="8" t="s">
        <v>46</v>
      </c>
      <c r="O13" s="8" t="s">
        <v>122</v>
      </c>
      <c r="P13" s="8" t="s">
        <v>123</v>
      </c>
      <c r="Q13" s="8" t="s">
        <v>59</v>
      </c>
      <c r="R13" s="8" t="s">
        <v>50</v>
      </c>
    </row>
    <row r="14" customFormat="false" ht="43.25" hidden="false" customHeight="false" outlineLevel="0" collapsed="false">
      <c r="A14" s="8" t="s">
        <v>124</v>
      </c>
      <c r="B14" s="8" t="s">
        <v>125</v>
      </c>
      <c r="C14" s="8" t="s">
        <v>126</v>
      </c>
      <c r="D14" s="8" t="s">
        <v>127</v>
      </c>
      <c r="E14" s="9" t="n">
        <v>37080</v>
      </c>
      <c r="F14" s="9" t="n">
        <v>37080</v>
      </c>
      <c r="G14" s="9" t="n">
        <f aca="false">IF(AND(ISNUMBER(E14),ISNUMBER(F14)),E14-F14,"No disponible")</f>
        <v>0</v>
      </c>
      <c r="H14" s="8" t="s">
        <v>64</v>
      </c>
      <c r="I14" s="8" t="s">
        <v>56</v>
      </c>
      <c r="J14" s="8" t="s">
        <v>43</v>
      </c>
      <c r="K14" s="8" t="s">
        <v>44</v>
      </c>
      <c r="L14" s="8" t="s">
        <v>45</v>
      </c>
      <c r="M14" s="8" t="s">
        <v>6</v>
      </c>
      <c r="N14" s="8" t="s">
        <v>46</v>
      </c>
      <c r="O14" s="8" t="s">
        <v>128</v>
      </c>
      <c r="P14" s="8" t="s">
        <v>129</v>
      </c>
      <c r="Q14" s="8" t="s">
        <v>59</v>
      </c>
      <c r="R14" s="8" t="s">
        <v>50</v>
      </c>
    </row>
    <row r="15" customFormat="false" ht="32.8" hidden="false" customHeight="false" outlineLevel="0" collapsed="false">
      <c r="A15" s="8" t="s">
        <v>130</v>
      </c>
      <c r="B15" s="8" t="s">
        <v>131</v>
      </c>
      <c r="C15" s="8" t="s">
        <v>132</v>
      </c>
      <c r="D15" s="8" t="s">
        <v>133</v>
      </c>
      <c r="E15" s="9" t="n">
        <v>1850000</v>
      </c>
      <c r="F15" s="9" t="n">
        <v>1850000</v>
      </c>
      <c r="G15" s="9" t="n">
        <f aca="false">IF(AND(ISNUMBER(E15),ISNUMBER(F15)),E15-F15,"No disponible")</f>
        <v>0</v>
      </c>
      <c r="H15" s="8" t="s">
        <v>134</v>
      </c>
      <c r="I15" s="8" t="s">
        <v>56</v>
      </c>
      <c r="J15" s="8" t="s">
        <v>43</v>
      </c>
      <c r="K15" s="8" t="s">
        <v>107</v>
      </c>
      <c r="L15" s="8" t="s">
        <v>45</v>
      </c>
      <c r="M15" s="8" t="s">
        <v>108</v>
      </c>
      <c r="N15" s="8" t="s">
        <v>46</v>
      </c>
      <c r="O15" s="8" t="s">
        <v>135</v>
      </c>
      <c r="P15" s="8" t="s">
        <v>136</v>
      </c>
      <c r="Q15" s="8" t="s">
        <v>59</v>
      </c>
      <c r="R15" s="8" t="s">
        <v>111</v>
      </c>
    </row>
    <row r="16" customFormat="false" ht="22.35" hidden="false" customHeight="false" outlineLevel="0" collapsed="false">
      <c r="A16" s="8" t="s">
        <v>137</v>
      </c>
      <c r="B16" s="8" t="s">
        <v>138</v>
      </c>
      <c r="C16" s="8" t="s">
        <v>139</v>
      </c>
      <c r="D16" s="8" t="s">
        <v>86</v>
      </c>
      <c r="E16" s="9" t="n">
        <v>601985.3</v>
      </c>
      <c r="F16" s="9" t="s">
        <v>87</v>
      </c>
      <c r="G16" s="9" t="str">
        <f aca="false">IF(AND(ISNUMBER(E16),ISNUMBER(F16)),E16-F16,"No disponible")</f>
        <v>No disponible</v>
      </c>
      <c r="H16" s="8" t="s">
        <v>86</v>
      </c>
      <c r="I16" s="8" t="s">
        <v>56</v>
      </c>
      <c r="J16" s="8" t="s">
        <v>87</v>
      </c>
      <c r="K16" s="8" t="s">
        <v>140</v>
      </c>
      <c r="L16" s="8" t="s">
        <v>141</v>
      </c>
      <c r="M16" s="8" t="s">
        <v>82</v>
      </c>
      <c r="N16" s="8" t="s">
        <v>46</v>
      </c>
      <c r="O16" s="8" t="s">
        <v>87</v>
      </c>
      <c r="P16" s="8"/>
      <c r="Q16" s="8" t="s">
        <v>87</v>
      </c>
      <c r="R16" s="8" t="s">
        <v>86</v>
      </c>
    </row>
    <row r="17" customFormat="false" ht="43.25" hidden="false" customHeight="false" outlineLevel="0" collapsed="false">
      <c r="A17" s="8" t="s">
        <v>142</v>
      </c>
      <c r="B17" s="8" t="s">
        <v>143</v>
      </c>
      <c r="C17" s="8" t="s">
        <v>144</v>
      </c>
      <c r="D17" s="8" t="s">
        <v>145</v>
      </c>
      <c r="E17" s="9" t="n">
        <v>138900</v>
      </c>
      <c r="F17" s="9" t="n">
        <v>138900</v>
      </c>
      <c r="G17" s="9" t="n">
        <f aca="false">IF(AND(ISNUMBER(E17),ISNUMBER(F17)),E17-F17,"No disponible")</f>
        <v>0</v>
      </c>
      <c r="H17" s="8" t="s">
        <v>146</v>
      </c>
      <c r="I17" s="8" t="s">
        <v>56</v>
      </c>
      <c r="J17" s="8" t="s">
        <v>43</v>
      </c>
      <c r="K17" s="8" t="s">
        <v>44</v>
      </c>
      <c r="L17" s="8" t="s">
        <v>45</v>
      </c>
      <c r="M17" s="8" t="s">
        <v>6</v>
      </c>
      <c r="N17" s="8" t="s">
        <v>46</v>
      </c>
      <c r="O17" s="8" t="s">
        <v>147</v>
      </c>
      <c r="P17" s="8" t="s">
        <v>148</v>
      </c>
      <c r="Q17" s="8" t="s">
        <v>59</v>
      </c>
      <c r="R17" s="8" t="s">
        <v>50</v>
      </c>
    </row>
    <row r="18" customFormat="false" ht="43.25" hidden="false" customHeight="false" outlineLevel="0" collapsed="false">
      <c r="A18" s="8" t="s">
        <v>149</v>
      </c>
      <c r="B18" s="8" t="s">
        <v>150</v>
      </c>
      <c r="C18" s="8" t="s">
        <v>151</v>
      </c>
      <c r="D18" s="8" t="s">
        <v>152</v>
      </c>
      <c r="E18" s="9" t="n">
        <v>6961500</v>
      </c>
      <c r="F18" s="9" t="n">
        <v>3553875</v>
      </c>
      <c r="G18" s="9" t="n">
        <f aca="false">IF(AND(ISNUMBER(E18),ISNUMBER(F18)),E18-F18,"No disponible")</f>
        <v>3407625</v>
      </c>
      <c r="H18" s="8" t="s">
        <v>153</v>
      </c>
      <c r="I18" s="8" t="s">
        <v>56</v>
      </c>
      <c r="J18" s="8" t="s">
        <v>43</v>
      </c>
      <c r="K18" s="8" t="s">
        <v>81</v>
      </c>
      <c r="L18" s="8" t="s">
        <v>45</v>
      </c>
      <c r="M18" s="8" t="s">
        <v>82</v>
      </c>
      <c r="N18" s="8" t="s">
        <v>46</v>
      </c>
      <c r="O18" s="8" t="s">
        <v>154</v>
      </c>
      <c r="P18" s="8" t="s">
        <v>155</v>
      </c>
      <c r="Q18" s="8" t="s">
        <v>59</v>
      </c>
      <c r="R18" s="8" t="s">
        <v>50</v>
      </c>
    </row>
    <row r="19" customFormat="false" ht="43.25" hidden="false" customHeight="false" outlineLevel="0" collapsed="false">
      <c r="A19" s="8" t="s">
        <v>156</v>
      </c>
      <c r="B19" s="8" t="s">
        <v>157</v>
      </c>
      <c r="C19" s="8" t="s">
        <v>158</v>
      </c>
      <c r="D19" s="8" t="s">
        <v>159</v>
      </c>
      <c r="E19" s="9" t="n">
        <v>561300</v>
      </c>
      <c r="F19" s="9" t="n">
        <v>561300</v>
      </c>
      <c r="G19" s="9" t="n">
        <f aca="false">IF(AND(ISNUMBER(E19),ISNUMBER(F19)),E19-F19,"No disponible")</f>
        <v>0</v>
      </c>
      <c r="H19" s="8" t="s">
        <v>160</v>
      </c>
      <c r="I19" s="8" t="s">
        <v>56</v>
      </c>
      <c r="J19" s="8" t="s">
        <v>43</v>
      </c>
      <c r="K19" s="8" t="s">
        <v>44</v>
      </c>
      <c r="L19" s="8" t="s">
        <v>45</v>
      </c>
      <c r="M19" s="8" t="s">
        <v>6</v>
      </c>
      <c r="N19" s="8" t="s">
        <v>46</v>
      </c>
      <c r="O19" s="8" t="s">
        <v>161</v>
      </c>
      <c r="P19" s="8" t="s">
        <v>162</v>
      </c>
      <c r="Q19" s="8" t="s">
        <v>59</v>
      </c>
      <c r="R19" s="8" t="s">
        <v>50</v>
      </c>
    </row>
    <row r="20" customFormat="false" ht="43.25" hidden="false" customHeight="false" outlineLevel="0" collapsed="false">
      <c r="A20" s="8" t="s">
        <v>163</v>
      </c>
      <c r="B20" s="8" t="s">
        <v>164</v>
      </c>
      <c r="C20" s="8" t="s">
        <v>165</v>
      </c>
      <c r="D20" s="8" t="s">
        <v>166</v>
      </c>
      <c r="E20" s="9" t="n">
        <v>1620000</v>
      </c>
      <c r="F20" s="9" t="n">
        <v>1620000</v>
      </c>
      <c r="G20" s="9" t="n">
        <f aca="false">IF(AND(ISNUMBER(E20),ISNUMBER(F20)),E20-F20,"No disponible")</f>
        <v>0</v>
      </c>
      <c r="H20" s="8" t="s">
        <v>167</v>
      </c>
      <c r="I20" s="8" t="s">
        <v>42</v>
      </c>
      <c r="J20" s="8" t="s">
        <v>43</v>
      </c>
      <c r="K20" s="8" t="s">
        <v>44</v>
      </c>
      <c r="L20" s="8" t="s">
        <v>45</v>
      </c>
      <c r="M20" s="8" t="s">
        <v>6</v>
      </c>
      <c r="N20" s="8" t="s">
        <v>46</v>
      </c>
      <c r="O20" s="8" t="s">
        <v>168</v>
      </c>
      <c r="P20" s="8" t="s">
        <v>169</v>
      </c>
      <c r="Q20" s="8" t="s">
        <v>59</v>
      </c>
      <c r="R20" s="8" t="s">
        <v>50</v>
      </c>
    </row>
    <row r="21" customFormat="false" ht="43.25" hidden="false" customHeight="false" outlineLevel="0" collapsed="false">
      <c r="A21" s="8" t="s">
        <v>163</v>
      </c>
      <c r="B21" s="8" t="s">
        <v>164</v>
      </c>
      <c r="C21" s="8" t="s">
        <v>170</v>
      </c>
      <c r="D21" s="8" t="s">
        <v>171</v>
      </c>
      <c r="E21" s="9" t="n">
        <v>3000000</v>
      </c>
      <c r="F21" s="9" t="n">
        <v>3000000</v>
      </c>
      <c r="G21" s="9" t="n">
        <f aca="false">IF(AND(ISNUMBER(E21),ISNUMBER(F21)),E21-F21,"No disponible")</f>
        <v>0</v>
      </c>
      <c r="H21" s="8" t="s">
        <v>172</v>
      </c>
      <c r="I21" s="8" t="s">
        <v>42</v>
      </c>
      <c r="J21" s="8" t="s">
        <v>43</v>
      </c>
      <c r="K21" s="8" t="s">
        <v>44</v>
      </c>
      <c r="L21" s="8" t="s">
        <v>45</v>
      </c>
      <c r="M21" s="8" t="s">
        <v>6</v>
      </c>
      <c r="N21" s="8" t="s">
        <v>46</v>
      </c>
      <c r="O21" s="8" t="s">
        <v>173</v>
      </c>
      <c r="P21" s="8" t="s">
        <v>174</v>
      </c>
      <c r="Q21" s="8" t="s">
        <v>59</v>
      </c>
      <c r="R21" s="8" t="s">
        <v>50</v>
      </c>
    </row>
    <row r="22" customFormat="false" ht="64.15" hidden="false" customHeight="false" outlineLevel="0" collapsed="false">
      <c r="A22" s="8" t="s">
        <v>163</v>
      </c>
      <c r="B22" s="8" t="s">
        <v>164</v>
      </c>
      <c r="C22" s="8" t="s">
        <v>175</v>
      </c>
      <c r="D22" s="8" t="s">
        <v>176</v>
      </c>
      <c r="E22" s="9" t="n">
        <v>636500</v>
      </c>
      <c r="F22" s="9" t="n">
        <v>636500</v>
      </c>
      <c r="G22" s="9" t="n">
        <f aca="false">IF(AND(ISNUMBER(E22),ISNUMBER(F22)),E22-F22,"No disponible")</f>
        <v>0</v>
      </c>
      <c r="H22" s="8" t="s">
        <v>177</v>
      </c>
      <c r="I22" s="8" t="s">
        <v>42</v>
      </c>
      <c r="J22" s="8" t="s">
        <v>43</v>
      </c>
      <c r="K22" s="8" t="s">
        <v>44</v>
      </c>
      <c r="L22" s="8" t="s">
        <v>45</v>
      </c>
      <c r="M22" s="8" t="s">
        <v>6</v>
      </c>
      <c r="N22" s="8" t="s">
        <v>46</v>
      </c>
      <c r="O22" s="8" t="s">
        <v>178</v>
      </c>
      <c r="P22" s="8" t="s">
        <v>179</v>
      </c>
      <c r="Q22" s="8" t="s">
        <v>59</v>
      </c>
      <c r="R22" s="8" t="s">
        <v>50</v>
      </c>
    </row>
    <row r="23" customFormat="false" ht="32.8" hidden="false" customHeight="false" outlineLevel="0" collapsed="false">
      <c r="A23" s="8" t="s">
        <v>180</v>
      </c>
      <c r="B23" s="8" t="s">
        <v>181</v>
      </c>
      <c r="C23" s="8" t="s">
        <v>182</v>
      </c>
      <c r="D23" s="8" t="s">
        <v>183</v>
      </c>
      <c r="E23" s="9" t="n">
        <v>275000</v>
      </c>
      <c r="F23" s="9" t="n">
        <v>275000</v>
      </c>
      <c r="G23" s="9" t="n">
        <f aca="false">IF(AND(ISNUMBER(E23),ISNUMBER(F23)),E23-F23,"No disponible")</f>
        <v>0</v>
      </c>
      <c r="H23" s="8" t="s">
        <v>184</v>
      </c>
      <c r="I23" s="8" t="s">
        <v>56</v>
      </c>
      <c r="J23" s="8" t="s">
        <v>43</v>
      </c>
      <c r="K23" s="8" t="s">
        <v>107</v>
      </c>
      <c r="L23" s="8" t="s">
        <v>45</v>
      </c>
      <c r="M23" s="8" t="s">
        <v>108</v>
      </c>
      <c r="N23" s="8" t="s">
        <v>46</v>
      </c>
      <c r="O23" s="8" t="s">
        <v>185</v>
      </c>
      <c r="P23" s="8" t="s">
        <v>186</v>
      </c>
      <c r="Q23" s="8" t="s">
        <v>59</v>
      </c>
      <c r="R23" s="8" t="s">
        <v>111</v>
      </c>
    </row>
    <row r="24" customFormat="false" ht="32.8" hidden="false" customHeight="false" outlineLevel="0" collapsed="false">
      <c r="A24" s="8" t="s">
        <v>187</v>
      </c>
      <c r="B24" s="8" t="s">
        <v>188</v>
      </c>
      <c r="C24" s="8" t="s">
        <v>189</v>
      </c>
      <c r="D24" s="8" t="s">
        <v>127</v>
      </c>
      <c r="E24" s="9" t="n">
        <v>24000</v>
      </c>
      <c r="F24" s="9" t="n">
        <v>24000</v>
      </c>
      <c r="G24" s="9" t="n">
        <f aca="false">IF(AND(ISNUMBER(E24),ISNUMBER(F24)),E24-F24,"No disponible")</f>
        <v>0</v>
      </c>
      <c r="H24" s="8" t="s">
        <v>64</v>
      </c>
      <c r="I24" s="8" t="s">
        <v>56</v>
      </c>
      <c r="J24" s="8" t="s">
        <v>43</v>
      </c>
      <c r="K24" s="8" t="s">
        <v>190</v>
      </c>
      <c r="L24" s="8" t="s">
        <v>45</v>
      </c>
      <c r="M24" s="8" t="s">
        <v>6</v>
      </c>
      <c r="N24" s="8" t="s">
        <v>46</v>
      </c>
      <c r="O24" s="8" t="s">
        <v>191</v>
      </c>
      <c r="P24" s="8" t="s">
        <v>192</v>
      </c>
      <c r="Q24" s="8" t="s">
        <v>193</v>
      </c>
      <c r="R24" s="8" t="s">
        <v>50</v>
      </c>
    </row>
    <row r="25" customFormat="false" ht="43.25" hidden="false" customHeight="false" outlineLevel="0" collapsed="false">
      <c r="A25" s="8" t="s">
        <v>187</v>
      </c>
      <c r="B25" s="8" t="s">
        <v>188</v>
      </c>
      <c r="C25" s="8" t="s">
        <v>194</v>
      </c>
      <c r="D25" s="8" t="s">
        <v>127</v>
      </c>
      <c r="E25" s="9" t="n">
        <v>26000</v>
      </c>
      <c r="F25" s="9" t="n">
        <v>26000</v>
      </c>
      <c r="G25" s="9" t="n">
        <f aca="false">IF(AND(ISNUMBER(E25),ISNUMBER(F25)),E25-F25,"No disponible")</f>
        <v>0</v>
      </c>
      <c r="H25" s="8" t="s">
        <v>64</v>
      </c>
      <c r="I25" s="8" t="s">
        <v>56</v>
      </c>
      <c r="J25" s="8" t="s">
        <v>43</v>
      </c>
      <c r="K25" s="8" t="s">
        <v>44</v>
      </c>
      <c r="L25" s="8" t="s">
        <v>45</v>
      </c>
      <c r="M25" s="8" t="s">
        <v>6</v>
      </c>
      <c r="N25" s="8" t="s">
        <v>46</v>
      </c>
      <c r="O25" s="8" t="s">
        <v>195</v>
      </c>
      <c r="P25" s="8" t="s">
        <v>196</v>
      </c>
      <c r="Q25" s="8" t="s">
        <v>59</v>
      </c>
      <c r="R25" s="8" t="s">
        <v>50</v>
      </c>
    </row>
    <row r="26" customFormat="false" ht="22.35" hidden="false" customHeight="false" outlineLevel="0" collapsed="false">
      <c r="A26" s="8" t="s">
        <v>187</v>
      </c>
      <c r="B26" s="8" t="s">
        <v>188</v>
      </c>
      <c r="C26" s="8" t="s">
        <v>197</v>
      </c>
      <c r="D26" s="8" t="s">
        <v>86</v>
      </c>
      <c r="E26" s="9" t="n">
        <v>10000</v>
      </c>
      <c r="F26" s="9" t="s">
        <v>87</v>
      </c>
      <c r="G26" s="9" t="str">
        <f aca="false">IF(AND(ISNUMBER(E26),ISNUMBER(F26)),E26-F26,"No disponible")</f>
        <v>No disponible</v>
      </c>
      <c r="H26" s="8" t="s">
        <v>86</v>
      </c>
      <c r="I26" s="8" t="s">
        <v>56</v>
      </c>
      <c r="J26" s="8" t="s">
        <v>87</v>
      </c>
      <c r="K26" s="8" t="s">
        <v>88</v>
      </c>
      <c r="L26" s="8" t="s">
        <v>89</v>
      </c>
      <c r="M26" s="8" t="s">
        <v>82</v>
      </c>
      <c r="N26" s="8" t="s">
        <v>46</v>
      </c>
      <c r="O26" s="8" t="s">
        <v>87</v>
      </c>
      <c r="P26" s="8"/>
      <c r="Q26" s="8" t="s">
        <v>87</v>
      </c>
      <c r="R26" s="8" t="s">
        <v>86</v>
      </c>
    </row>
    <row r="27" customFormat="false" ht="43.25" hidden="false" customHeight="false" outlineLevel="0" collapsed="false">
      <c r="A27" s="8" t="s">
        <v>198</v>
      </c>
      <c r="B27" s="8" t="s">
        <v>199</v>
      </c>
      <c r="C27" s="8" t="s">
        <v>200</v>
      </c>
      <c r="D27" s="8" t="s">
        <v>201</v>
      </c>
      <c r="E27" s="9" t="n">
        <v>2023000</v>
      </c>
      <c r="F27" s="9" t="n">
        <v>2023000</v>
      </c>
      <c r="G27" s="9" t="n">
        <f aca="false">IF(AND(ISNUMBER(E27),ISNUMBER(F27)),E27-F27,"No disponible")</f>
        <v>0</v>
      </c>
      <c r="H27" s="8" t="s">
        <v>202</v>
      </c>
      <c r="I27" s="8" t="s">
        <v>56</v>
      </c>
      <c r="J27" s="8" t="s">
        <v>43</v>
      </c>
      <c r="K27" s="8" t="s">
        <v>44</v>
      </c>
      <c r="L27" s="8" t="s">
        <v>45</v>
      </c>
      <c r="M27" s="8" t="s">
        <v>6</v>
      </c>
      <c r="N27" s="8" t="s">
        <v>46</v>
      </c>
      <c r="O27" s="8" t="s">
        <v>203</v>
      </c>
      <c r="P27" s="8" t="s">
        <v>204</v>
      </c>
      <c r="Q27" s="8" t="s">
        <v>59</v>
      </c>
      <c r="R27" s="8" t="s">
        <v>50</v>
      </c>
    </row>
    <row r="28" customFormat="false" ht="43.25" hidden="false" customHeight="false" outlineLevel="0" collapsed="false">
      <c r="A28" s="8" t="s">
        <v>205</v>
      </c>
      <c r="B28" s="8" t="s">
        <v>206</v>
      </c>
      <c r="C28" s="8" t="s">
        <v>207</v>
      </c>
      <c r="D28" s="8" t="s">
        <v>93</v>
      </c>
      <c r="E28" s="9" t="n">
        <v>178364</v>
      </c>
      <c r="F28" s="9" t="n">
        <v>178364</v>
      </c>
      <c r="G28" s="9" t="n">
        <f aca="false">IF(AND(ISNUMBER(E28),ISNUMBER(F28)),E28-F28,"No disponible")</f>
        <v>0</v>
      </c>
      <c r="H28" s="8" t="s">
        <v>208</v>
      </c>
      <c r="I28" s="8" t="s">
        <v>56</v>
      </c>
      <c r="J28" s="8" t="s">
        <v>43</v>
      </c>
      <c r="K28" s="8" t="s">
        <v>44</v>
      </c>
      <c r="L28" s="8" t="s">
        <v>45</v>
      </c>
      <c r="M28" s="8" t="s">
        <v>6</v>
      </c>
      <c r="N28" s="8" t="s">
        <v>46</v>
      </c>
      <c r="O28" s="8" t="s">
        <v>209</v>
      </c>
      <c r="P28" s="8" t="s">
        <v>210</v>
      </c>
      <c r="Q28" s="8" t="s">
        <v>59</v>
      </c>
      <c r="R28" s="8" t="s">
        <v>50</v>
      </c>
    </row>
    <row r="29" customFormat="false" ht="43.25" hidden="false" customHeight="false" outlineLevel="0" collapsed="false">
      <c r="A29" s="8" t="s">
        <v>211</v>
      </c>
      <c r="B29" s="8" t="s">
        <v>212</v>
      </c>
      <c r="C29" s="8" t="s">
        <v>213</v>
      </c>
      <c r="D29" s="8" t="s">
        <v>93</v>
      </c>
      <c r="E29" s="9" t="n">
        <v>942994</v>
      </c>
      <c r="F29" s="9" t="n">
        <v>942994</v>
      </c>
      <c r="G29" s="9" t="n">
        <f aca="false">IF(AND(ISNUMBER(E29),ISNUMBER(F29)),E29-F29,"No disponible")</f>
        <v>0</v>
      </c>
      <c r="H29" s="8" t="s">
        <v>214</v>
      </c>
      <c r="I29" s="8" t="s">
        <v>56</v>
      </c>
      <c r="J29" s="8" t="s">
        <v>43</v>
      </c>
      <c r="K29" s="8" t="s">
        <v>44</v>
      </c>
      <c r="L29" s="8" t="s">
        <v>45</v>
      </c>
      <c r="M29" s="8" t="s">
        <v>6</v>
      </c>
      <c r="N29" s="8" t="s">
        <v>46</v>
      </c>
      <c r="O29" s="8" t="s">
        <v>215</v>
      </c>
      <c r="P29" s="8" t="s">
        <v>216</v>
      </c>
      <c r="Q29" s="8" t="s">
        <v>59</v>
      </c>
      <c r="R29" s="8" t="s">
        <v>50</v>
      </c>
    </row>
    <row r="30" customFormat="false" ht="43.25" hidden="false" customHeight="false" outlineLevel="0" collapsed="false">
      <c r="A30" s="8" t="s">
        <v>217</v>
      </c>
      <c r="B30" s="8" t="s">
        <v>218</v>
      </c>
      <c r="C30" s="8" t="s">
        <v>219</v>
      </c>
      <c r="D30" s="8" t="s">
        <v>220</v>
      </c>
      <c r="E30" s="9" t="n">
        <v>11480000</v>
      </c>
      <c r="F30" s="9" t="n">
        <v>11480000</v>
      </c>
      <c r="G30" s="9" t="n">
        <f aca="false">IF(AND(ISNUMBER(E30),ISNUMBER(F30)),E30-F30,"No disponible")</f>
        <v>0</v>
      </c>
      <c r="H30" s="8" t="s">
        <v>221</v>
      </c>
      <c r="I30" s="8" t="s">
        <v>42</v>
      </c>
      <c r="J30" s="8" t="s">
        <v>43</v>
      </c>
      <c r="K30" s="8" t="s">
        <v>44</v>
      </c>
      <c r="L30" s="8" t="s">
        <v>45</v>
      </c>
      <c r="M30" s="8" t="s">
        <v>6</v>
      </c>
      <c r="N30" s="8" t="s">
        <v>46</v>
      </c>
      <c r="O30" s="8" t="s">
        <v>222</v>
      </c>
      <c r="P30" s="8" t="s">
        <v>223</v>
      </c>
      <c r="Q30" s="8" t="s">
        <v>59</v>
      </c>
      <c r="R30" s="8" t="s">
        <v>50</v>
      </c>
    </row>
    <row r="31" customFormat="false" ht="43.25" hidden="false" customHeight="false" outlineLevel="0" collapsed="false">
      <c r="A31" s="8" t="s">
        <v>224</v>
      </c>
      <c r="B31" s="8" t="s">
        <v>225</v>
      </c>
      <c r="C31" s="8" t="s">
        <v>226</v>
      </c>
      <c r="D31" s="8" t="s">
        <v>227</v>
      </c>
      <c r="E31" s="9" t="n">
        <v>20000</v>
      </c>
      <c r="F31" s="9" t="n">
        <v>20000</v>
      </c>
      <c r="G31" s="9" t="n">
        <f aca="false">IF(AND(ISNUMBER(E31),ISNUMBER(F31)),E31-F31,"No disponible")</f>
        <v>0</v>
      </c>
      <c r="H31" s="8" t="s">
        <v>64</v>
      </c>
      <c r="I31" s="8" t="s">
        <v>56</v>
      </c>
      <c r="J31" s="8" t="s">
        <v>43</v>
      </c>
      <c r="K31" s="8" t="s">
        <v>44</v>
      </c>
      <c r="L31" s="8" t="s">
        <v>45</v>
      </c>
      <c r="M31" s="8" t="s">
        <v>6</v>
      </c>
      <c r="N31" s="8" t="s">
        <v>46</v>
      </c>
      <c r="O31" s="8" t="s">
        <v>228</v>
      </c>
      <c r="P31" s="8" t="s">
        <v>229</v>
      </c>
      <c r="Q31" s="8" t="s">
        <v>59</v>
      </c>
      <c r="R31" s="8" t="s">
        <v>50</v>
      </c>
    </row>
    <row r="32" customFormat="false" ht="43.25" hidden="false" customHeight="false" outlineLevel="0" collapsed="false">
      <c r="A32" s="8" t="s">
        <v>230</v>
      </c>
      <c r="B32" s="8" t="s">
        <v>231</v>
      </c>
      <c r="C32" s="8" t="s">
        <v>232</v>
      </c>
      <c r="D32" s="8" t="s">
        <v>100</v>
      </c>
      <c r="E32" s="9" t="n">
        <v>145000</v>
      </c>
      <c r="F32" s="9" t="n">
        <v>145000</v>
      </c>
      <c r="G32" s="9" t="n">
        <f aca="false">IF(AND(ISNUMBER(E32),ISNUMBER(F32)),E32-F32,"No disponible")</f>
        <v>0</v>
      </c>
      <c r="H32" s="8" t="s">
        <v>233</v>
      </c>
      <c r="I32" s="8" t="s">
        <v>42</v>
      </c>
      <c r="J32" s="8" t="s">
        <v>43</v>
      </c>
      <c r="K32" s="8" t="s">
        <v>44</v>
      </c>
      <c r="L32" s="8" t="s">
        <v>45</v>
      </c>
      <c r="M32" s="8" t="s">
        <v>6</v>
      </c>
      <c r="N32" s="8" t="s">
        <v>46</v>
      </c>
      <c r="O32" s="8" t="s">
        <v>234</v>
      </c>
      <c r="P32" s="8" t="s">
        <v>235</v>
      </c>
      <c r="Q32" s="8" t="s">
        <v>49</v>
      </c>
      <c r="R32" s="8" t="s">
        <v>50</v>
      </c>
    </row>
    <row r="33" customFormat="false" ht="22.35" hidden="false" customHeight="false" outlineLevel="0" collapsed="false">
      <c r="A33" s="8" t="s">
        <v>236</v>
      </c>
      <c r="B33" s="8" t="s">
        <v>237</v>
      </c>
      <c r="C33" s="8" t="s">
        <v>238</v>
      </c>
      <c r="D33" s="8" t="s">
        <v>86</v>
      </c>
      <c r="E33" s="9" t="n">
        <v>137076.57</v>
      </c>
      <c r="F33" s="9" t="s">
        <v>87</v>
      </c>
      <c r="G33" s="9" t="str">
        <f aca="false">IF(AND(ISNUMBER(E33),ISNUMBER(F33)),E33-F33,"No disponible")</f>
        <v>No disponible</v>
      </c>
      <c r="H33" s="8" t="s">
        <v>86</v>
      </c>
      <c r="I33" s="8" t="s">
        <v>56</v>
      </c>
      <c r="J33" s="8" t="s">
        <v>87</v>
      </c>
      <c r="K33" s="8" t="s">
        <v>88</v>
      </c>
      <c r="L33" s="8" t="s">
        <v>89</v>
      </c>
      <c r="M33" s="8" t="s">
        <v>82</v>
      </c>
      <c r="N33" s="8" t="s">
        <v>46</v>
      </c>
      <c r="O33" s="8" t="s">
        <v>87</v>
      </c>
      <c r="P33" s="8"/>
      <c r="Q33" s="8" t="s">
        <v>87</v>
      </c>
      <c r="R33" s="8" t="s">
        <v>86</v>
      </c>
    </row>
    <row r="34" customFormat="false" ht="43.25" hidden="false" customHeight="false" outlineLevel="0" collapsed="false">
      <c r="A34" s="8" t="s">
        <v>239</v>
      </c>
      <c r="B34" s="8" t="s">
        <v>240</v>
      </c>
      <c r="C34" s="8" t="s">
        <v>241</v>
      </c>
      <c r="D34" s="8" t="s">
        <v>127</v>
      </c>
      <c r="E34" s="9" t="n">
        <v>1730560</v>
      </c>
      <c r="F34" s="9" t="n">
        <v>1730560</v>
      </c>
      <c r="G34" s="9" t="n">
        <f aca="false">IF(AND(ISNUMBER(E34),ISNUMBER(F34)),E34-F34,"No disponible")</f>
        <v>0</v>
      </c>
      <c r="H34" s="8" t="s">
        <v>64</v>
      </c>
      <c r="I34" s="8" t="s">
        <v>42</v>
      </c>
      <c r="J34" s="8" t="s">
        <v>43</v>
      </c>
      <c r="K34" s="8" t="s">
        <v>44</v>
      </c>
      <c r="L34" s="8" t="s">
        <v>45</v>
      </c>
      <c r="M34" s="8" t="s">
        <v>6</v>
      </c>
      <c r="N34" s="8" t="s">
        <v>46</v>
      </c>
      <c r="O34" s="8" t="s">
        <v>242</v>
      </c>
      <c r="P34" s="8" t="s">
        <v>243</v>
      </c>
      <c r="Q34" s="8" t="s">
        <v>59</v>
      </c>
      <c r="R34" s="8" t="s">
        <v>50</v>
      </c>
    </row>
    <row r="35" customFormat="false" ht="43.25" hidden="false" customHeight="false" outlineLevel="0" collapsed="false">
      <c r="A35" s="8" t="s">
        <v>239</v>
      </c>
      <c r="B35" s="8" t="s">
        <v>240</v>
      </c>
      <c r="C35" s="8" t="s">
        <v>244</v>
      </c>
      <c r="D35" s="8" t="s">
        <v>127</v>
      </c>
      <c r="E35" s="9" t="n">
        <v>1732000</v>
      </c>
      <c r="F35" s="9" t="n">
        <v>1732000</v>
      </c>
      <c r="G35" s="9" t="n">
        <f aca="false">IF(AND(ISNUMBER(E35),ISNUMBER(F35)),E35-F35,"No disponible")</f>
        <v>0</v>
      </c>
      <c r="H35" s="8" t="s">
        <v>64</v>
      </c>
      <c r="I35" s="8" t="s">
        <v>42</v>
      </c>
      <c r="J35" s="8" t="s">
        <v>43</v>
      </c>
      <c r="K35" s="8" t="s">
        <v>44</v>
      </c>
      <c r="L35" s="8" t="s">
        <v>45</v>
      </c>
      <c r="M35" s="8" t="s">
        <v>6</v>
      </c>
      <c r="N35" s="8" t="s">
        <v>46</v>
      </c>
      <c r="O35" s="8" t="s">
        <v>245</v>
      </c>
      <c r="P35" s="8" t="s">
        <v>246</v>
      </c>
      <c r="Q35" s="8" t="s">
        <v>59</v>
      </c>
      <c r="R35" s="8" t="s">
        <v>50</v>
      </c>
    </row>
    <row r="36" customFormat="false" ht="43.25" hidden="false" customHeight="false" outlineLevel="0" collapsed="false">
      <c r="A36" s="8" t="s">
        <v>247</v>
      </c>
      <c r="B36" s="8" t="s">
        <v>248</v>
      </c>
      <c r="C36" s="8" t="s">
        <v>249</v>
      </c>
      <c r="D36" s="8" t="s">
        <v>127</v>
      </c>
      <c r="E36" s="9" t="n">
        <v>79000</v>
      </c>
      <c r="F36" s="9" t="n">
        <v>79000</v>
      </c>
      <c r="G36" s="9" t="n">
        <f aca="false">IF(AND(ISNUMBER(E36),ISNUMBER(F36)),E36-F36,"No disponible")</f>
        <v>0</v>
      </c>
      <c r="H36" s="8" t="s">
        <v>64</v>
      </c>
      <c r="I36" s="8" t="s">
        <v>42</v>
      </c>
      <c r="J36" s="8" t="s">
        <v>43</v>
      </c>
      <c r="K36" s="8" t="s">
        <v>44</v>
      </c>
      <c r="L36" s="8" t="s">
        <v>45</v>
      </c>
      <c r="M36" s="8" t="s">
        <v>6</v>
      </c>
      <c r="N36" s="8" t="s">
        <v>46</v>
      </c>
      <c r="O36" s="8" t="s">
        <v>250</v>
      </c>
      <c r="P36" s="8" t="s">
        <v>251</v>
      </c>
      <c r="Q36" s="8" t="s">
        <v>59</v>
      </c>
      <c r="R36" s="8" t="s">
        <v>50</v>
      </c>
    </row>
    <row r="37" customFormat="false" ht="43.25" hidden="false" customHeight="false" outlineLevel="0" collapsed="false">
      <c r="A37" s="8" t="s">
        <v>247</v>
      </c>
      <c r="B37" s="8" t="s">
        <v>248</v>
      </c>
      <c r="C37" s="8" t="s">
        <v>252</v>
      </c>
      <c r="D37" s="8" t="s">
        <v>127</v>
      </c>
      <c r="E37" s="9" t="n">
        <v>119000</v>
      </c>
      <c r="F37" s="9" t="n">
        <v>119000</v>
      </c>
      <c r="G37" s="9" t="n">
        <f aca="false">IF(AND(ISNUMBER(E37),ISNUMBER(F37)),E37-F37,"No disponible")</f>
        <v>0</v>
      </c>
      <c r="H37" s="8" t="s">
        <v>64</v>
      </c>
      <c r="I37" s="8" t="s">
        <v>42</v>
      </c>
      <c r="J37" s="8" t="s">
        <v>43</v>
      </c>
      <c r="K37" s="8" t="s">
        <v>44</v>
      </c>
      <c r="L37" s="8" t="s">
        <v>45</v>
      </c>
      <c r="M37" s="8" t="s">
        <v>6</v>
      </c>
      <c r="N37" s="8" t="s">
        <v>46</v>
      </c>
      <c r="O37" s="8" t="s">
        <v>253</v>
      </c>
      <c r="P37" s="8" t="s">
        <v>254</v>
      </c>
      <c r="Q37" s="8" t="s">
        <v>59</v>
      </c>
      <c r="R37" s="8" t="s">
        <v>50</v>
      </c>
    </row>
    <row r="38" customFormat="false" ht="43.25" hidden="false" customHeight="false" outlineLevel="0" collapsed="false">
      <c r="A38" s="8" t="s">
        <v>247</v>
      </c>
      <c r="B38" s="8" t="s">
        <v>248</v>
      </c>
      <c r="C38" s="8" t="s">
        <v>255</v>
      </c>
      <c r="D38" s="8" t="s">
        <v>127</v>
      </c>
      <c r="E38" s="9" t="n">
        <v>316000</v>
      </c>
      <c r="F38" s="9" t="n">
        <v>316000</v>
      </c>
      <c r="G38" s="9" t="n">
        <f aca="false">IF(AND(ISNUMBER(E38),ISNUMBER(F38)),E38-F38,"No disponible")</f>
        <v>0</v>
      </c>
      <c r="H38" s="8" t="s">
        <v>64</v>
      </c>
      <c r="I38" s="8" t="s">
        <v>42</v>
      </c>
      <c r="J38" s="8" t="s">
        <v>43</v>
      </c>
      <c r="K38" s="8" t="s">
        <v>44</v>
      </c>
      <c r="L38" s="8" t="s">
        <v>45</v>
      </c>
      <c r="M38" s="8" t="s">
        <v>6</v>
      </c>
      <c r="N38" s="8" t="s">
        <v>46</v>
      </c>
      <c r="O38" s="8" t="s">
        <v>256</v>
      </c>
      <c r="P38" s="8" t="s">
        <v>257</v>
      </c>
      <c r="Q38" s="8" t="s">
        <v>59</v>
      </c>
      <c r="R38" s="8" t="s">
        <v>50</v>
      </c>
    </row>
    <row r="39" customFormat="false" ht="43.25" hidden="false" customHeight="false" outlineLevel="0" collapsed="false">
      <c r="A39" s="8" t="s">
        <v>258</v>
      </c>
      <c r="B39" s="8" t="s">
        <v>259</v>
      </c>
      <c r="C39" s="8" t="s">
        <v>260</v>
      </c>
      <c r="D39" s="8" t="s">
        <v>127</v>
      </c>
      <c r="E39" s="9" t="n">
        <v>2400</v>
      </c>
      <c r="F39" s="9" t="n">
        <v>2400</v>
      </c>
      <c r="G39" s="9" t="n">
        <f aca="false">IF(AND(ISNUMBER(E39),ISNUMBER(F39)),E39-F39,"No disponible")</f>
        <v>0</v>
      </c>
      <c r="H39" s="8" t="s">
        <v>64</v>
      </c>
      <c r="I39" s="8" t="s">
        <v>42</v>
      </c>
      <c r="J39" s="8" t="s">
        <v>43</v>
      </c>
      <c r="K39" s="8" t="s">
        <v>44</v>
      </c>
      <c r="L39" s="8" t="s">
        <v>45</v>
      </c>
      <c r="M39" s="8" t="s">
        <v>6</v>
      </c>
      <c r="N39" s="8" t="s">
        <v>46</v>
      </c>
      <c r="O39" s="8" t="s">
        <v>261</v>
      </c>
      <c r="P39" s="8" t="s">
        <v>262</v>
      </c>
      <c r="Q39" s="8" t="s">
        <v>49</v>
      </c>
      <c r="R39" s="8" t="s">
        <v>50</v>
      </c>
    </row>
    <row r="40" customFormat="false" ht="43.25" hidden="false" customHeight="false" outlineLevel="0" collapsed="false">
      <c r="A40" s="8" t="s">
        <v>263</v>
      </c>
      <c r="B40" s="8" t="s">
        <v>264</v>
      </c>
      <c r="C40" s="8" t="s">
        <v>265</v>
      </c>
      <c r="D40" s="8" t="s">
        <v>266</v>
      </c>
      <c r="E40" s="9" t="n">
        <v>6999152</v>
      </c>
      <c r="F40" s="9" t="n">
        <v>6999152</v>
      </c>
      <c r="G40" s="9" t="n">
        <f aca="false">IF(AND(ISNUMBER(E40),ISNUMBER(F40)),E40-F40,"No disponible")</f>
        <v>0</v>
      </c>
      <c r="H40" s="8" t="s">
        <v>267</v>
      </c>
      <c r="I40" s="8" t="s">
        <v>56</v>
      </c>
      <c r="J40" s="8" t="s">
        <v>43</v>
      </c>
      <c r="K40" s="8" t="s">
        <v>44</v>
      </c>
      <c r="L40" s="8" t="s">
        <v>45</v>
      </c>
      <c r="M40" s="8" t="s">
        <v>6</v>
      </c>
      <c r="N40" s="8" t="s">
        <v>46</v>
      </c>
      <c r="O40" s="8" t="s">
        <v>268</v>
      </c>
      <c r="P40" s="8" t="s">
        <v>269</v>
      </c>
      <c r="Q40" s="8" t="s">
        <v>59</v>
      </c>
      <c r="R40" s="8" t="s">
        <v>50</v>
      </c>
    </row>
    <row r="41" customFormat="false" ht="32.8" hidden="false" customHeight="false" outlineLevel="0" collapsed="false">
      <c r="A41" s="8" t="s">
        <v>270</v>
      </c>
      <c r="B41" s="8" t="s">
        <v>271</v>
      </c>
      <c r="C41" s="8" t="s">
        <v>272</v>
      </c>
      <c r="D41" s="8" t="s">
        <v>93</v>
      </c>
      <c r="E41" s="9" t="n">
        <v>142949.94</v>
      </c>
      <c r="F41" s="9" t="n">
        <v>142950</v>
      </c>
      <c r="G41" s="9" t="n">
        <f aca="false">IF(AND(ISNUMBER(E41),ISNUMBER(F41)),E41-F41,"No disponible")</f>
        <v>-0.0599999999976717</v>
      </c>
      <c r="H41" s="8" t="s">
        <v>273</v>
      </c>
      <c r="I41" s="8" t="s">
        <v>56</v>
      </c>
      <c r="J41" s="8" t="s">
        <v>43</v>
      </c>
      <c r="K41" s="8" t="s">
        <v>81</v>
      </c>
      <c r="L41" s="8" t="s">
        <v>45</v>
      </c>
      <c r="M41" s="8" t="s">
        <v>82</v>
      </c>
      <c r="N41" s="8" t="s">
        <v>46</v>
      </c>
      <c r="O41" s="8" t="s">
        <v>274</v>
      </c>
      <c r="P41" s="8" t="s">
        <v>275</v>
      </c>
      <c r="Q41" s="8" t="s">
        <v>59</v>
      </c>
      <c r="R41" s="8" t="s">
        <v>50</v>
      </c>
    </row>
    <row r="42" customFormat="false" ht="43.25" hidden="false" customHeight="false" outlineLevel="0" collapsed="false">
      <c r="A42" s="8" t="s">
        <v>276</v>
      </c>
      <c r="B42" s="8" t="s">
        <v>277</v>
      </c>
      <c r="C42" s="8" t="s">
        <v>278</v>
      </c>
      <c r="D42" s="8" t="s">
        <v>127</v>
      </c>
      <c r="E42" s="9" t="n">
        <v>133000</v>
      </c>
      <c r="F42" s="9" t="n">
        <v>133000</v>
      </c>
      <c r="G42" s="9" t="n">
        <f aca="false">IF(AND(ISNUMBER(E42),ISNUMBER(F42)),E42-F42,"No disponible")</f>
        <v>0</v>
      </c>
      <c r="H42" s="8" t="s">
        <v>64</v>
      </c>
      <c r="I42" s="8" t="s">
        <v>42</v>
      </c>
      <c r="J42" s="8" t="s">
        <v>43</v>
      </c>
      <c r="K42" s="8" t="s">
        <v>44</v>
      </c>
      <c r="L42" s="8" t="s">
        <v>45</v>
      </c>
      <c r="M42" s="8" t="s">
        <v>6</v>
      </c>
      <c r="N42" s="8" t="s">
        <v>46</v>
      </c>
      <c r="O42" s="8" t="s">
        <v>279</v>
      </c>
      <c r="P42" s="8" t="s">
        <v>280</v>
      </c>
      <c r="Q42" s="8" t="s">
        <v>49</v>
      </c>
      <c r="R42" s="8" t="s">
        <v>50</v>
      </c>
    </row>
    <row r="43" customFormat="false" ht="32.8" hidden="false" customHeight="false" outlineLevel="0" collapsed="false">
      <c r="A43" s="8" t="s">
        <v>281</v>
      </c>
      <c r="B43" s="8" t="s">
        <v>282</v>
      </c>
      <c r="C43" s="8" t="s">
        <v>283</v>
      </c>
      <c r="D43" s="8" t="s">
        <v>266</v>
      </c>
      <c r="E43" s="9" t="n">
        <v>34000</v>
      </c>
      <c r="F43" s="9" t="n">
        <v>33999</v>
      </c>
      <c r="G43" s="9" t="n">
        <f aca="false">IF(AND(ISNUMBER(E43),ISNUMBER(F43)),E43-F43,"No disponible")</f>
        <v>1</v>
      </c>
      <c r="H43" s="8" t="s">
        <v>284</v>
      </c>
      <c r="I43" s="8" t="s">
        <v>56</v>
      </c>
      <c r="J43" s="8" t="s">
        <v>43</v>
      </c>
      <c r="K43" s="8" t="s">
        <v>81</v>
      </c>
      <c r="L43" s="8" t="s">
        <v>45</v>
      </c>
      <c r="M43" s="8" t="s">
        <v>82</v>
      </c>
      <c r="N43" s="8" t="s">
        <v>46</v>
      </c>
      <c r="O43" s="8" t="s">
        <v>285</v>
      </c>
      <c r="P43" s="8" t="s">
        <v>286</v>
      </c>
      <c r="Q43" s="8" t="s">
        <v>59</v>
      </c>
      <c r="R43" s="8" t="s">
        <v>50</v>
      </c>
    </row>
    <row r="44" customFormat="false" ht="43.25" hidden="false" customHeight="false" outlineLevel="0" collapsed="false">
      <c r="A44" s="8" t="s">
        <v>287</v>
      </c>
      <c r="B44" s="8" t="s">
        <v>288</v>
      </c>
      <c r="C44" s="8" t="s">
        <v>289</v>
      </c>
      <c r="D44" s="8" t="s">
        <v>127</v>
      </c>
      <c r="E44" s="9" t="n">
        <v>450000</v>
      </c>
      <c r="F44" s="9" t="n">
        <v>450000</v>
      </c>
      <c r="G44" s="9" t="n">
        <f aca="false">IF(AND(ISNUMBER(E44),ISNUMBER(F44)),E44-F44,"No disponible")</f>
        <v>0</v>
      </c>
      <c r="H44" s="8" t="s">
        <v>64</v>
      </c>
      <c r="I44" s="8" t="s">
        <v>42</v>
      </c>
      <c r="J44" s="8" t="s">
        <v>43</v>
      </c>
      <c r="K44" s="8" t="s">
        <v>44</v>
      </c>
      <c r="L44" s="8" t="s">
        <v>45</v>
      </c>
      <c r="M44" s="8" t="s">
        <v>6</v>
      </c>
      <c r="N44" s="8" t="s">
        <v>46</v>
      </c>
      <c r="O44" s="8" t="s">
        <v>290</v>
      </c>
      <c r="P44" s="8" t="s">
        <v>291</v>
      </c>
      <c r="Q44" s="8" t="s">
        <v>59</v>
      </c>
      <c r="R44" s="8" t="s">
        <v>50</v>
      </c>
    </row>
    <row r="45" customFormat="false" ht="22.35" hidden="false" customHeight="false" outlineLevel="0" collapsed="false">
      <c r="A45" s="8" t="s">
        <v>292</v>
      </c>
      <c r="B45" s="8" t="s">
        <v>293</v>
      </c>
      <c r="C45" s="8" t="s">
        <v>294</v>
      </c>
      <c r="D45" s="8" t="s">
        <v>86</v>
      </c>
      <c r="E45" s="9" t="n">
        <v>28000</v>
      </c>
      <c r="F45" s="9" t="s">
        <v>87</v>
      </c>
      <c r="G45" s="9" t="str">
        <f aca="false">IF(AND(ISNUMBER(E45),ISNUMBER(F45)),E45-F45,"No disponible")</f>
        <v>No disponible</v>
      </c>
      <c r="H45" s="8" t="s">
        <v>86</v>
      </c>
      <c r="I45" s="8" t="s">
        <v>56</v>
      </c>
      <c r="J45" s="8" t="s">
        <v>87</v>
      </c>
      <c r="K45" s="8" t="s">
        <v>140</v>
      </c>
      <c r="L45" s="8" t="s">
        <v>141</v>
      </c>
      <c r="M45" s="8" t="s">
        <v>82</v>
      </c>
      <c r="N45" s="8" t="s">
        <v>46</v>
      </c>
      <c r="O45" s="8" t="s">
        <v>87</v>
      </c>
      <c r="P45" s="8"/>
      <c r="Q45" s="8" t="s">
        <v>87</v>
      </c>
      <c r="R45" s="8" t="s">
        <v>86</v>
      </c>
    </row>
    <row r="46" customFormat="false" ht="22.35" hidden="false" customHeight="false" outlineLevel="0" collapsed="false">
      <c r="A46" s="8" t="s">
        <v>292</v>
      </c>
      <c r="B46" s="8" t="s">
        <v>293</v>
      </c>
      <c r="C46" s="8" t="s">
        <v>295</v>
      </c>
      <c r="D46" s="8" t="s">
        <v>86</v>
      </c>
      <c r="E46" s="9" t="n">
        <v>23000</v>
      </c>
      <c r="F46" s="9" t="s">
        <v>87</v>
      </c>
      <c r="G46" s="9" t="str">
        <f aca="false">IF(AND(ISNUMBER(E46),ISNUMBER(F46)),E46-F46,"No disponible")</f>
        <v>No disponible</v>
      </c>
      <c r="H46" s="8" t="s">
        <v>86</v>
      </c>
      <c r="I46" s="8" t="s">
        <v>56</v>
      </c>
      <c r="J46" s="8" t="s">
        <v>87</v>
      </c>
      <c r="K46" s="8" t="s">
        <v>140</v>
      </c>
      <c r="L46" s="8" t="s">
        <v>141</v>
      </c>
      <c r="M46" s="8" t="s">
        <v>82</v>
      </c>
      <c r="N46" s="8" t="s">
        <v>46</v>
      </c>
      <c r="O46" s="8" t="s">
        <v>87</v>
      </c>
      <c r="P46" s="8"/>
      <c r="Q46" s="8" t="s">
        <v>87</v>
      </c>
      <c r="R46" s="8" t="s">
        <v>86</v>
      </c>
    </row>
    <row r="47" customFormat="false" ht="32.8" hidden="false" customHeight="false" outlineLevel="0" collapsed="false">
      <c r="A47" s="8" t="s">
        <v>296</v>
      </c>
      <c r="B47" s="8" t="s">
        <v>297</v>
      </c>
      <c r="C47" s="8" t="s">
        <v>298</v>
      </c>
      <c r="D47" s="8" t="s">
        <v>127</v>
      </c>
      <c r="E47" s="9" t="n">
        <v>28000</v>
      </c>
      <c r="F47" s="9" t="n">
        <v>28000</v>
      </c>
      <c r="G47" s="9" t="n">
        <f aca="false">IF(AND(ISNUMBER(E47),ISNUMBER(F47)),E47-F47,"No disponible")</f>
        <v>0</v>
      </c>
      <c r="H47" s="8" t="s">
        <v>64</v>
      </c>
      <c r="I47" s="8" t="s">
        <v>56</v>
      </c>
      <c r="J47" s="8" t="s">
        <v>43</v>
      </c>
      <c r="K47" s="8" t="s">
        <v>190</v>
      </c>
      <c r="L47" s="8" t="s">
        <v>45</v>
      </c>
      <c r="M47" s="8" t="s">
        <v>6</v>
      </c>
      <c r="N47" s="8" t="s">
        <v>46</v>
      </c>
      <c r="O47" s="8" t="s">
        <v>299</v>
      </c>
      <c r="P47" s="8" t="s">
        <v>300</v>
      </c>
      <c r="Q47" s="8" t="s">
        <v>193</v>
      </c>
      <c r="R47" s="8" t="s">
        <v>50</v>
      </c>
    </row>
    <row r="48" customFormat="false" ht="32.8" hidden="false" customHeight="false" outlineLevel="0" collapsed="false">
      <c r="A48" s="8" t="s">
        <v>296</v>
      </c>
      <c r="B48" s="8" t="s">
        <v>297</v>
      </c>
      <c r="C48" s="8" t="s">
        <v>301</v>
      </c>
      <c r="D48" s="8" t="s">
        <v>266</v>
      </c>
      <c r="E48" s="9" t="n">
        <v>60999.9</v>
      </c>
      <c r="F48" s="9" t="n">
        <v>61000</v>
      </c>
      <c r="G48" s="9" t="n">
        <f aca="false">IF(AND(ISNUMBER(E48),ISNUMBER(F48)),E48-F48,"No disponible")</f>
        <v>-0.0999999999985448</v>
      </c>
      <c r="H48" s="8" t="s">
        <v>302</v>
      </c>
      <c r="I48" s="8" t="s">
        <v>56</v>
      </c>
      <c r="J48" s="8" t="s">
        <v>43</v>
      </c>
      <c r="K48" s="8" t="s">
        <v>81</v>
      </c>
      <c r="L48" s="8" t="s">
        <v>45</v>
      </c>
      <c r="M48" s="8" t="s">
        <v>82</v>
      </c>
      <c r="N48" s="8" t="s">
        <v>46</v>
      </c>
      <c r="O48" s="8" t="s">
        <v>303</v>
      </c>
      <c r="P48" s="8" t="s">
        <v>304</v>
      </c>
      <c r="Q48" s="8" t="s">
        <v>59</v>
      </c>
      <c r="R48" s="8" t="s">
        <v>50</v>
      </c>
    </row>
    <row r="49" customFormat="false" ht="32.8" hidden="false" customHeight="false" outlineLevel="0" collapsed="false">
      <c r="A49" s="8" t="s">
        <v>305</v>
      </c>
      <c r="B49" s="8" t="s">
        <v>306</v>
      </c>
      <c r="C49" s="8" t="s">
        <v>307</v>
      </c>
      <c r="D49" s="8" t="s">
        <v>308</v>
      </c>
      <c r="E49" s="9" t="n">
        <v>418000</v>
      </c>
      <c r="F49" s="9" t="n">
        <v>418001</v>
      </c>
      <c r="G49" s="9" t="n">
        <f aca="false">IF(AND(ISNUMBER(E49),ISNUMBER(F49)),E49-F49,"No disponible")</f>
        <v>-1</v>
      </c>
      <c r="H49" s="8" t="s">
        <v>309</v>
      </c>
      <c r="I49" s="8" t="s">
        <v>56</v>
      </c>
      <c r="J49" s="8" t="s">
        <v>43</v>
      </c>
      <c r="K49" s="8" t="s">
        <v>114</v>
      </c>
      <c r="L49" s="8" t="s">
        <v>45</v>
      </c>
      <c r="M49" s="8" t="s">
        <v>82</v>
      </c>
      <c r="N49" s="8" t="s">
        <v>46</v>
      </c>
      <c r="O49" s="8" t="s">
        <v>310</v>
      </c>
      <c r="P49" s="8" t="s">
        <v>311</v>
      </c>
      <c r="Q49" s="8" t="s">
        <v>59</v>
      </c>
      <c r="R49" s="8" t="s">
        <v>111</v>
      </c>
    </row>
    <row r="50" customFormat="false" ht="22.35" hidden="false" customHeight="false" outlineLevel="0" collapsed="false">
      <c r="A50" s="8" t="s">
        <v>312</v>
      </c>
      <c r="B50" s="8" t="s">
        <v>313</v>
      </c>
      <c r="C50" s="8" t="s">
        <v>314</v>
      </c>
      <c r="D50" s="8" t="s">
        <v>86</v>
      </c>
      <c r="E50" s="9" t="n">
        <v>15000</v>
      </c>
      <c r="F50" s="9" t="s">
        <v>87</v>
      </c>
      <c r="G50" s="9" t="str">
        <f aca="false">IF(AND(ISNUMBER(E50),ISNUMBER(F50)),E50-F50,"No disponible")</f>
        <v>No disponible</v>
      </c>
      <c r="H50" s="8" t="s">
        <v>86</v>
      </c>
      <c r="I50" s="8" t="s">
        <v>56</v>
      </c>
      <c r="J50" s="8" t="s">
        <v>87</v>
      </c>
      <c r="K50" s="8" t="s">
        <v>140</v>
      </c>
      <c r="L50" s="8" t="s">
        <v>141</v>
      </c>
      <c r="M50" s="8" t="s">
        <v>82</v>
      </c>
      <c r="N50" s="8" t="s">
        <v>46</v>
      </c>
      <c r="O50" s="8" t="s">
        <v>87</v>
      </c>
      <c r="P50" s="8"/>
      <c r="Q50" s="8" t="s">
        <v>87</v>
      </c>
      <c r="R50" s="8" t="s">
        <v>86</v>
      </c>
    </row>
    <row r="51" customFormat="false" ht="22.35" hidden="false" customHeight="false" outlineLevel="0" collapsed="false">
      <c r="A51" s="8" t="s">
        <v>312</v>
      </c>
      <c r="B51" s="8" t="s">
        <v>313</v>
      </c>
      <c r="C51" s="8" t="s">
        <v>315</v>
      </c>
      <c r="D51" s="8" t="s">
        <v>86</v>
      </c>
      <c r="E51" s="9" t="n">
        <v>10000</v>
      </c>
      <c r="F51" s="9" t="s">
        <v>87</v>
      </c>
      <c r="G51" s="9" t="str">
        <f aca="false">IF(AND(ISNUMBER(E51),ISNUMBER(F51)),E51-F51,"No disponible")</f>
        <v>No disponible</v>
      </c>
      <c r="H51" s="8" t="s">
        <v>86</v>
      </c>
      <c r="I51" s="8" t="s">
        <v>56</v>
      </c>
      <c r="J51" s="8" t="s">
        <v>87</v>
      </c>
      <c r="K51" s="8" t="s">
        <v>140</v>
      </c>
      <c r="L51" s="8" t="s">
        <v>141</v>
      </c>
      <c r="M51" s="8" t="s">
        <v>82</v>
      </c>
      <c r="N51" s="8" t="s">
        <v>46</v>
      </c>
      <c r="O51" s="8" t="s">
        <v>87</v>
      </c>
      <c r="P51" s="8"/>
      <c r="Q51" s="8" t="s">
        <v>87</v>
      </c>
      <c r="R51" s="8" t="s">
        <v>86</v>
      </c>
    </row>
    <row r="52" customFormat="false" ht="43.25" hidden="false" customHeight="false" outlineLevel="0" collapsed="false">
      <c r="A52" s="8" t="s">
        <v>316</v>
      </c>
      <c r="B52" s="8" t="s">
        <v>317</v>
      </c>
      <c r="C52" s="8" t="s">
        <v>318</v>
      </c>
      <c r="D52" s="8" t="s">
        <v>93</v>
      </c>
      <c r="E52" s="9" t="n">
        <v>21995</v>
      </c>
      <c r="F52" s="9" t="n">
        <v>21995</v>
      </c>
      <c r="G52" s="9" t="n">
        <f aca="false">IF(AND(ISNUMBER(E52),ISNUMBER(F52)),E52-F52,"No disponible")</f>
        <v>0</v>
      </c>
      <c r="H52" s="8" t="s">
        <v>319</v>
      </c>
      <c r="I52" s="8" t="s">
        <v>56</v>
      </c>
      <c r="J52" s="8" t="s">
        <v>43</v>
      </c>
      <c r="K52" s="8" t="s">
        <v>44</v>
      </c>
      <c r="L52" s="8" t="s">
        <v>45</v>
      </c>
      <c r="M52" s="8" t="s">
        <v>6</v>
      </c>
      <c r="N52" s="8" t="s">
        <v>46</v>
      </c>
      <c r="O52" s="8" t="s">
        <v>320</v>
      </c>
      <c r="P52" s="8" t="s">
        <v>321</v>
      </c>
      <c r="Q52" s="8" t="s">
        <v>59</v>
      </c>
      <c r="R52" s="8" t="s">
        <v>50</v>
      </c>
    </row>
    <row r="53" customFormat="false" ht="32.8" hidden="false" customHeight="false" outlineLevel="0" collapsed="false">
      <c r="A53" s="8" t="s">
        <v>316</v>
      </c>
      <c r="B53" s="8" t="s">
        <v>317</v>
      </c>
      <c r="C53" s="8" t="s">
        <v>322</v>
      </c>
      <c r="D53" s="8" t="s">
        <v>93</v>
      </c>
      <c r="E53" s="9" t="n">
        <v>10996</v>
      </c>
      <c r="F53" s="9" t="n">
        <v>10996</v>
      </c>
      <c r="G53" s="9" t="n">
        <f aca="false">IF(AND(ISNUMBER(E53),ISNUMBER(F53)),E53-F53,"No disponible")</f>
        <v>0</v>
      </c>
      <c r="H53" s="8" t="s">
        <v>323</v>
      </c>
      <c r="I53" s="8" t="s">
        <v>56</v>
      </c>
      <c r="J53" s="8" t="s">
        <v>43</v>
      </c>
      <c r="K53" s="8" t="s">
        <v>190</v>
      </c>
      <c r="L53" s="8" t="s">
        <v>45</v>
      </c>
      <c r="M53" s="8" t="s">
        <v>6</v>
      </c>
      <c r="N53" s="8" t="s">
        <v>46</v>
      </c>
      <c r="O53" s="8" t="s">
        <v>324</v>
      </c>
      <c r="P53" s="8" t="s">
        <v>325</v>
      </c>
      <c r="Q53" s="8" t="s">
        <v>193</v>
      </c>
      <c r="R53" s="8" t="s">
        <v>50</v>
      </c>
    </row>
    <row r="54" customFormat="false" ht="43.25" hidden="false" customHeight="false" outlineLevel="0" collapsed="false">
      <c r="A54" s="8" t="s">
        <v>316</v>
      </c>
      <c r="B54" s="8" t="s">
        <v>317</v>
      </c>
      <c r="C54" s="8" t="s">
        <v>326</v>
      </c>
      <c r="D54" s="8" t="s">
        <v>93</v>
      </c>
      <c r="E54" s="9" t="n">
        <v>44875</v>
      </c>
      <c r="F54" s="9" t="n">
        <v>44875</v>
      </c>
      <c r="G54" s="9" t="n">
        <f aca="false">IF(AND(ISNUMBER(E54),ISNUMBER(F54)),E54-F54,"No disponible")</f>
        <v>0</v>
      </c>
      <c r="H54" s="8" t="s">
        <v>327</v>
      </c>
      <c r="I54" s="8" t="s">
        <v>56</v>
      </c>
      <c r="J54" s="8" t="s">
        <v>43</v>
      </c>
      <c r="K54" s="8" t="s">
        <v>44</v>
      </c>
      <c r="L54" s="8" t="s">
        <v>45</v>
      </c>
      <c r="M54" s="8" t="s">
        <v>6</v>
      </c>
      <c r="N54" s="8" t="s">
        <v>46</v>
      </c>
      <c r="O54" s="8" t="s">
        <v>328</v>
      </c>
      <c r="P54" s="8" t="s">
        <v>329</v>
      </c>
      <c r="Q54" s="8" t="s">
        <v>59</v>
      </c>
      <c r="R54" s="8" t="s">
        <v>50</v>
      </c>
    </row>
    <row r="55" customFormat="false" ht="43.25" hidden="false" customHeight="false" outlineLevel="0" collapsed="false">
      <c r="A55" s="8" t="s">
        <v>316</v>
      </c>
      <c r="B55" s="8" t="s">
        <v>317</v>
      </c>
      <c r="C55" s="8" t="s">
        <v>330</v>
      </c>
      <c r="D55" s="8" t="s">
        <v>93</v>
      </c>
      <c r="E55" s="9" t="n">
        <v>21995</v>
      </c>
      <c r="F55" s="9" t="n">
        <v>21995</v>
      </c>
      <c r="G55" s="9" t="n">
        <f aca="false">IF(AND(ISNUMBER(E55),ISNUMBER(F55)),E55-F55,"No disponible")</f>
        <v>0</v>
      </c>
      <c r="H55" s="8" t="s">
        <v>319</v>
      </c>
      <c r="I55" s="8" t="s">
        <v>56</v>
      </c>
      <c r="J55" s="8" t="s">
        <v>43</v>
      </c>
      <c r="K55" s="8" t="s">
        <v>44</v>
      </c>
      <c r="L55" s="8" t="s">
        <v>45</v>
      </c>
      <c r="M55" s="8" t="s">
        <v>6</v>
      </c>
      <c r="N55" s="8" t="s">
        <v>46</v>
      </c>
      <c r="O55" s="8" t="s">
        <v>331</v>
      </c>
      <c r="P55" s="8" t="s">
        <v>332</v>
      </c>
      <c r="Q55" s="8" t="s">
        <v>59</v>
      </c>
      <c r="R55" s="8" t="s">
        <v>50</v>
      </c>
    </row>
    <row r="56" customFormat="false" ht="43.25" hidden="false" customHeight="false" outlineLevel="0" collapsed="false">
      <c r="A56" s="8" t="s">
        <v>316</v>
      </c>
      <c r="B56" s="8" t="s">
        <v>317</v>
      </c>
      <c r="C56" s="8" t="s">
        <v>333</v>
      </c>
      <c r="D56" s="8" t="s">
        <v>93</v>
      </c>
      <c r="E56" s="9" t="n">
        <v>66348</v>
      </c>
      <c r="F56" s="9" t="n">
        <v>66348</v>
      </c>
      <c r="G56" s="9" t="n">
        <f aca="false">IF(AND(ISNUMBER(E56),ISNUMBER(F56)),E56-F56,"No disponible")</f>
        <v>0</v>
      </c>
      <c r="H56" s="8" t="s">
        <v>334</v>
      </c>
      <c r="I56" s="8" t="s">
        <v>56</v>
      </c>
      <c r="J56" s="8" t="s">
        <v>43</v>
      </c>
      <c r="K56" s="8" t="s">
        <v>44</v>
      </c>
      <c r="L56" s="8" t="s">
        <v>45</v>
      </c>
      <c r="M56" s="8" t="s">
        <v>6</v>
      </c>
      <c r="N56" s="8" t="s">
        <v>46</v>
      </c>
      <c r="O56" s="8" t="s">
        <v>335</v>
      </c>
      <c r="P56" s="8" t="s">
        <v>336</v>
      </c>
      <c r="Q56" s="8" t="s">
        <v>59</v>
      </c>
      <c r="R56" s="8" t="s">
        <v>50</v>
      </c>
    </row>
    <row r="57" customFormat="false" ht="43.25" hidden="false" customHeight="false" outlineLevel="0" collapsed="false">
      <c r="A57" s="8" t="s">
        <v>316</v>
      </c>
      <c r="B57" s="8" t="s">
        <v>317</v>
      </c>
      <c r="C57" s="8" t="s">
        <v>337</v>
      </c>
      <c r="D57" s="8" t="s">
        <v>93</v>
      </c>
      <c r="E57" s="9" t="n">
        <v>10996</v>
      </c>
      <c r="F57" s="9" t="n">
        <v>10996</v>
      </c>
      <c r="G57" s="9" t="n">
        <f aca="false">IF(AND(ISNUMBER(E57),ISNUMBER(F57)),E57-F57,"No disponible")</f>
        <v>0</v>
      </c>
      <c r="H57" s="8" t="s">
        <v>323</v>
      </c>
      <c r="I57" s="8" t="s">
        <v>56</v>
      </c>
      <c r="J57" s="8" t="s">
        <v>43</v>
      </c>
      <c r="K57" s="8" t="s">
        <v>44</v>
      </c>
      <c r="L57" s="8" t="s">
        <v>45</v>
      </c>
      <c r="M57" s="8" t="s">
        <v>6</v>
      </c>
      <c r="N57" s="8" t="s">
        <v>46</v>
      </c>
      <c r="O57" s="8" t="s">
        <v>324</v>
      </c>
      <c r="P57" s="8" t="s">
        <v>325</v>
      </c>
      <c r="Q57" s="8" t="s">
        <v>59</v>
      </c>
      <c r="R57" s="8" t="s">
        <v>50</v>
      </c>
    </row>
    <row r="58" customFormat="false" ht="43.25" hidden="false" customHeight="false" outlineLevel="0" collapsed="false">
      <c r="A58" s="8" t="s">
        <v>316</v>
      </c>
      <c r="B58" s="8" t="s">
        <v>317</v>
      </c>
      <c r="C58" s="8" t="s">
        <v>338</v>
      </c>
      <c r="D58" s="8" t="s">
        <v>93</v>
      </c>
      <c r="E58" s="9" t="n">
        <v>21995</v>
      </c>
      <c r="F58" s="9" t="n">
        <v>21995</v>
      </c>
      <c r="G58" s="9" t="n">
        <f aca="false">IF(AND(ISNUMBER(E58),ISNUMBER(F58)),E58-F58,"No disponible")</f>
        <v>0</v>
      </c>
      <c r="H58" s="8" t="s">
        <v>319</v>
      </c>
      <c r="I58" s="8" t="s">
        <v>56</v>
      </c>
      <c r="J58" s="8" t="s">
        <v>43</v>
      </c>
      <c r="K58" s="8" t="s">
        <v>44</v>
      </c>
      <c r="L58" s="8" t="s">
        <v>45</v>
      </c>
      <c r="M58" s="8" t="s">
        <v>6</v>
      </c>
      <c r="N58" s="8" t="s">
        <v>46</v>
      </c>
      <c r="O58" s="8" t="s">
        <v>339</v>
      </c>
      <c r="P58" s="8" t="s">
        <v>340</v>
      </c>
      <c r="Q58" s="8" t="s">
        <v>59</v>
      </c>
      <c r="R58" s="8" t="s">
        <v>50</v>
      </c>
    </row>
    <row r="59" customFormat="false" ht="43.25" hidden="false" customHeight="false" outlineLevel="0" collapsed="false">
      <c r="A59" s="8" t="s">
        <v>316</v>
      </c>
      <c r="B59" s="8" t="s">
        <v>317</v>
      </c>
      <c r="C59" s="8" t="s">
        <v>341</v>
      </c>
      <c r="D59" s="8" t="s">
        <v>342</v>
      </c>
      <c r="E59" s="9" t="n">
        <v>65852</v>
      </c>
      <c r="F59" s="9" t="n">
        <v>65852</v>
      </c>
      <c r="G59" s="9" t="n">
        <f aca="false">IF(AND(ISNUMBER(E59),ISNUMBER(F59)),E59-F59,"No disponible")</f>
        <v>0</v>
      </c>
      <c r="H59" s="8" t="s">
        <v>343</v>
      </c>
      <c r="I59" s="8" t="s">
        <v>56</v>
      </c>
      <c r="J59" s="8" t="s">
        <v>43</v>
      </c>
      <c r="K59" s="8" t="s">
        <v>44</v>
      </c>
      <c r="L59" s="8" t="s">
        <v>45</v>
      </c>
      <c r="M59" s="8" t="s">
        <v>6</v>
      </c>
      <c r="N59" s="8" t="s">
        <v>46</v>
      </c>
      <c r="O59" s="8" t="s">
        <v>344</v>
      </c>
      <c r="P59" s="8" t="s">
        <v>345</v>
      </c>
      <c r="Q59" s="8" t="s">
        <v>59</v>
      </c>
      <c r="R59" s="8" t="s">
        <v>50</v>
      </c>
    </row>
    <row r="60" customFormat="false" ht="43.25" hidden="false" customHeight="false" outlineLevel="0" collapsed="false">
      <c r="A60" s="8" t="s">
        <v>316</v>
      </c>
      <c r="B60" s="8" t="s">
        <v>317</v>
      </c>
      <c r="C60" s="8" t="s">
        <v>346</v>
      </c>
      <c r="D60" s="8" t="s">
        <v>342</v>
      </c>
      <c r="E60" s="9" t="n">
        <v>21995</v>
      </c>
      <c r="F60" s="9" t="n">
        <v>21995</v>
      </c>
      <c r="G60" s="9" t="n">
        <f aca="false">IF(AND(ISNUMBER(E60),ISNUMBER(F60)),E60-F60,"No disponible")</f>
        <v>0</v>
      </c>
      <c r="H60" s="8" t="s">
        <v>347</v>
      </c>
      <c r="I60" s="8" t="s">
        <v>56</v>
      </c>
      <c r="J60" s="8" t="s">
        <v>43</v>
      </c>
      <c r="K60" s="8" t="s">
        <v>44</v>
      </c>
      <c r="L60" s="8" t="s">
        <v>45</v>
      </c>
      <c r="M60" s="8" t="s">
        <v>6</v>
      </c>
      <c r="N60" s="8" t="s">
        <v>46</v>
      </c>
      <c r="O60" s="8" t="s">
        <v>348</v>
      </c>
      <c r="P60" s="8" t="s">
        <v>349</v>
      </c>
      <c r="Q60" s="8" t="s">
        <v>59</v>
      </c>
      <c r="R60" s="8" t="s">
        <v>50</v>
      </c>
    </row>
    <row r="61" customFormat="false" ht="43.25" hidden="false" customHeight="false" outlineLevel="0" collapsed="false">
      <c r="A61" s="8" t="s">
        <v>316</v>
      </c>
      <c r="B61" s="8" t="s">
        <v>317</v>
      </c>
      <c r="C61" s="8" t="s">
        <v>350</v>
      </c>
      <c r="D61" s="8" t="s">
        <v>93</v>
      </c>
      <c r="E61" s="9" t="n">
        <v>44875</v>
      </c>
      <c r="F61" s="9" t="n">
        <v>44875</v>
      </c>
      <c r="G61" s="9" t="n">
        <f aca="false">IF(AND(ISNUMBER(E61),ISNUMBER(F61)),E61-F61,"No disponible")</f>
        <v>0</v>
      </c>
      <c r="H61" s="8" t="s">
        <v>327</v>
      </c>
      <c r="I61" s="8" t="s">
        <v>56</v>
      </c>
      <c r="J61" s="8" t="s">
        <v>43</v>
      </c>
      <c r="K61" s="8" t="s">
        <v>44</v>
      </c>
      <c r="L61" s="8" t="s">
        <v>45</v>
      </c>
      <c r="M61" s="8" t="s">
        <v>6</v>
      </c>
      <c r="N61" s="8" t="s">
        <v>46</v>
      </c>
      <c r="O61" s="8" t="s">
        <v>351</v>
      </c>
      <c r="P61" s="8" t="s">
        <v>352</v>
      </c>
      <c r="Q61" s="8" t="s">
        <v>59</v>
      </c>
      <c r="R61" s="8" t="s">
        <v>50</v>
      </c>
    </row>
    <row r="62" customFormat="false" ht="43.25" hidden="false" customHeight="false" outlineLevel="0" collapsed="false">
      <c r="A62" s="8" t="s">
        <v>316</v>
      </c>
      <c r="B62" s="8" t="s">
        <v>317</v>
      </c>
      <c r="C62" s="8" t="s">
        <v>353</v>
      </c>
      <c r="D62" s="8" t="s">
        <v>93</v>
      </c>
      <c r="E62" s="9" t="n">
        <v>12000</v>
      </c>
      <c r="F62" s="9" t="n">
        <v>12000</v>
      </c>
      <c r="G62" s="9" t="n">
        <f aca="false">IF(AND(ISNUMBER(E62),ISNUMBER(F62)),E62-F62,"No disponible")</f>
        <v>0</v>
      </c>
      <c r="H62" s="8" t="s">
        <v>354</v>
      </c>
      <c r="I62" s="8" t="s">
        <v>56</v>
      </c>
      <c r="J62" s="8" t="s">
        <v>43</v>
      </c>
      <c r="K62" s="8" t="s">
        <v>44</v>
      </c>
      <c r="L62" s="8" t="s">
        <v>45</v>
      </c>
      <c r="M62" s="8" t="s">
        <v>6</v>
      </c>
      <c r="N62" s="8" t="s">
        <v>46</v>
      </c>
      <c r="O62" s="8" t="s">
        <v>355</v>
      </c>
      <c r="P62" s="8" t="s">
        <v>356</v>
      </c>
      <c r="Q62" s="8" t="s">
        <v>59</v>
      </c>
      <c r="R62" s="8" t="s">
        <v>50</v>
      </c>
    </row>
    <row r="63" customFormat="false" ht="43.25" hidden="false" customHeight="false" outlineLevel="0" collapsed="false">
      <c r="A63" s="8" t="s">
        <v>316</v>
      </c>
      <c r="B63" s="8" t="s">
        <v>317</v>
      </c>
      <c r="C63" s="8" t="s">
        <v>357</v>
      </c>
      <c r="D63" s="8" t="s">
        <v>93</v>
      </c>
      <c r="E63" s="9" t="n">
        <v>53293</v>
      </c>
      <c r="F63" s="9" t="n">
        <v>53293</v>
      </c>
      <c r="G63" s="9" t="n">
        <f aca="false">IF(AND(ISNUMBER(E63),ISNUMBER(F63)),E63-F63,"No disponible")</f>
        <v>0</v>
      </c>
      <c r="H63" s="8" t="s">
        <v>358</v>
      </c>
      <c r="I63" s="8" t="s">
        <v>56</v>
      </c>
      <c r="J63" s="8" t="s">
        <v>43</v>
      </c>
      <c r="K63" s="8" t="s">
        <v>44</v>
      </c>
      <c r="L63" s="8" t="s">
        <v>45</v>
      </c>
      <c r="M63" s="8" t="s">
        <v>6</v>
      </c>
      <c r="N63" s="8" t="s">
        <v>46</v>
      </c>
      <c r="O63" s="8" t="s">
        <v>359</v>
      </c>
      <c r="P63" s="8" t="s">
        <v>360</v>
      </c>
      <c r="Q63" s="8" t="s">
        <v>59</v>
      </c>
      <c r="R63" s="8" t="s">
        <v>50</v>
      </c>
    </row>
    <row r="64" customFormat="false" ht="43.25" hidden="false" customHeight="false" outlineLevel="0" collapsed="false">
      <c r="A64" s="8" t="s">
        <v>316</v>
      </c>
      <c r="B64" s="8" t="s">
        <v>317</v>
      </c>
      <c r="C64" s="8" t="s">
        <v>361</v>
      </c>
      <c r="D64" s="8" t="s">
        <v>93</v>
      </c>
      <c r="E64" s="9" t="n">
        <v>44875</v>
      </c>
      <c r="F64" s="9" t="n">
        <v>44875</v>
      </c>
      <c r="G64" s="9" t="n">
        <f aca="false">IF(AND(ISNUMBER(E64),ISNUMBER(F64)),E64-F64,"No disponible")</f>
        <v>0</v>
      </c>
      <c r="H64" s="8" t="s">
        <v>327</v>
      </c>
      <c r="I64" s="8" t="s">
        <v>56</v>
      </c>
      <c r="J64" s="8" t="s">
        <v>43</v>
      </c>
      <c r="K64" s="8" t="s">
        <v>44</v>
      </c>
      <c r="L64" s="8" t="s">
        <v>45</v>
      </c>
      <c r="M64" s="8" t="s">
        <v>6</v>
      </c>
      <c r="N64" s="8" t="s">
        <v>46</v>
      </c>
      <c r="O64" s="8" t="s">
        <v>362</v>
      </c>
      <c r="P64" s="8" t="s">
        <v>363</v>
      </c>
      <c r="Q64" s="8" t="s">
        <v>59</v>
      </c>
      <c r="R64" s="8" t="s">
        <v>50</v>
      </c>
    </row>
    <row r="65" customFormat="false" ht="43.25" hidden="false" customHeight="false" outlineLevel="0" collapsed="false">
      <c r="A65" s="8" t="s">
        <v>316</v>
      </c>
      <c r="B65" s="8" t="s">
        <v>317</v>
      </c>
      <c r="C65" s="8" t="s">
        <v>364</v>
      </c>
      <c r="D65" s="8" t="s">
        <v>342</v>
      </c>
      <c r="E65" s="9" t="n">
        <v>21995</v>
      </c>
      <c r="F65" s="9" t="n">
        <v>21995</v>
      </c>
      <c r="G65" s="9" t="n">
        <f aca="false">IF(AND(ISNUMBER(E65),ISNUMBER(F65)),E65-F65,"No disponible")</f>
        <v>0</v>
      </c>
      <c r="H65" s="8" t="s">
        <v>347</v>
      </c>
      <c r="I65" s="8" t="s">
        <v>56</v>
      </c>
      <c r="J65" s="8" t="s">
        <v>43</v>
      </c>
      <c r="K65" s="8" t="s">
        <v>44</v>
      </c>
      <c r="L65" s="8" t="s">
        <v>45</v>
      </c>
      <c r="M65" s="8" t="s">
        <v>6</v>
      </c>
      <c r="N65" s="8" t="s">
        <v>46</v>
      </c>
      <c r="O65" s="8" t="s">
        <v>365</v>
      </c>
      <c r="P65" s="8" t="s">
        <v>366</v>
      </c>
      <c r="Q65" s="8" t="s">
        <v>59</v>
      </c>
      <c r="R65" s="8" t="s">
        <v>50</v>
      </c>
    </row>
    <row r="66" customFormat="false" ht="43.25" hidden="false" customHeight="false" outlineLevel="0" collapsed="false">
      <c r="A66" s="8" t="s">
        <v>316</v>
      </c>
      <c r="B66" s="8" t="s">
        <v>317</v>
      </c>
      <c r="C66" s="8" t="s">
        <v>367</v>
      </c>
      <c r="D66" s="8" t="s">
        <v>93</v>
      </c>
      <c r="E66" s="9" t="n">
        <v>66348</v>
      </c>
      <c r="F66" s="9" t="n">
        <v>66348</v>
      </c>
      <c r="G66" s="9" t="n">
        <f aca="false">IF(AND(ISNUMBER(E66),ISNUMBER(F66)),E66-F66,"No disponible")</f>
        <v>0</v>
      </c>
      <c r="H66" s="8" t="s">
        <v>334</v>
      </c>
      <c r="I66" s="8" t="s">
        <v>56</v>
      </c>
      <c r="J66" s="8" t="s">
        <v>43</v>
      </c>
      <c r="K66" s="8" t="s">
        <v>44</v>
      </c>
      <c r="L66" s="8" t="s">
        <v>45</v>
      </c>
      <c r="M66" s="8" t="s">
        <v>6</v>
      </c>
      <c r="N66" s="8" t="s">
        <v>46</v>
      </c>
      <c r="O66" s="8" t="s">
        <v>368</v>
      </c>
      <c r="P66" s="8" t="s">
        <v>369</v>
      </c>
      <c r="Q66" s="8" t="s">
        <v>59</v>
      </c>
      <c r="R66" s="8" t="s">
        <v>50</v>
      </c>
    </row>
    <row r="67" customFormat="false" ht="43.25" hidden="false" customHeight="false" outlineLevel="0" collapsed="false">
      <c r="A67" s="8" t="s">
        <v>316</v>
      </c>
      <c r="B67" s="8" t="s">
        <v>317</v>
      </c>
      <c r="C67" s="8" t="s">
        <v>370</v>
      </c>
      <c r="D67" s="8" t="s">
        <v>342</v>
      </c>
      <c r="E67" s="9" t="n">
        <v>21995</v>
      </c>
      <c r="F67" s="9" t="n">
        <v>21995</v>
      </c>
      <c r="G67" s="9" t="n">
        <f aca="false">IF(AND(ISNUMBER(E67),ISNUMBER(F67)),E67-F67,"No disponible")</f>
        <v>0</v>
      </c>
      <c r="H67" s="8" t="s">
        <v>347</v>
      </c>
      <c r="I67" s="8" t="s">
        <v>56</v>
      </c>
      <c r="J67" s="8" t="s">
        <v>43</v>
      </c>
      <c r="K67" s="8" t="s">
        <v>44</v>
      </c>
      <c r="L67" s="8" t="s">
        <v>45</v>
      </c>
      <c r="M67" s="8" t="s">
        <v>6</v>
      </c>
      <c r="N67" s="8" t="s">
        <v>46</v>
      </c>
      <c r="O67" s="8" t="s">
        <v>371</v>
      </c>
      <c r="P67" s="8" t="s">
        <v>372</v>
      </c>
      <c r="Q67" s="8" t="s">
        <v>59</v>
      </c>
      <c r="R67" s="8" t="s">
        <v>50</v>
      </c>
    </row>
    <row r="68" customFormat="false" ht="43.25" hidden="false" customHeight="false" outlineLevel="0" collapsed="false">
      <c r="A68" s="8" t="s">
        <v>316</v>
      </c>
      <c r="B68" s="8" t="s">
        <v>317</v>
      </c>
      <c r="C68" s="8" t="s">
        <v>373</v>
      </c>
      <c r="D68" s="8" t="s">
        <v>342</v>
      </c>
      <c r="E68" s="9" t="n">
        <v>94261</v>
      </c>
      <c r="F68" s="9" t="n">
        <v>94261</v>
      </c>
      <c r="G68" s="9" t="n">
        <f aca="false">IF(AND(ISNUMBER(E68),ISNUMBER(F68)),E68-F68,"No disponible")</f>
        <v>0</v>
      </c>
      <c r="H68" s="8" t="s">
        <v>374</v>
      </c>
      <c r="I68" s="8" t="s">
        <v>56</v>
      </c>
      <c r="J68" s="8" t="s">
        <v>43</v>
      </c>
      <c r="K68" s="8" t="s">
        <v>44</v>
      </c>
      <c r="L68" s="8" t="s">
        <v>45</v>
      </c>
      <c r="M68" s="8" t="s">
        <v>6</v>
      </c>
      <c r="N68" s="8" t="s">
        <v>46</v>
      </c>
      <c r="O68" s="8" t="s">
        <v>375</v>
      </c>
      <c r="P68" s="8" t="s">
        <v>376</v>
      </c>
      <c r="Q68" s="8" t="s">
        <v>59</v>
      </c>
      <c r="R68" s="8" t="s">
        <v>50</v>
      </c>
    </row>
    <row r="69" customFormat="false" ht="147.75" hidden="false" customHeight="false" outlineLevel="0" collapsed="false">
      <c r="A69" s="8" t="s">
        <v>316</v>
      </c>
      <c r="B69" s="8" t="s">
        <v>317</v>
      </c>
      <c r="C69" s="8" t="s">
        <v>377</v>
      </c>
      <c r="D69" s="8" t="s">
        <v>378</v>
      </c>
      <c r="E69" s="9" t="n">
        <v>21995</v>
      </c>
      <c r="F69" s="9" t="n">
        <v>131970</v>
      </c>
      <c r="G69" s="9" t="n">
        <f aca="false">IF(AND(ISNUMBER(E69),ISNUMBER(F69)),E69-F69,"No disponible")</f>
        <v>-109975</v>
      </c>
      <c r="H69" s="8" t="s">
        <v>379</v>
      </c>
      <c r="I69" s="8" t="s">
        <v>56</v>
      </c>
      <c r="J69" s="8" t="s">
        <v>43</v>
      </c>
      <c r="K69" s="8" t="s">
        <v>190</v>
      </c>
      <c r="L69" s="8" t="s">
        <v>380</v>
      </c>
      <c r="M69" s="8" t="s">
        <v>6</v>
      </c>
      <c r="N69" s="8" t="s">
        <v>46</v>
      </c>
      <c r="O69" s="8" t="s">
        <v>381</v>
      </c>
      <c r="P69" s="8" t="s">
        <v>382</v>
      </c>
      <c r="Q69" s="8" t="s">
        <v>193</v>
      </c>
      <c r="R69" s="8" t="s">
        <v>50</v>
      </c>
    </row>
    <row r="70" customFormat="false" ht="43.25" hidden="false" customHeight="false" outlineLevel="0" collapsed="false">
      <c r="A70" s="8" t="s">
        <v>316</v>
      </c>
      <c r="B70" s="8" t="s">
        <v>317</v>
      </c>
      <c r="C70" s="8" t="s">
        <v>383</v>
      </c>
      <c r="D70" s="8" t="s">
        <v>93</v>
      </c>
      <c r="E70" s="9" t="n">
        <v>44875</v>
      </c>
      <c r="F70" s="9" t="n">
        <v>44875</v>
      </c>
      <c r="G70" s="9" t="n">
        <f aca="false">IF(AND(ISNUMBER(E70),ISNUMBER(F70)),E70-F70,"No disponible")</f>
        <v>0</v>
      </c>
      <c r="H70" s="8" t="s">
        <v>327</v>
      </c>
      <c r="I70" s="8" t="s">
        <v>56</v>
      </c>
      <c r="J70" s="8" t="s">
        <v>43</v>
      </c>
      <c r="K70" s="8" t="s">
        <v>44</v>
      </c>
      <c r="L70" s="8" t="s">
        <v>45</v>
      </c>
      <c r="M70" s="8" t="s">
        <v>6</v>
      </c>
      <c r="N70" s="8" t="s">
        <v>46</v>
      </c>
      <c r="O70" s="8" t="s">
        <v>384</v>
      </c>
      <c r="P70" s="8" t="s">
        <v>385</v>
      </c>
      <c r="Q70" s="8" t="s">
        <v>59</v>
      </c>
      <c r="R70" s="8" t="s">
        <v>50</v>
      </c>
    </row>
    <row r="71" customFormat="false" ht="22.35" hidden="false" customHeight="false" outlineLevel="0" collapsed="false">
      <c r="A71" s="8" t="s">
        <v>316</v>
      </c>
      <c r="B71" s="8" t="s">
        <v>317</v>
      </c>
      <c r="C71" s="8" t="s">
        <v>386</v>
      </c>
      <c r="D71" s="8" t="s">
        <v>86</v>
      </c>
      <c r="E71" s="9" t="n">
        <v>8800</v>
      </c>
      <c r="F71" s="9" t="s">
        <v>87</v>
      </c>
      <c r="G71" s="9" t="str">
        <f aca="false">IF(AND(ISNUMBER(E71),ISNUMBER(F71)),E71-F71,"No disponible")</f>
        <v>No disponible</v>
      </c>
      <c r="H71" s="8" t="s">
        <v>86</v>
      </c>
      <c r="I71" s="8" t="s">
        <v>56</v>
      </c>
      <c r="J71" s="8" t="s">
        <v>87</v>
      </c>
      <c r="K71" s="8" t="s">
        <v>88</v>
      </c>
      <c r="L71" s="8" t="s">
        <v>89</v>
      </c>
      <c r="M71" s="8" t="s">
        <v>82</v>
      </c>
      <c r="N71" s="8" t="s">
        <v>46</v>
      </c>
      <c r="O71" s="8" t="s">
        <v>87</v>
      </c>
      <c r="P71" s="8"/>
      <c r="Q71" s="8" t="s">
        <v>87</v>
      </c>
      <c r="R71" s="8" t="s">
        <v>86</v>
      </c>
    </row>
    <row r="72" customFormat="false" ht="22.35" hidden="false" customHeight="false" outlineLevel="0" collapsed="false">
      <c r="A72" s="8" t="s">
        <v>316</v>
      </c>
      <c r="B72" s="8" t="s">
        <v>317</v>
      </c>
      <c r="C72" s="8" t="s">
        <v>387</v>
      </c>
      <c r="D72" s="8" t="s">
        <v>86</v>
      </c>
      <c r="E72" s="9" t="n">
        <v>8800</v>
      </c>
      <c r="F72" s="9" t="s">
        <v>87</v>
      </c>
      <c r="G72" s="9" t="str">
        <f aca="false">IF(AND(ISNUMBER(E72),ISNUMBER(F72)),E72-F72,"No disponible")</f>
        <v>No disponible</v>
      </c>
      <c r="H72" s="8" t="s">
        <v>86</v>
      </c>
      <c r="I72" s="8" t="s">
        <v>56</v>
      </c>
      <c r="J72" s="8" t="s">
        <v>87</v>
      </c>
      <c r="K72" s="8" t="s">
        <v>88</v>
      </c>
      <c r="L72" s="8" t="s">
        <v>89</v>
      </c>
      <c r="M72" s="8" t="s">
        <v>82</v>
      </c>
      <c r="N72" s="8" t="s">
        <v>46</v>
      </c>
      <c r="O72" s="8" t="s">
        <v>87</v>
      </c>
      <c r="P72" s="8"/>
      <c r="Q72" s="8" t="s">
        <v>87</v>
      </c>
      <c r="R72" s="8" t="s">
        <v>86</v>
      </c>
    </row>
    <row r="73" customFormat="false" ht="43.25" hidden="false" customHeight="false" outlineLevel="0" collapsed="false">
      <c r="A73" s="8" t="s">
        <v>388</v>
      </c>
      <c r="B73" s="8" t="s">
        <v>389</v>
      </c>
      <c r="C73" s="8" t="s">
        <v>390</v>
      </c>
      <c r="D73" s="8" t="s">
        <v>63</v>
      </c>
      <c r="E73" s="9" t="n">
        <v>843093</v>
      </c>
      <c r="F73" s="9" t="n">
        <v>843093</v>
      </c>
      <c r="G73" s="9" t="n">
        <f aca="false">IF(AND(ISNUMBER(E73),ISNUMBER(F73)),E73-F73,"No disponible")</f>
        <v>0</v>
      </c>
      <c r="H73" s="8" t="s">
        <v>64</v>
      </c>
      <c r="I73" s="8" t="s">
        <v>56</v>
      </c>
      <c r="J73" s="8" t="s">
        <v>43</v>
      </c>
      <c r="K73" s="8" t="s">
        <v>44</v>
      </c>
      <c r="L73" s="8" t="s">
        <v>45</v>
      </c>
      <c r="M73" s="8" t="s">
        <v>6</v>
      </c>
      <c r="N73" s="8" t="s">
        <v>46</v>
      </c>
      <c r="O73" s="8" t="s">
        <v>391</v>
      </c>
      <c r="P73" s="8" t="s">
        <v>392</v>
      </c>
      <c r="Q73" s="8" t="s">
        <v>59</v>
      </c>
      <c r="R73" s="8" t="s">
        <v>50</v>
      </c>
    </row>
    <row r="74" customFormat="false" ht="43.25" hidden="false" customHeight="false" outlineLevel="0" collapsed="false">
      <c r="A74" s="8" t="s">
        <v>388</v>
      </c>
      <c r="B74" s="8" t="s">
        <v>389</v>
      </c>
      <c r="C74" s="8" t="s">
        <v>393</v>
      </c>
      <c r="D74" s="8" t="s">
        <v>63</v>
      </c>
      <c r="E74" s="9" t="n">
        <v>8375367</v>
      </c>
      <c r="F74" s="9" t="n">
        <v>8375367</v>
      </c>
      <c r="G74" s="9" t="n">
        <f aca="false">IF(AND(ISNUMBER(E74),ISNUMBER(F74)),E74-F74,"No disponible")</f>
        <v>0</v>
      </c>
      <c r="H74" s="8" t="s">
        <v>64</v>
      </c>
      <c r="I74" s="8" t="s">
        <v>56</v>
      </c>
      <c r="J74" s="8" t="s">
        <v>43</v>
      </c>
      <c r="K74" s="8" t="s">
        <v>44</v>
      </c>
      <c r="L74" s="8" t="s">
        <v>45</v>
      </c>
      <c r="M74" s="8" t="s">
        <v>6</v>
      </c>
      <c r="N74" s="8" t="s">
        <v>46</v>
      </c>
      <c r="O74" s="8" t="s">
        <v>394</v>
      </c>
      <c r="P74" s="8" t="s">
        <v>395</v>
      </c>
      <c r="Q74" s="8" t="s">
        <v>59</v>
      </c>
      <c r="R74" s="8" t="s">
        <v>50</v>
      </c>
    </row>
    <row r="75" customFormat="false" ht="43.25" hidden="false" customHeight="false" outlineLevel="0" collapsed="false">
      <c r="A75" s="8" t="s">
        <v>388</v>
      </c>
      <c r="B75" s="8" t="s">
        <v>389</v>
      </c>
      <c r="C75" s="8" t="s">
        <v>396</v>
      </c>
      <c r="D75" s="8" t="s">
        <v>63</v>
      </c>
      <c r="E75" s="9" t="n">
        <v>584463</v>
      </c>
      <c r="F75" s="9" t="n">
        <v>584463</v>
      </c>
      <c r="G75" s="9" t="n">
        <f aca="false">IF(AND(ISNUMBER(E75),ISNUMBER(F75)),E75-F75,"No disponible")</f>
        <v>0</v>
      </c>
      <c r="H75" s="8" t="s">
        <v>64</v>
      </c>
      <c r="I75" s="8" t="s">
        <v>56</v>
      </c>
      <c r="J75" s="8" t="s">
        <v>43</v>
      </c>
      <c r="K75" s="8" t="s">
        <v>44</v>
      </c>
      <c r="L75" s="8" t="s">
        <v>45</v>
      </c>
      <c r="M75" s="8" t="s">
        <v>6</v>
      </c>
      <c r="N75" s="8" t="s">
        <v>46</v>
      </c>
      <c r="O75" s="8" t="s">
        <v>397</v>
      </c>
      <c r="P75" s="8" t="s">
        <v>398</v>
      </c>
      <c r="Q75" s="8" t="s">
        <v>59</v>
      </c>
      <c r="R75" s="8" t="s">
        <v>50</v>
      </c>
    </row>
    <row r="76" customFormat="false" ht="43.25" hidden="false" customHeight="false" outlineLevel="0" collapsed="false">
      <c r="A76" s="8" t="s">
        <v>388</v>
      </c>
      <c r="B76" s="8" t="s">
        <v>389</v>
      </c>
      <c r="C76" s="8" t="s">
        <v>399</v>
      </c>
      <c r="D76" s="8" t="s">
        <v>63</v>
      </c>
      <c r="E76" s="9" t="n">
        <v>8723906</v>
      </c>
      <c r="F76" s="9" t="n">
        <v>8723906</v>
      </c>
      <c r="G76" s="9" t="n">
        <f aca="false">IF(AND(ISNUMBER(E76),ISNUMBER(F76)),E76-F76,"No disponible")</f>
        <v>0</v>
      </c>
      <c r="H76" s="8" t="s">
        <v>64</v>
      </c>
      <c r="I76" s="8" t="s">
        <v>56</v>
      </c>
      <c r="J76" s="8" t="s">
        <v>43</v>
      </c>
      <c r="K76" s="8" t="s">
        <v>44</v>
      </c>
      <c r="L76" s="8" t="s">
        <v>45</v>
      </c>
      <c r="M76" s="8" t="s">
        <v>6</v>
      </c>
      <c r="N76" s="8" t="s">
        <v>46</v>
      </c>
      <c r="O76" s="8" t="s">
        <v>400</v>
      </c>
      <c r="P76" s="8" t="s">
        <v>401</v>
      </c>
      <c r="Q76" s="8" t="s">
        <v>59</v>
      </c>
      <c r="R76" s="8" t="s">
        <v>50</v>
      </c>
    </row>
    <row r="77" customFormat="false" ht="32.8" hidden="false" customHeight="false" outlineLevel="0" collapsed="false">
      <c r="A77" s="8" t="s">
        <v>402</v>
      </c>
      <c r="B77" s="8" t="s">
        <v>403</v>
      </c>
      <c r="C77" s="8" t="s">
        <v>404</v>
      </c>
      <c r="D77" s="8" t="s">
        <v>127</v>
      </c>
      <c r="E77" s="9" t="n">
        <v>96900</v>
      </c>
      <c r="F77" s="9" t="n">
        <v>96900</v>
      </c>
      <c r="G77" s="9" t="n">
        <f aca="false">IF(AND(ISNUMBER(E77),ISNUMBER(F77)),E77-F77,"No disponible")</f>
        <v>0</v>
      </c>
      <c r="H77" s="8" t="s">
        <v>64</v>
      </c>
      <c r="I77" s="8" t="s">
        <v>56</v>
      </c>
      <c r="J77" s="8" t="s">
        <v>43</v>
      </c>
      <c r="K77" s="8" t="s">
        <v>190</v>
      </c>
      <c r="L77" s="8" t="s">
        <v>45</v>
      </c>
      <c r="M77" s="8" t="s">
        <v>6</v>
      </c>
      <c r="N77" s="8" t="s">
        <v>46</v>
      </c>
      <c r="O77" s="8" t="s">
        <v>405</v>
      </c>
      <c r="P77" s="8" t="s">
        <v>406</v>
      </c>
      <c r="Q77" s="8" t="s">
        <v>193</v>
      </c>
      <c r="R77" s="8" t="s">
        <v>50</v>
      </c>
    </row>
    <row r="78" customFormat="false" ht="32.8" hidden="false" customHeight="false" outlineLevel="0" collapsed="false">
      <c r="A78" s="8" t="s">
        <v>402</v>
      </c>
      <c r="B78" s="8" t="s">
        <v>403</v>
      </c>
      <c r="C78" s="8" t="s">
        <v>407</v>
      </c>
      <c r="D78" s="8" t="s">
        <v>127</v>
      </c>
      <c r="E78" s="9" t="n">
        <v>98900</v>
      </c>
      <c r="F78" s="9" t="n">
        <v>98900</v>
      </c>
      <c r="G78" s="9" t="n">
        <f aca="false">IF(AND(ISNUMBER(E78),ISNUMBER(F78)),E78-F78,"No disponible")</f>
        <v>0</v>
      </c>
      <c r="H78" s="8" t="s">
        <v>64</v>
      </c>
      <c r="I78" s="8" t="s">
        <v>56</v>
      </c>
      <c r="J78" s="8" t="s">
        <v>43</v>
      </c>
      <c r="K78" s="8" t="s">
        <v>190</v>
      </c>
      <c r="L78" s="8" t="s">
        <v>45</v>
      </c>
      <c r="M78" s="8" t="s">
        <v>6</v>
      </c>
      <c r="N78" s="8" t="s">
        <v>46</v>
      </c>
      <c r="O78" s="8" t="s">
        <v>408</v>
      </c>
      <c r="P78" s="8" t="s">
        <v>409</v>
      </c>
      <c r="Q78" s="8" t="s">
        <v>193</v>
      </c>
      <c r="R78" s="8" t="s">
        <v>50</v>
      </c>
    </row>
    <row r="79" customFormat="false" ht="32.8" hidden="false" customHeight="false" outlineLevel="0" collapsed="false">
      <c r="A79" s="8" t="s">
        <v>410</v>
      </c>
      <c r="B79" s="8" t="s">
        <v>411</v>
      </c>
      <c r="C79" s="8" t="s">
        <v>412</v>
      </c>
      <c r="D79" s="8" t="s">
        <v>266</v>
      </c>
      <c r="E79" s="9" t="n">
        <v>27399.75</v>
      </c>
      <c r="F79" s="9" t="n">
        <v>27400</v>
      </c>
      <c r="G79" s="9" t="n">
        <f aca="false">IF(AND(ISNUMBER(E79),ISNUMBER(F79)),E79-F79,"No disponible")</f>
        <v>-0.25</v>
      </c>
      <c r="H79" s="8" t="s">
        <v>413</v>
      </c>
      <c r="I79" s="8" t="s">
        <v>56</v>
      </c>
      <c r="J79" s="8" t="s">
        <v>43</v>
      </c>
      <c r="K79" s="8" t="s">
        <v>81</v>
      </c>
      <c r="L79" s="8" t="s">
        <v>45</v>
      </c>
      <c r="M79" s="8" t="s">
        <v>82</v>
      </c>
      <c r="N79" s="8" t="s">
        <v>46</v>
      </c>
      <c r="O79" s="8" t="s">
        <v>414</v>
      </c>
      <c r="P79" s="8" t="s">
        <v>415</v>
      </c>
      <c r="Q79" s="8" t="s">
        <v>59</v>
      </c>
      <c r="R79" s="8" t="s">
        <v>50</v>
      </c>
    </row>
    <row r="80" customFormat="false" ht="22.35" hidden="false" customHeight="false" outlineLevel="0" collapsed="false">
      <c r="A80" s="8" t="s">
        <v>416</v>
      </c>
      <c r="B80" s="8" t="s">
        <v>417</v>
      </c>
      <c r="C80" s="8" t="s">
        <v>418</v>
      </c>
      <c r="D80" s="8" t="s">
        <v>86</v>
      </c>
      <c r="E80" s="9" t="n">
        <v>946600</v>
      </c>
      <c r="F80" s="9" t="s">
        <v>87</v>
      </c>
      <c r="G80" s="9" t="str">
        <f aca="false">IF(AND(ISNUMBER(E80),ISNUMBER(F80)),E80-F80,"No disponible")</f>
        <v>No disponible</v>
      </c>
      <c r="H80" s="8" t="s">
        <v>86</v>
      </c>
      <c r="I80" s="8" t="s">
        <v>56</v>
      </c>
      <c r="J80" s="8" t="s">
        <v>87</v>
      </c>
      <c r="K80" s="8" t="s">
        <v>140</v>
      </c>
      <c r="L80" s="8" t="s">
        <v>141</v>
      </c>
      <c r="M80" s="8" t="s">
        <v>82</v>
      </c>
      <c r="N80" s="8" t="s">
        <v>46</v>
      </c>
      <c r="O80" s="8" t="s">
        <v>87</v>
      </c>
      <c r="P80" s="8"/>
      <c r="Q80" s="8" t="s">
        <v>87</v>
      </c>
      <c r="R80" s="8" t="s">
        <v>86</v>
      </c>
    </row>
    <row r="81" customFormat="false" ht="43.25" hidden="false" customHeight="false" outlineLevel="0" collapsed="false">
      <c r="A81" s="8" t="s">
        <v>419</v>
      </c>
      <c r="B81" s="8" t="s">
        <v>420</v>
      </c>
      <c r="C81" s="8" t="s">
        <v>421</v>
      </c>
      <c r="D81" s="8" t="s">
        <v>93</v>
      </c>
      <c r="E81" s="9" t="n">
        <v>511867</v>
      </c>
      <c r="F81" s="9" t="n">
        <v>511867</v>
      </c>
      <c r="G81" s="9" t="n">
        <f aca="false">IF(AND(ISNUMBER(E81),ISNUMBER(F81)),E81-F81,"No disponible")</f>
        <v>0</v>
      </c>
      <c r="H81" s="8" t="s">
        <v>422</v>
      </c>
      <c r="I81" s="8" t="s">
        <v>56</v>
      </c>
      <c r="J81" s="8" t="s">
        <v>43</v>
      </c>
      <c r="K81" s="8" t="s">
        <v>44</v>
      </c>
      <c r="L81" s="8" t="s">
        <v>45</v>
      </c>
      <c r="M81" s="8" t="s">
        <v>6</v>
      </c>
      <c r="N81" s="8" t="s">
        <v>46</v>
      </c>
      <c r="O81" s="8" t="s">
        <v>423</v>
      </c>
      <c r="P81" s="8" t="s">
        <v>424</v>
      </c>
      <c r="Q81" s="8" t="s">
        <v>59</v>
      </c>
      <c r="R81" s="8" t="s">
        <v>50</v>
      </c>
    </row>
    <row r="82" customFormat="false" ht="53.7" hidden="false" customHeight="false" outlineLevel="0" collapsed="false">
      <c r="A82" s="8" t="s">
        <v>425</v>
      </c>
      <c r="B82" s="8" t="s">
        <v>426</v>
      </c>
      <c r="C82" s="8" t="s">
        <v>427</v>
      </c>
      <c r="D82" s="8" t="s">
        <v>428</v>
      </c>
      <c r="E82" s="9" t="n">
        <v>9520000</v>
      </c>
      <c r="F82" s="9" t="n">
        <v>9520000</v>
      </c>
      <c r="G82" s="9" t="n">
        <f aca="false">IF(AND(ISNUMBER(E82),ISNUMBER(F82)),E82-F82,"No disponible")</f>
        <v>0</v>
      </c>
      <c r="H82" s="8" t="s">
        <v>429</v>
      </c>
      <c r="I82" s="8" t="s">
        <v>56</v>
      </c>
      <c r="J82" s="8" t="s">
        <v>43</v>
      </c>
      <c r="K82" s="8" t="s">
        <v>44</v>
      </c>
      <c r="L82" s="8" t="s">
        <v>45</v>
      </c>
      <c r="M82" s="8" t="s">
        <v>6</v>
      </c>
      <c r="N82" s="8" t="s">
        <v>46</v>
      </c>
      <c r="O82" s="8" t="s">
        <v>430</v>
      </c>
      <c r="P82" s="8" t="s">
        <v>431</v>
      </c>
      <c r="Q82" s="8" t="s">
        <v>59</v>
      </c>
      <c r="R82" s="8" t="s">
        <v>50</v>
      </c>
    </row>
    <row r="83" customFormat="false" ht="32.8" hidden="false" customHeight="false" outlineLevel="0" collapsed="false">
      <c r="A83" s="8" t="s">
        <v>432</v>
      </c>
      <c r="B83" s="8" t="s">
        <v>433</v>
      </c>
      <c r="C83" s="8" t="s">
        <v>434</v>
      </c>
      <c r="D83" s="8" t="s">
        <v>86</v>
      </c>
      <c r="E83" s="9" t="n">
        <v>6500</v>
      </c>
      <c r="F83" s="9" t="s">
        <v>87</v>
      </c>
      <c r="G83" s="9" t="str">
        <f aca="false">IF(AND(ISNUMBER(E83),ISNUMBER(F83)),E83-F83,"No disponible")</f>
        <v>No disponible</v>
      </c>
      <c r="H83" s="8" t="s">
        <v>86</v>
      </c>
      <c r="I83" s="8" t="s">
        <v>435</v>
      </c>
      <c r="J83" s="8" t="s">
        <v>87</v>
      </c>
      <c r="K83" s="8" t="s">
        <v>140</v>
      </c>
      <c r="L83" s="8" t="s">
        <v>141</v>
      </c>
      <c r="M83" s="8" t="s">
        <v>82</v>
      </c>
      <c r="N83" s="8" t="s">
        <v>46</v>
      </c>
      <c r="O83" s="8" t="s">
        <v>87</v>
      </c>
      <c r="P83" s="8"/>
      <c r="Q83" s="8" t="s">
        <v>87</v>
      </c>
      <c r="R83" s="8" t="s">
        <v>86</v>
      </c>
    </row>
    <row r="84" customFormat="false" ht="32.8" hidden="false" customHeight="false" outlineLevel="0" collapsed="false">
      <c r="A84" s="8" t="s">
        <v>432</v>
      </c>
      <c r="B84" s="8" t="s">
        <v>433</v>
      </c>
      <c r="C84" s="8" t="s">
        <v>436</v>
      </c>
      <c r="D84" s="8" t="s">
        <v>86</v>
      </c>
      <c r="E84" s="9" t="n">
        <v>33000</v>
      </c>
      <c r="F84" s="9" t="s">
        <v>87</v>
      </c>
      <c r="G84" s="9" t="str">
        <f aca="false">IF(AND(ISNUMBER(E84),ISNUMBER(F84)),E84-F84,"No disponible")</f>
        <v>No disponible</v>
      </c>
      <c r="H84" s="8" t="s">
        <v>86</v>
      </c>
      <c r="I84" s="8" t="s">
        <v>435</v>
      </c>
      <c r="J84" s="8" t="s">
        <v>87</v>
      </c>
      <c r="K84" s="8" t="s">
        <v>140</v>
      </c>
      <c r="L84" s="8" t="s">
        <v>141</v>
      </c>
      <c r="M84" s="8" t="s">
        <v>82</v>
      </c>
      <c r="N84" s="8" t="s">
        <v>46</v>
      </c>
      <c r="O84" s="8" t="s">
        <v>87</v>
      </c>
      <c r="P84" s="8"/>
      <c r="Q84" s="8" t="s">
        <v>87</v>
      </c>
      <c r="R84" s="8" t="s">
        <v>86</v>
      </c>
    </row>
    <row r="85" customFormat="false" ht="32.8" hidden="false" customHeight="false" outlineLevel="0" collapsed="false">
      <c r="A85" s="8" t="s">
        <v>437</v>
      </c>
      <c r="B85" s="8" t="s">
        <v>438</v>
      </c>
      <c r="C85" s="8" t="s">
        <v>439</v>
      </c>
      <c r="D85" s="8" t="s">
        <v>127</v>
      </c>
      <c r="E85" s="9" t="n">
        <v>65830</v>
      </c>
      <c r="F85" s="9" t="n">
        <v>65830</v>
      </c>
      <c r="G85" s="9" t="n">
        <f aca="false">IF(AND(ISNUMBER(E85),ISNUMBER(F85)),E85-F85,"No disponible")</f>
        <v>0</v>
      </c>
      <c r="H85" s="8" t="s">
        <v>64</v>
      </c>
      <c r="I85" s="8" t="s">
        <v>56</v>
      </c>
      <c r="J85" s="8" t="s">
        <v>43</v>
      </c>
      <c r="K85" s="8" t="s">
        <v>190</v>
      </c>
      <c r="L85" s="8" t="s">
        <v>45</v>
      </c>
      <c r="M85" s="8" t="s">
        <v>6</v>
      </c>
      <c r="N85" s="8" t="s">
        <v>46</v>
      </c>
      <c r="O85" s="8" t="s">
        <v>440</v>
      </c>
      <c r="P85" s="8" t="s">
        <v>441</v>
      </c>
      <c r="Q85" s="8" t="s">
        <v>193</v>
      </c>
      <c r="R85" s="8" t="s">
        <v>50</v>
      </c>
    </row>
    <row r="86" customFormat="false" ht="43.25" hidden="false" customHeight="false" outlineLevel="0" collapsed="false">
      <c r="A86" s="8" t="s">
        <v>442</v>
      </c>
      <c r="B86" s="8" t="s">
        <v>443</v>
      </c>
      <c r="C86" s="8" t="s">
        <v>444</v>
      </c>
      <c r="D86" s="8" t="s">
        <v>127</v>
      </c>
      <c r="E86" s="9" t="n">
        <v>80000</v>
      </c>
      <c r="F86" s="9" t="n">
        <v>80000</v>
      </c>
      <c r="G86" s="9" t="n">
        <f aca="false">IF(AND(ISNUMBER(E86),ISNUMBER(F86)),E86-F86,"No disponible")</f>
        <v>0</v>
      </c>
      <c r="H86" s="8" t="s">
        <v>64</v>
      </c>
      <c r="I86" s="8" t="s">
        <v>42</v>
      </c>
      <c r="J86" s="8" t="s">
        <v>43</v>
      </c>
      <c r="K86" s="8" t="s">
        <v>44</v>
      </c>
      <c r="L86" s="8" t="s">
        <v>45</v>
      </c>
      <c r="M86" s="8" t="s">
        <v>6</v>
      </c>
      <c r="N86" s="8" t="s">
        <v>46</v>
      </c>
      <c r="O86" s="8" t="s">
        <v>445</v>
      </c>
      <c r="P86" s="8" t="s">
        <v>446</v>
      </c>
      <c r="Q86" s="8" t="s">
        <v>59</v>
      </c>
      <c r="R86" s="8" t="s">
        <v>50</v>
      </c>
    </row>
    <row r="87" customFormat="false" ht="43.25" hidden="false" customHeight="false" outlineLevel="0" collapsed="false">
      <c r="A87" s="8" t="s">
        <v>447</v>
      </c>
      <c r="B87" s="8" t="s">
        <v>448</v>
      </c>
      <c r="C87" s="8" t="s">
        <v>449</v>
      </c>
      <c r="D87" s="8" t="s">
        <v>86</v>
      </c>
      <c r="E87" s="9" t="n">
        <v>42000</v>
      </c>
      <c r="F87" s="9" t="s">
        <v>87</v>
      </c>
      <c r="G87" s="9" t="str">
        <f aca="false">IF(AND(ISNUMBER(E87),ISNUMBER(F87)),E87-F87,"No disponible")</f>
        <v>No disponible</v>
      </c>
      <c r="H87" s="8" t="s">
        <v>86</v>
      </c>
      <c r="I87" s="8" t="s">
        <v>450</v>
      </c>
      <c r="J87" s="8" t="s">
        <v>87</v>
      </c>
      <c r="K87" s="8" t="s">
        <v>140</v>
      </c>
      <c r="L87" s="8" t="s">
        <v>141</v>
      </c>
      <c r="M87" s="8" t="s">
        <v>82</v>
      </c>
      <c r="N87" s="8" t="s">
        <v>46</v>
      </c>
      <c r="O87" s="8" t="s">
        <v>87</v>
      </c>
      <c r="P87" s="8"/>
      <c r="Q87" s="8" t="s">
        <v>87</v>
      </c>
      <c r="R87" s="8" t="s">
        <v>86</v>
      </c>
    </row>
    <row r="88" customFormat="false" ht="43.25" hidden="false" customHeight="false" outlineLevel="0" collapsed="false">
      <c r="A88" s="8" t="s">
        <v>451</v>
      </c>
      <c r="B88" s="8" t="s">
        <v>452</v>
      </c>
      <c r="C88" s="8" t="s">
        <v>453</v>
      </c>
      <c r="D88" s="8" t="s">
        <v>127</v>
      </c>
      <c r="E88" s="9" t="n">
        <v>600000</v>
      </c>
      <c r="F88" s="9" t="n">
        <v>600000</v>
      </c>
      <c r="G88" s="9" t="n">
        <f aca="false">IF(AND(ISNUMBER(E88),ISNUMBER(F88)),E88-F88,"No disponible")</f>
        <v>0</v>
      </c>
      <c r="H88" s="8" t="s">
        <v>64</v>
      </c>
      <c r="I88" s="8" t="s">
        <v>42</v>
      </c>
      <c r="J88" s="8" t="s">
        <v>43</v>
      </c>
      <c r="K88" s="8" t="s">
        <v>44</v>
      </c>
      <c r="L88" s="8" t="s">
        <v>45</v>
      </c>
      <c r="M88" s="8" t="s">
        <v>6</v>
      </c>
      <c r="N88" s="8" t="s">
        <v>46</v>
      </c>
      <c r="O88" s="8" t="s">
        <v>454</v>
      </c>
      <c r="P88" s="8" t="s">
        <v>455</v>
      </c>
      <c r="Q88" s="8" t="s">
        <v>59</v>
      </c>
      <c r="R88" s="8" t="s">
        <v>50</v>
      </c>
    </row>
    <row r="89" customFormat="false" ht="43.25" hidden="false" customHeight="false" outlineLevel="0" collapsed="false">
      <c r="A89" s="8" t="s">
        <v>456</v>
      </c>
      <c r="B89" s="8" t="s">
        <v>457</v>
      </c>
      <c r="C89" s="8" t="s">
        <v>458</v>
      </c>
      <c r="D89" s="8" t="s">
        <v>459</v>
      </c>
      <c r="E89" s="9" t="n">
        <v>11656675</v>
      </c>
      <c r="F89" s="9" t="n">
        <v>11656675</v>
      </c>
      <c r="G89" s="9" t="n">
        <f aca="false">IF(AND(ISNUMBER(E89),ISNUMBER(F89)),E89-F89,"No disponible")</f>
        <v>0</v>
      </c>
      <c r="H89" s="8" t="s">
        <v>460</v>
      </c>
      <c r="I89" s="8" t="s">
        <v>56</v>
      </c>
      <c r="J89" s="8" t="s">
        <v>43</v>
      </c>
      <c r="K89" s="8" t="s">
        <v>44</v>
      </c>
      <c r="L89" s="8" t="s">
        <v>45</v>
      </c>
      <c r="M89" s="8" t="s">
        <v>6</v>
      </c>
      <c r="N89" s="8" t="s">
        <v>46</v>
      </c>
      <c r="O89" s="8" t="s">
        <v>461</v>
      </c>
      <c r="P89" s="8" t="s">
        <v>462</v>
      </c>
      <c r="Q89" s="8" t="s">
        <v>59</v>
      </c>
      <c r="R89" s="8" t="s">
        <v>50</v>
      </c>
    </row>
    <row r="90" customFormat="false" ht="43.25" hidden="false" customHeight="false" outlineLevel="0" collapsed="false">
      <c r="A90" s="8" t="s">
        <v>463</v>
      </c>
      <c r="B90" s="8" t="s">
        <v>464</v>
      </c>
      <c r="C90" s="8" t="s">
        <v>465</v>
      </c>
      <c r="D90" s="8" t="s">
        <v>100</v>
      </c>
      <c r="E90" s="9" t="n">
        <v>250000</v>
      </c>
      <c r="F90" s="9" t="n">
        <v>250000</v>
      </c>
      <c r="G90" s="9" t="n">
        <f aca="false">IF(AND(ISNUMBER(E90),ISNUMBER(F90)),E90-F90,"No disponible")</f>
        <v>0</v>
      </c>
      <c r="H90" s="8" t="s">
        <v>466</v>
      </c>
      <c r="I90" s="8" t="s">
        <v>56</v>
      </c>
      <c r="J90" s="8" t="s">
        <v>43</v>
      </c>
      <c r="K90" s="8" t="s">
        <v>44</v>
      </c>
      <c r="L90" s="8" t="s">
        <v>45</v>
      </c>
      <c r="M90" s="8" t="s">
        <v>6</v>
      </c>
      <c r="N90" s="8" t="s">
        <v>46</v>
      </c>
      <c r="O90" s="8" t="s">
        <v>467</v>
      </c>
      <c r="P90" s="8" t="s">
        <v>468</v>
      </c>
      <c r="Q90" s="8" t="s">
        <v>59</v>
      </c>
      <c r="R90" s="8" t="s">
        <v>50</v>
      </c>
    </row>
    <row r="91" customFormat="false" ht="43.25" hidden="false" customHeight="false" outlineLevel="0" collapsed="false">
      <c r="A91" s="8" t="s">
        <v>469</v>
      </c>
      <c r="B91" s="8" t="s">
        <v>470</v>
      </c>
      <c r="C91" s="8" t="s">
        <v>471</v>
      </c>
      <c r="D91" s="8" t="s">
        <v>93</v>
      </c>
      <c r="E91" s="9" t="n">
        <v>10710000</v>
      </c>
      <c r="F91" s="9" t="n">
        <v>10710000</v>
      </c>
      <c r="G91" s="9" t="n">
        <f aca="false">IF(AND(ISNUMBER(E91),ISNUMBER(F91)),E91-F91,"No disponible")</f>
        <v>0</v>
      </c>
      <c r="H91" s="8" t="s">
        <v>472</v>
      </c>
      <c r="I91" s="8" t="s">
        <v>56</v>
      </c>
      <c r="J91" s="8" t="s">
        <v>43</v>
      </c>
      <c r="K91" s="8" t="s">
        <v>44</v>
      </c>
      <c r="L91" s="8" t="s">
        <v>45</v>
      </c>
      <c r="M91" s="8" t="s">
        <v>6</v>
      </c>
      <c r="N91" s="8" t="s">
        <v>46</v>
      </c>
      <c r="O91" s="8" t="s">
        <v>473</v>
      </c>
      <c r="P91" s="8" t="s">
        <v>474</v>
      </c>
      <c r="Q91" s="8" t="s">
        <v>59</v>
      </c>
      <c r="R91" s="8" t="s">
        <v>50</v>
      </c>
    </row>
    <row r="92" customFormat="false" ht="43.25" hidden="false" customHeight="false" outlineLevel="0" collapsed="false">
      <c r="A92" s="8" t="s">
        <v>469</v>
      </c>
      <c r="B92" s="8" t="s">
        <v>470</v>
      </c>
      <c r="C92" s="8" t="s">
        <v>475</v>
      </c>
      <c r="D92" s="8" t="s">
        <v>476</v>
      </c>
      <c r="E92" s="9" t="n">
        <v>10710000</v>
      </c>
      <c r="F92" s="9" t="n">
        <v>10710000</v>
      </c>
      <c r="G92" s="9" t="n">
        <f aca="false">IF(AND(ISNUMBER(E92),ISNUMBER(F92)),E92-F92,"No disponible")</f>
        <v>0</v>
      </c>
      <c r="H92" s="8" t="s">
        <v>472</v>
      </c>
      <c r="I92" s="8" t="s">
        <v>56</v>
      </c>
      <c r="J92" s="8" t="s">
        <v>43</v>
      </c>
      <c r="K92" s="8" t="s">
        <v>44</v>
      </c>
      <c r="L92" s="8" t="s">
        <v>477</v>
      </c>
      <c r="M92" s="8" t="s">
        <v>6</v>
      </c>
      <c r="N92" s="8" t="s">
        <v>46</v>
      </c>
      <c r="O92" s="8" t="s">
        <v>478</v>
      </c>
      <c r="P92" s="8" t="s">
        <v>479</v>
      </c>
      <c r="Q92" s="8" t="s">
        <v>59</v>
      </c>
      <c r="R92" s="8" t="s">
        <v>50</v>
      </c>
    </row>
    <row r="93" customFormat="false" ht="32.8" hidden="false" customHeight="false" outlineLevel="0" collapsed="false">
      <c r="A93" s="8" t="s">
        <v>480</v>
      </c>
      <c r="B93" s="8" t="s">
        <v>481</v>
      </c>
      <c r="C93" s="8" t="s">
        <v>482</v>
      </c>
      <c r="D93" s="8" t="s">
        <v>483</v>
      </c>
      <c r="E93" s="9" t="n">
        <v>310000</v>
      </c>
      <c r="F93" s="9" t="n">
        <v>310000</v>
      </c>
      <c r="G93" s="9" t="n">
        <f aca="false">IF(AND(ISNUMBER(E93),ISNUMBER(F93)),E93-F93,"No disponible")</f>
        <v>0</v>
      </c>
      <c r="H93" s="8" t="s">
        <v>484</v>
      </c>
      <c r="I93" s="8" t="s">
        <v>56</v>
      </c>
      <c r="J93" s="8" t="s">
        <v>43</v>
      </c>
      <c r="K93" s="8" t="s">
        <v>107</v>
      </c>
      <c r="L93" s="8" t="s">
        <v>45</v>
      </c>
      <c r="M93" s="8" t="s">
        <v>108</v>
      </c>
      <c r="N93" s="8" t="s">
        <v>46</v>
      </c>
      <c r="O93" s="8" t="s">
        <v>485</v>
      </c>
      <c r="P93" s="8" t="s">
        <v>486</v>
      </c>
      <c r="Q93" s="8" t="s">
        <v>59</v>
      </c>
      <c r="R93" s="8" t="s">
        <v>111</v>
      </c>
    </row>
    <row r="94" customFormat="false" ht="32.8" hidden="false" customHeight="false" outlineLevel="0" collapsed="false">
      <c r="A94" s="8" t="s">
        <v>487</v>
      </c>
      <c r="B94" s="8" t="s">
        <v>488</v>
      </c>
      <c r="C94" s="8" t="s">
        <v>489</v>
      </c>
      <c r="D94" s="8" t="s">
        <v>127</v>
      </c>
      <c r="E94" s="9" t="n">
        <v>374594.27</v>
      </c>
      <c r="F94" s="9" t="n">
        <v>374595</v>
      </c>
      <c r="G94" s="9" t="n">
        <f aca="false">IF(AND(ISNUMBER(E94),ISNUMBER(F94)),E94-F94,"No disponible")</f>
        <v>-0.729999999981374</v>
      </c>
      <c r="H94" s="8" t="s">
        <v>64</v>
      </c>
      <c r="I94" s="8" t="s">
        <v>56</v>
      </c>
      <c r="J94" s="8" t="s">
        <v>43</v>
      </c>
      <c r="K94" s="8" t="s">
        <v>81</v>
      </c>
      <c r="L94" s="8" t="s">
        <v>45</v>
      </c>
      <c r="M94" s="8" t="s">
        <v>82</v>
      </c>
      <c r="N94" s="8" t="s">
        <v>46</v>
      </c>
      <c r="O94" s="8" t="s">
        <v>490</v>
      </c>
      <c r="P94" s="8" t="s">
        <v>491</v>
      </c>
      <c r="Q94" s="8" t="s">
        <v>59</v>
      </c>
      <c r="R94" s="8" t="s">
        <v>50</v>
      </c>
    </row>
    <row r="95" customFormat="false" ht="22.35" hidden="false" customHeight="false" outlineLevel="0" collapsed="false">
      <c r="A95" s="8" t="s">
        <v>492</v>
      </c>
      <c r="B95" s="8" t="s">
        <v>493</v>
      </c>
      <c r="C95" s="8" t="s">
        <v>494</v>
      </c>
      <c r="D95" s="8" t="s">
        <v>86</v>
      </c>
      <c r="E95" s="9" t="n">
        <v>29049.99</v>
      </c>
      <c r="F95" s="9" t="s">
        <v>87</v>
      </c>
      <c r="G95" s="9" t="str">
        <f aca="false">IF(AND(ISNUMBER(E95),ISNUMBER(F95)),E95-F95,"No disponible")</f>
        <v>No disponible</v>
      </c>
      <c r="H95" s="8" t="s">
        <v>86</v>
      </c>
      <c r="I95" s="8" t="s">
        <v>56</v>
      </c>
      <c r="J95" s="8" t="s">
        <v>87</v>
      </c>
      <c r="K95" s="8" t="s">
        <v>88</v>
      </c>
      <c r="L95" s="8" t="s">
        <v>89</v>
      </c>
      <c r="M95" s="8" t="s">
        <v>82</v>
      </c>
      <c r="N95" s="8" t="s">
        <v>46</v>
      </c>
      <c r="O95" s="8" t="s">
        <v>87</v>
      </c>
      <c r="P95" s="8"/>
      <c r="Q95" s="8" t="s">
        <v>87</v>
      </c>
      <c r="R95" s="8" t="s">
        <v>86</v>
      </c>
    </row>
    <row r="96" customFormat="false" ht="32.8" hidden="false" customHeight="false" outlineLevel="0" collapsed="false">
      <c r="A96" s="8" t="s">
        <v>492</v>
      </c>
      <c r="B96" s="8" t="s">
        <v>493</v>
      </c>
      <c r="C96" s="8" t="s">
        <v>495</v>
      </c>
      <c r="D96" s="8" t="s">
        <v>127</v>
      </c>
      <c r="E96" s="9" t="n">
        <v>5380</v>
      </c>
      <c r="F96" s="9" t="n">
        <v>5380</v>
      </c>
      <c r="G96" s="9" t="n">
        <f aca="false">IF(AND(ISNUMBER(E96),ISNUMBER(F96)),E96-F96,"No disponible")</f>
        <v>0</v>
      </c>
      <c r="H96" s="8" t="s">
        <v>64</v>
      </c>
      <c r="I96" s="8" t="s">
        <v>56</v>
      </c>
      <c r="J96" s="8" t="s">
        <v>43</v>
      </c>
      <c r="K96" s="8" t="s">
        <v>190</v>
      </c>
      <c r="L96" s="8" t="s">
        <v>45</v>
      </c>
      <c r="M96" s="8" t="s">
        <v>6</v>
      </c>
      <c r="N96" s="8" t="s">
        <v>46</v>
      </c>
      <c r="O96" s="8" t="s">
        <v>496</v>
      </c>
      <c r="P96" s="8" t="s">
        <v>497</v>
      </c>
      <c r="Q96" s="8" t="s">
        <v>193</v>
      </c>
      <c r="R96" s="8" t="s">
        <v>50</v>
      </c>
    </row>
    <row r="97" customFormat="false" ht="32.8" hidden="false" customHeight="false" outlineLevel="0" collapsed="false">
      <c r="A97" s="8" t="s">
        <v>492</v>
      </c>
      <c r="B97" s="8" t="s">
        <v>493</v>
      </c>
      <c r="C97" s="8" t="s">
        <v>498</v>
      </c>
      <c r="D97" s="8" t="s">
        <v>127</v>
      </c>
      <c r="E97" s="9" t="n">
        <v>1950</v>
      </c>
      <c r="F97" s="9" t="n">
        <v>2000</v>
      </c>
      <c r="G97" s="9" t="n">
        <f aca="false">IF(AND(ISNUMBER(E97),ISNUMBER(F97)),E97-F97,"No disponible")</f>
        <v>-50</v>
      </c>
      <c r="H97" s="8" t="s">
        <v>64</v>
      </c>
      <c r="I97" s="8" t="s">
        <v>56</v>
      </c>
      <c r="J97" s="8" t="s">
        <v>43</v>
      </c>
      <c r="K97" s="8" t="s">
        <v>81</v>
      </c>
      <c r="L97" s="8" t="s">
        <v>45</v>
      </c>
      <c r="M97" s="8" t="s">
        <v>82</v>
      </c>
      <c r="N97" s="8" t="s">
        <v>46</v>
      </c>
      <c r="O97" s="8" t="s">
        <v>499</v>
      </c>
      <c r="P97" s="8" t="s">
        <v>500</v>
      </c>
      <c r="Q97" s="8" t="s">
        <v>59</v>
      </c>
      <c r="R97" s="8" t="s">
        <v>50</v>
      </c>
    </row>
    <row r="98" customFormat="false" ht="32.8" hidden="false" customHeight="false" outlineLevel="0" collapsed="false">
      <c r="A98" s="8" t="s">
        <v>492</v>
      </c>
      <c r="B98" s="8" t="s">
        <v>493</v>
      </c>
      <c r="C98" s="8" t="s">
        <v>501</v>
      </c>
      <c r="D98" s="8" t="s">
        <v>127</v>
      </c>
      <c r="E98" s="9" t="n">
        <v>1950</v>
      </c>
      <c r="F98" s="9" t="n">
        <v>1980</v>
      </c>
      <c r="G98" s="9" t="n">
        <f aca="false">IF(AND(ISNUMBER(E98),ISNUMBER(F98)),E98-F98,"No disponible")</f>
        <v>-30</v>
      </c>
      <c r="H98" s="8" t="s">
        <v>64</v>
      </c>
      <c r="I98" s="8" t="s">
        <v>56</v>
      </c>
      <c r="J98" s="8" t="s">
        <v>43</v>
      </c>
      <c r="K98" s="8" t="s">
        <v>81</v>
      </c>
      <c r="L98" s="8" t="s">
        <v>45</v>
      </c>
      <c r="M98" s="8" t="s">
        <v>82</v>
      </c>
      <c r="N98" s="8" t="s">
        <v>46</v>
      </c>
      <c r="O98" s="8" t="s">
        <v>502</v>
      </c>
      <c r="P98" s="8" t="s">
        <v>503</v>
      </c>
      <c r="Q98" s="8" t="s">
        <v>59</v>
      </c>
      <c r="R98" s="8" t="s">
        <v>50</v>
      </c>
    </row>
    <row r="99" customFormat="false" ht="32.8" hidden="false" customHeight="false" outlineLevel="0" collapsed="false">
      <c r="A99" s="8" t="s">
        <v>504</v>
      </c>
      <c r="B99" s="8" t="s">
        <v>505</v>
      </c>
      <c r="C99" s="8" t="s">
        <v>506</v>
      </c>
      <c r="D99" s="8" t="s">
        <v>266</v>
      </c>
      <c r="E99" s="9" t="n">
        <v>4500</v>
      </c>
      <c r="F99" s="9" t="n">
        <v>4501</v>
      </c>
      <c r="G99" s="9" t="n">
        <f aca="false">IF(AND(ISNUMBER(E99),ISNUMBER(F99)),E99-F99,"No disponible")</f>
        <v>-1</v>
      </c>
      <c r="H99" s="8" t="s">
        <v>507</v>
      </c>
      <c r="I99" s="8" t="s">
        <v>56</v>
      </c>
      <c r="J99" s="8" t="s">
        <v>43</v>
      </c>
      <c r="K99" s="8" t="s">
        <v>81</v>
      </c>
      <c r="L99" s="8" t="s">
        <v>45</v>
      </c>
      <c r="M99" s="8" t="s">
        <v>82</v>
      </c>
      <c r="N99" s="8" t="s">
        <v>46</v>
      </c>
      <c r="O99" s="8" t="s">
        <v>508</v>
      </c>
      <c r="P99" s="8" t="s">
        <v>509</v>
      </c>
      <c r="Q99" s="8" t="s">
        <v>59</v>
      </c>
      <c r="R99" s="8" t="s">
        <v>50</v>
      </c>
    </row>
    <row r="100" customFormat="false" ht="22.35" hidden="false" customHeight="false" outlineLevel="0" collapsed="false">
      <c r="A100" s="8" t="s">
        <v>510</v>
      </c>
      <c r="B100" s="8" t="s">
        <v>511</v>
      </c>
      <c r="C100" s="8" t="s">
        <v>512</v>
      </c>
      <c r="D100" s="8" t="s">
        <v>86</v>
      </c>
      <c r="E100" s="9" t="n">
        <v>844372</v>
      </c>
      <c r="F100" s="9" t="s">
        <v>87</v>
      </c>
      <c r="G100" s="9" t="str">
        <f aca="false">IF(AND(ISNUMBER(E100),ISNUMBER(F100)),E100-F100,"No disponible")</f>
        <v>No disponible</v>
      </c>
      <c r="H100" s="8" t="s">
        <v>86</v>
      </c>
      <c r="I100" s="8" t="s">
        <v>56</v>
      </c>
      <c r="J100" s="8" t="s">
        <v>87</v>
      </c>
      <c r="K100" s="8" t="s">
        <v>140</v>
      </c>
      <c r="L100" s="8" t="s">
        <v>141</v>
      </c>
      <c r="M100" s="8" t="s">
        <v>82</v>
      </c>
      <c r="N100" s="8" t="s">
        <v>46</v>
      </c>
      <c r="O100" s="8" t="s">
        <v>87</v>
      </c>
      <c r="P100" s="8"/>
      <c r="Q100" s="8" t="s">
        <v>87</v>
      </c>
      <c r="R100" s="8" t="s">
        <v>86</v>
      </c>
    </row>
    <row r="101" customFormat="false" ht="22.35" hidden="false" customHeight="false" outlineLevel="0" collapsed="false">
      <c r="A101" s="8" t="s">
        <v>513</v>
      </c>
      <c r="B101" s="8" t="s">
        <v>514</v>
      </c>
      <c r="C101" s="8" t="s">
        <v>515</v>
      </c>
      <c r="D101" s="8" t="s">
        <v>86</v>
      </c>
      <c r="E101" s="9" t="n">
        <v>12000</v>
      </c>
      <c r="F101" s="9" t="s">
        <v>87</v>
      </c>
      <c r="G101" s="9" t="str">
        <f aca="false">IF(AND(ISNUMBER(E101),ISNUMBER(F101)),E101-F101,"No disponible")</f>
        <v>No disponible</v>
      </c>
      <c r="H101" s="8" t="s">
        <v>86</v>
      </c>
      <c r="I101" s="8" t="s">
        <v>56</v>
      </c>
      <c r="J101" s="8" t="s">
        <v>87</v>
      </c>
      <c r="K101" s="8" t="s">
        <v>140</v>
      </c>
      <c r="L101" s="8" t="s">
        <v>141</v>
      </c>
      <c r="M101" s="8" t="s">
        <v>82</v>
      </c>
      <c r="N101" s="8" t="s">
        <v>46</v>
      </c>
      <c r="O101" s="8" t="s">
        <v>87</v>
      </c>
      <c r="P101" s="8"/>
      <c r="Q101" s="8" t="s">
        <v>87</v>
      </c>
      <c r="R101" s="8" t="s">
        <v>86</v>
      </c>
    </row>
    <row r="102" customFormat="false" ht="43.25" hidden="false" customHeight="false" outlineLevel="0" collapsed="false">
      <c r="A102" s="8" t="s">
        <v>516</v>
      </c>
      <c r="B102" s="8" t="s">
        <v>517</v>
      </c>
      <c r="C102" s="8" t="s">
        <v>518</v>
      </c>
      <c r="D102" s="8" t="s">
        <v>519</v>
      </c>
      <c r="E102" s="9" t="n">
        <v>163377</v>
      </c>
      <c r="F102" s="9" t="n">
        <v>163377</v>
      </c>
      <c r="G102" s="9" t="n">
        <f aca="false">IF(AND(ISNUMBER(E102),ISNUMBER(F102)),E102-F102,"No disponible")</f>
        <v>0</v>
      </c>
      <c r="H102" s="8" t="s">
        <v>520</v>
      </c>
      <c r="I102" s="8" t="s">
        <v>56</v>
      </c>
      <c r="J102" s="8" t="s">
        <v>43</v>
      </c>
      <c r="K102" s="8" t="s">
        <v>44</v>
      </c>
      <c r="L102" s="8" t="s">
        <v>45</v>
      </c>
      <c r="M102" s="8" t="s">
        <v>6</v>
      </c>
      <c r="N102" s="8" t="s">
        <v>46</v>
      </c>
      <c r="O102" s="8" t="s">
        <v>521</v>
      </c>
      <c r="P102" s="8" t="s">
        <v>522</v>
      </c>
      <c r="Q102" s="8" t="s">
        <v>59</v>
      </c>
      <c r="R102" s="8" t="s">
        <v>50</v>
      </c>
    </row>
    <row r="103" customFormat="false" ht="32.8" hidden="false" customHeight="false" outlineLevel="0" collapsed="false">
      <c r="A103" s="8" t="s">
        <v>516</v>
      </c>
      <c r="B103" s="8" t="s">
        <v>517</v>
      </c>
      <c r="C103" s="8" t="s">
        <v>523</v>
      </c>
      <c r="D103" s="8" t="s">
        <v>86</v>
      </c>
      <c r="E103" s="9" t="n">
        <v>17284533</v>
      </c>
      <c r="F103" s="9" t="s">
        <v>87</v>
      </c>
      <c r="G103" s="9" t="str">
        <f aca="false">IF(AND(ISNUMBER(E103),ISNUMBER(F103)),E103-F103,"No disponible")</f>
        <v>No disponible</v>
      </c>
      <c r="H103" s="8" t="s">
        <v>86</v>
      </c>
      <c r="I103" s="8" t="s">
        <v>56</v>
      </c>
      <c r="J103" s="8" t="s">
        <v>524</v>
      </c>
      <c r="K103" s="8" t="s">
        <v>525</v>
      </c>
      <c r="L103" s="8" t="s">
        <v>526</v>
      </c>
      <c r="M103" s="8" t="s">
        <v>82</v>
      </c>
      <c r="N103" s="8" t="s">
        <v>46</v>
      </c>
      <c r="O103" s="8" t="s">
        <v>527</v>
      </c>
      <c r="P103" s="8"/>
      <c r="Q103" s="8" t="s">
        <v>59</v>
      </c>
      <c r="R103" s="8" t="s">
        <v>86</v>
      </c>
    </row>
    <row r="104" customFormat="false" ht="43.25" hidden="false" customHeight="false" outlineLevel="0" collapsed="false">
      <c r="A104" s="8" t="s">
        <v>516</v>
      </c>
      <c r="B104" s="8" t="s">
        <v>517</v>
      </c>
      <c r="C104" s="8" t="s">
        <v>528</v>
      </c>
      <c r="D104" s="8" t="s">
        <v>519</v>
      </c>
      <c r="E104" s="9" t="n">
        <v>936203</v>
      </c>
      <c r="F104" s="9" t="n">
        <v>936203</v>
      </c>
      <c r="G104" s="9" t="n">
        <f aca="false">IF(AND(ISNUMBER(E104),ISNUMBER(F104)),E104-F104,"No disponible")</f>
        <v>0</v>
      </c>
      <c r="H104" s="8" t="s">
        <v>529</v>
      </c>
      <c r="I104" s="8" t="s">
        <v>56</v>
      </c>
      <c r="J104" s="8" t="s">
        <v>43</v>
      </c>
      <c r="K104" s="8" t="s">
        <v>44</v>
      </c>
      <c r="L104" s="8" t="s">
        <v>45</v>
      </c>
      <c r="M104" s="8" t="s">
        <v>6</v>
      </c>
      <c r="N104" s="8" t="s">
        <v>46</v>
      </c>
      <c r="O104" s="8" t="s">
        <v>530</v>
      </c>
      <c r="P104" s="8" t="s">
        <v>531</v>
      </c>
      <c r="Q104" s="8" t="s">
        <v>59</v>
      </c>
      <c r="R104" s="8" t="s">
        <v>50</v>
      </c>
    </row>
    <row r="105" customFormat="false" ht="43.25" hidden="false" customHeight="false" outlineLevel="0" collapsed="false">
      <c r="A105" s="8" t="s">
        <v>516</v>
      </c>
      <c r="B105" s="8" t="s">
        <v>517</v>
      </c>
      <c r="C105" s="8" t="s">
        <v>532</v>
      </c>
      <c r="D105" s="8" t="s">
        <v>519</v>
      </c>
      <c r="E105" s="9" t="n">
        <v>1524400</v>
      </c>
      <c r="F105" s="9" t="n">
        <v>1524400</v>
      </c>
      <c r="G105" s="9" t="n">
        <f aca="false">IF(AND(ISNUMBER(E105),ISNUMBER(F105)),E105-F105,"No disponible")</f>
        <v>0</v>
      </c>
      <c r="H105" s="8" t="s">
        <v>533</v>
      </c>
      <c r="I105" s="8" t="s">
        <v>56</v>
      </c>
      <c r="J105" s="8" t="s">
        <v>43</v>
      </c>
      <c r="K105" s="8" t="s">
        <v>44</v>
      </c>
      <c r="L105" s="8" t="s">
        <v>45</v>
      </c>
      <c r="M105" s="8" t="s">
        <v>6</v>
      </c>
      <c r="N105" s="8" t="s">
        <v>46</v>
      </c>
      <c r="O105" s="8" t="s">
        <v>534</v>
      </c>
      <c r="P105" s="8" t="s">
        <v>535</v>
      </c>
      <c r="Q105" s="8" t="s">
        <v>59</v>
      </c>
      <c r="R105" s="8" t="s">
        <v>50</v>
      </c>
    </row>
    <row r="106" customFormat="false" ht="43.25" hidden="false" customHeight="false" outlineLevel="0" collapsed="false">
      <c r="A106" s="8" t="s">
        <v>516</v>
      </c>
      <c r="B106" s="8" t="s">
        <v>517</v>
      </c>
      <c r="C106" s="8" t="s">
        <v>536</v>
      </c>
      <c r="D106" s="8" t="s">
        <v>537</v>
      </c>
      <c r="E106" s="9" t="n">
        <v>17182828</v>
      </c>
      <c r="F106" s="9" t="n">
        <v>17182828</v>
      </c>
      <c r="G106" s="9" t="n">
        <f aca="false">IF(AND(ISNUMBER(E106),ISNUMBER(F106)),E106-F106,"No disponible")</f>
        <v>0</v>
      </c>
      <c r="H106" s="8" t="s">
        <v>538</v>
      </c>
      <c r="I106" s="8" t="s">
        <v>56</v>
      </c>
      <c r="J106" s="8" t="s">
        <v>43</v>
      </c>
      <c r="K106" s="8" t="s">
        <v>44</v>
      </c>
      <c r="L106" s="8" t="s">
        <v>45</v>
      </c>
      <c r="M106" s="8" t="s">
        <v>6</v>
      </c>
      <c r="N106" s="8" t="s">
        <v>46</v>
      </c>
      <c r="O106" s="8" t="s">
        <v>539</v>
      </c>
      <c r="P106" s="8" t="s">
        <v>540</v>
      </c>
      <c r="Q106" s="8" t="s">
        <v>59</v>
      </c>
      <c r="R106" s="8" t="s">
        <v>50</v>
      </c>
    </row>
    <row r="107" customFormat="false" ht="32.8" hidden="false" customHeight="false" outlineLevel="0" collapsed="false">
      <c r="A107" s="8" t="s">
        <v>516</v>
      </c>
      <c r="B107" s="8" t="s">
        <v>517</v>
      </c>
      <c r="C107" s="8" t="s">
        <v>541</v>
      </c>
      <c r="D107" s="8" t="s">
        <v>133</v>
      </c>
      <c r="E107" s="9" t="n">
        <v>25832826</v>
      </c>
      <c r="F107" s="9" t="n">
        <v>25832826</v>
      </c>
      <c r="G107" s="9" t="n">
        <f aca="false">IF(AND(ISNUMBER(E107),ISNUMBER(F107)),E107-F107,"No disponible")</f>
        <v>0</v>
      </c>
      <c r="H107" s="8" t="s">
        <v>542</v>
      </c>
      <c r="I107" s="8" t="s">
        <v>56</v>
      </c>
      <c r="J107" s="8" t="s">
        <v>43</v>
      </c>
      <c r="K107" s="8" t="s">
        <v>107</v>
      </c>
      <c r="L107" s="8" t="s">
        <v>45</v>
      </c>
      <c r="M107" s="8" t="s">
        <v>108</v>
      </c>
      <c r="N107" s="8" t="s">
        <v>46</v>
      </c>
      <c r="O107" s="8" t="s">
        <v>543</v>
      </c>
      <c r="P107" s="8" t="s">
        <v>544</v>
      </c>
      <c r="Q107" s="8" t="s">
        <v>59</v>
      </c>
      <c r="R107" s="8" t="s">
        <v>111</v>
      </c>
    </row>
    <row r="108" customFormat="false" ht="32.8" hidden="false" customHeight="false" outlineLevel="0" collapsed="false">
      <c r="A108" s="8" t="s">
        <v>516</v>
      </c>
      <c r="B108" s="8" t="s">
        <v>517</v>
      </c>
      <c r="C108" s="8" t="s">
        <v>545</v>
      </c>
      <c r="D108" s="8" t="s">
        <v>546</v>
      </c>
      <c r="E108" s="9" t="n">
        <v>44800000</v>
      </c>
      <c r="F108" s="9" t="n">
        <v>44800000</v>
      </c>
      <c r="G108" s="9" t="n">
        <f aca="false">IF(AND(ISNUMBER(E108),ISNUMBER(F108)),E108-F108,"No disponible")</f>
        <v>0</v>
      </c>
      <c r="H108" s="8" t="s">
        <v>547</v>
      </c>
      <c r="I108" s="8" t="s">
        <v>56</v>
      </c>
      <c r="J108" s="8" t="s">
        <v>43</v>
      </c>
      <c r="K108" s="8" t="s">
        <v>107</v>
      </c>
      <c r="L108" s="8" t="s">
        <v>45</v>
      </c>
      <c r="M108" s="8" t="s">
        <v>108</v>
      </c>
      <c r="N108" s="8" t="s">
        <v>46</v>
      </c>
      <c r="O108" s="8" t="s">
        <v>548</v>
      </c>
      <c r="P108" s="8" t="s">
        <v>549</v>
      </c>
      <c r="Q108" s="8" t="s">
        <v>59</v>
      </c>
      <c r="R108" s="8" t="s">
        <v>111</v>
      </c>
    </row>
    <row r="109" customFormat="false" ht="32.8" hidden="false" customHeight="false" outlineLevel="0" collapsed="false">
      <c r="A109" s="8" t="s">
        <v>516</v>
      </c>
      <c r="B109" s="8" t="s">
        <v>517</v>
      </c>
      <c r="C109" s="8" t="s">
        <v>550</v>
      </c>
      <c r="D109" s="8" t="s">
        <v>546</v>
      </c>
      <c r="E109" s="9" t="n">
        <v>62792000</v>
      </c>
      <c r="F109" s="9" t="n">
        <v>62792000</v>
      </c>
      <c r="G109" s="9" t="n">
        <f aca="false">IF(AND(ISNUMBER(E109),ISNUMBER(F109)),E109-F109,"No disponible")</f>
        <v>0</v>
      </c>
      <c r="H109" s="8" t="s">
        <v>551</v>
      </c>
      <c r="I109" s="8" t="s">
        <v>56</v>
      </c>
      <c r="J109" s="8" t="s">
        <v>43</v>
      </c>
      <c r="K109" s="8" t="s">
        <v>107</v>
      </c>
      <c r="L109" s="8" t="s">
        <v>45</v>
      </c>
      <c r="M109" s="8" t="s">
        <v>108</v>
      </c>
      <c r="N109" s="8" t="s">
        <v>46</v>
      </c>
      <c r="O109" s="8" t="s">
        <v>552</v>
      </c>
      <c r="P109" s="8" t="s">
        <v>553</v>
      </c>
      <c r="Q109" s="8" t="s">
        <v>59</v>
      </c>
      <c r="R109" s="8" t="s">
        <v>111</v>
      </c>
    </row>
    <row r="110" customFormat="false" ht="32.8" hidden="false" customHeight="false" outlineLevel="0" collapsed="false">
      <c r="A110" s="8" t="s">
        <v>516</v>
      </c>
      <c r="B110" s="8" t="s">
        <v>517</v>
      </c>
      <c r="C110" s="8" t="s">
        <v>554</v>
      </c>
      <c r="D110" s="8" t="s">
        <v>546</v>
      </c>
      <c r="E110" s="9" t="n">
        <v>55308000</v>
      </c>
      <c r="F110" s="9" t="n">
        <v>55308000</v>
      </c>
      <c r="G110" s="9" t="n">
        <f aca="false">IF(AND(ISNUMBER(E110),ISNUMBER(F110)),E110-F110,"No disponible")</f>
        <v>0</v>
      </c>
      <c r="H110" s="8" t="s">
        <v>555</v>
      </c>
      <c r="I110" s="8" t="s">
        <v>56</v>
      </c>
      <c r="J110" s="8" t="s">
        <v>43</v>
      </c>
      <c r="K110" s="8" t="s">
        <v>107</v>
      </c>
      <c r="L110" s="8" t="s">
        <v>45</v>
      </c>
      <c r="M110" s="8" t="s">
        <v>108</v>
      </c>
      <c r="N110" s="8" t="s">
        <v>46</v>
      </c>
      <c r="O110" s="8" t="s">
        <v>556</v>
      </c>
      <c r="P110" s="8" t="s">
        <v>557</v>
      </c>
      <c r="Q110" s="8" t="s">
        <v>59</v>
      </c>
      <c r="R110" s="8" t="s">
        <v>111</v>
      </c>
    </row>
    <row r="111" customFormat="false" ht="32.8" hidden="false" customHeight="false" outlineLevel="0" collapsed="false">
      <c r="A111" s="8" t="s">
        <v>516</v>
      </c>
      <c r="B111" s="8" t="s">
        <v>517</v>
      </c>
      <c r="C111" s="8" t="s">
        <v>558</v>
      </c>
      <c r="D111" s="8" t="s">
        <v>546</v>
      </c>
      <c r="E111" s="9" t="n">
        <v>62925000</v>
      </c>
      <c r="F111" s="9" t="n">
        <v>62925000</v>
      </c>
      <c r="G111" s="9" t="n">
        <f aca="false">IF(AND(ISNUMBER(E111),ISNUMBER(F111)),E111-F111,"No disponible")</f>
        <v>0</v>
      </c>
      <c r="H111" s="8" t="s">
        <v>559</v>
      </c>
      <c r="I111" s="8" t="s">
        <v>56</v>
      </c>
      <c r="J111" s="8" t="s">
        <v>43</v>
      </c>
      <c r="K111" s="8" t="s">
        <v>107</v>
      </c>
      <c r="L111" s="8" t="s">
        <v>45</v>
      </c>
      <c r="M111" s="8" t="s">
        <v>108</v>
      </c>
      <c r="N111" s="8" t="s">
        <v>46</v>
      </c>
      <c r="O111" s="8" t="s">
        <v>560</v>
      </c>
      <c r="P111" s="8" t="s">
        <v>561</v>
      </c>
      <c r="Q111" s="8" t="s">
        <v>59</v>
      </c>
      <c r="R111" s="8" t="s">
        <v>111</v>
      </c>
    </row>
    <row r="112" customFormat="false" ht="32.8" hidden="false" customHeight="false" outlineLevel="0" collapsed="false">
      <c r="A112" s="8" t="s">
        <v>516</v>
      </c>
      <c r="B112" s="8" t="s">
        <v>517</v>
      </c>
      <c r="C112" s="8" t="s">
        <v>562</v>
      </c>
      <c r="D112" s="8" t="s">
        <v>546</v>
      </c>
      <c r="E112" s="9" t="n">
        <v>62370000</v>
      </c>
      <c r="F112" s="9" t="n">
        <v>62370000</v>
      </c>
      <c r="G112" s="9" t="n">
        <f aca="false">IF(AND(ISNUMBER(E112),ISNUMBER(F112)),E112-F112,"No disponible")</f>
        <v>0</v>
      </c>
      <c r="H112" s="8" t="s">
        <v>563</v>
      </c>
      <c r="I112" s="8" t="s">
        <v>56</v>
      </c>
      <c r="J112" s="8" t="s">
        <v>43</v>
      </c>
      <c r="K112" s="8" t="s">
        <v>107</v>
      </c>
      <c r="L112" s="8" t="s">
        <v>45</v>
      </c>
      <c r="M112" s="8" t="s">
        <v>108</v>
      </c>
      <c r="N112" s="8" t="s">
        <v>46</v>
      </c>
      <c r="O112" s="8" t="s">
        <v>564</v>
      </c>
      <c r="P112" s="8" t="s">
        <v>565</v>
      </c>
      <c r="Q112" s="8" t="s">
        <v>69</v>
      </c>
      <c r="R112" s="8" t="s">
        <v>111</v>
      </c>
    </row>
    <row r="113" customFormat="false" ht="32.8" hidden="false" customHeight="false" outlineLevel="0" collapsed="false">
      <c r="A113" s="8" t="s">
        <v>516</v>
      </c>
      <c r="B113" s="8" t="s">
        <v>517</v>
      </c>
      <c r="C113" s="8" t="s">
        <v>566</v>
      </c>
      <c r="D113" s="8" t="s">
        <v>546</v>
      </c>
      <c r="E113" s="9" t="n">
        <v>30669750</v>
      </c>
      <c r="F113" s="9" t="n">
        <v>30669750</v>
      </c>
      <c r="G113" s="9" t="n">
        <f aca="false">IF(AND(ISNUMBER(E113),ISNUMBER(F113)),E113-F113,"No disponible")</f>
        <v>0</v>
      </c>
      <c r="H113" s="8" t="s">
        <v>567</v>
      </c>
      <c r="I113" s="8" t="s">
        <v>56</v>
      </c>
      <c r="J113" s="8" t="s">
        <v>43</v>
      </c>
      <c r="K113" s="8" t="s">
        <v>107</v>
      </c>
      <c r="L113" s="8" t="s">
        <v>45</v>
      </c>
      <c r="M113" s="8" t="s">
        <v>108</v>
      </c>
      <c r="N113" s="8" t="s">
        <v>46</v>
      </c>
      <c r="O113" s="8" t="s">
        <v>568</v>
      </c>
      <c r="P113" s="8" t="s">
        <v>569</v>
      </c>
      <c r="Q113" s="8" t="s">
        <v>59</v>
      </c>
      <c r="R113" s="8" t="s">
        <v>111</v>
      </c>
    </row>
    <row r="114" customFormat="false" ht="32.8" hidden="false" customHeight="false" outlineLevel="0" collapsed="false">
      <c r="A114" s="8" t="s">
        <v>516</v>
      </c>
      <c r="B114" s="8" t="s">
        <v>517</v>
      </c>
      <c r="C114" s="8" t="s">
        <v>570</v>
      </c>
      <c r="D114" s="8" t="s">
        <v>133</v>
      </c>
      <c r="E114" s="9" t="n">
        <v>10787879</v>
      </c>
      <c r="F114" s="9" t="n">
        <v>10787879</v>
      </c>
      <c r="G114" s="9" t="n">
        <f aca="false">IF(AND(ISNUMBER(E114),ISNUMBER(F114)),E114-F114,"No disponible")</f>
        <v>0</v>
      </c>
      <c r="H114" s="8" t="s">
        <v>571</v>
      </c>
      <c r="I114" s="8" t="s">
        <v>56</v>
      </c>
      <c r="J114" s="8" t="s">
        <v>43</v>
      </c>
      <c r="K114" s="8" t="s">
        <v>107</v>
      </c>
      <c r="L114" s="8" t="s">
        <v>45</v>
      </c>
      <c r="M114" s="8" t="s">
        <v>108</v>
      </c>
      <c r="N114" s="8" t="s">
        <v>46</v>
      </c>
      <c r="O114" s="8" t="s">
        <v>572</v>
      </c>
      <c r="P114" s="8" t="s">
        <v>573</v>
      </c>
      <c r="Q114" s="8" t="s">
        <v>59</v>
      </c>
      <c r="R114" s="8" t="s">
        <v>111</v>
      </c>
    </row>
    <row r="115" customFormat="false" ht="32.8" hidden="false" customHeight="false" outlineLevel="0" collapsed="false">
      <c r="A115" s="8" t="s">
        <v>516</v>
      </c>
      <c r="B115" s="8" t="s">
        <v>517</v>
      </c>
      <c r="C115" s="8" t="s">
        <v>574</v>
      </c>
      <c r="D115" s="8" t="s">
        <v>575</v>
      </c>
      <c r="E115" s="9" t="n">
        <v>12754590</v>
      </c>
      <c r="F115" s="9" t="n">
        <v>12754590</v>
      </c>
      <c r="G115" s="9" t="n">
        <f aca="false">IF(AND(ISNUMBER(E115),ISNUMBER(F115)),E115-F115,"No disponible")</f>
        <v>0</v>
      </c>
      <c r="H115" s="8" t="s">
        <v>576</v>
      </c>
      <c r="I115" s="8" t="s">
        <v>56</v>
      </c>
      <c r="J115" s="8" t="s">
        <v>43</v>
      </c>
      <c r="K115" s="8" t="s">
        <v>107</v>
      </c>
      <c r="L115" s="8" t="s">
        <v>45</v>
      </c>
      <c r="M115" s="8" t="s">
        <v>108</v>
      </c>
      <c r="N115" s="8" t="s">
        <v>46</v>
      </c>
      <c r="O115" s="8" t="s">
        <v>577</v>
      </c>
      <c r="P115" s="8" t="s">
        <v>578</v>
      </c>
      <c r="Q115" s="8" t="s">
        <v>59</v>
      </c>
      <c r="R115" s="8" t="s">
        <v>111</v>
      </c>
    </row>
    <row r="116" customFormat="false" ht="53.7" hidden="false" customHeight="false" outlineLevel="0" collapsed="false">
      <c r="A116" s="8" t="s">
        <v>579</v>
      </c>
      <c r="B116" s="8" t="s">
        <v>580</v>
      </c>
      <c r="C116" s="8" t="s">
        <v>581</v>
      </c>
      <c r="D116" s="8" t="s">
        <v>428</v>
      </c>
      <c r="E116" s="9" t="n">
        <v>954751.28</v>
      </c>
      <c r="F116" s="9" t="n">
        <v>954751</v>
      </c>
      <c r="G116" s="9" t="n">
        <f aca="false">IF(AND(ISNUMBER(E116),ISNUMBER(F116)),E116-F116,"No disponible")</f>
        <v>0.28000000002794</v>
      </c>
      <c r="H116" s="8" t="s">
        <v>582</v>
      </c>
      <c r="I116" s="8" t="s">
        <v>56</v>
      </c>
      <c r="J116" s="8" t="s">
        <v>43</v>
      </c>
      <c r="K116" s="8" t="s">
        <v>81</v>
      </c>
      <c r="L116" s="8" t="s">
        <v>45</v>
      </c>
      <c r="M116" s="8" t="s">
        <v>82</v>
      </c>
      <c r="N116" s="8" t="s">
        <v>46</v>
      </c>
      <c r="O116" s="8" t="s">
        <v>583</v>
      </c>
      <c r="P116" s="8" t="s">
        <v>584</v>
      </c>
      <c r="Q116" s="8" t="s">
        <v>59</v>
      </c>
      <c r="R116" s="8" t="s">
        <v>50</v>
      </c>
    </row>
    <row r="117" customFormat="false" ht="43.25" hidden="false" customHeight="false" outlineLevel="0" collapsed="false">
      <c r="A117" s="8" t="s">
        <v>585</v>
      </c>
      <c r="B117" s="8" t="s">
        <v>586</v>
      </c>
      <c r="C117" s="8" t="s">
        <v>587</v>
      </c>
      <c r="D117" s="8" t="s">
        <v>588</v>
      </c>
      <c r="E117" s="9" t="n">
        <v>8806000</v>
      </c>
      <c r="F117" s="9" t="n">
        <v>8806000</v>
      </c>
      <c r="G117" s="9" t="n">
        <f aca="false">IF(AND(ISNUMBER(E117),ISNUMBER(F117)),E117-F117,"No disponible")</f>
        <v>0</v>
      </c>
      <c r="H117" s="8" t="s">
        <v>589</v>
      </c>
      <c r="I117" s="8" t="s">
        <v>56</v>
      </c>
      <c r="J117" s="8" t="s">
        <v>43</v>
      </c>
      <c r="K117" s="8" t="s">
        <v>107</v>
      </c>
      <c r="L117" s="8" t="s">
        <v>45</v>
      </c>
      <c r="M117" s="8" t="s">
        <v>108</v>
      </c>
      <c r="N117" s="8" t="s">
        <v>46</v>
      </c>
      <c r="O117" s="8" t="s">
        <v>590</v>
      </c>
      <c r="P117" s="8" t="s">
        <v>591</v>
      </c>
      <c r="Q117" s="8" t="s">
        <v>59</v>
      </c>
      <c r="R117" s="8" t="s">
        <v>111</v>
      </c>
    </row>
    <row r="118" customFormat="false" ht="43.25" hidden="false" customHeight="false" outlineLevel="0" collapsed="false">
      <c r="A118" s="8" t="s">
        <v>592</v>
      </c>
      <c r="B118" s="8" t="s">
        <v>593</v>
      </c>
      <c r="C118" s="8" t="s">
        <v>594</v>
      </c>
      <c r="D118" s="8" t="s">
        <v>266</v>
      </c>
      <c r="E118" s="9" t="n">
        <v>9639</v>
      </c>
      <c r="F118" s="9" t="n">
        <v>9639</v>
      </c>
      <c r="G118" s="9" t="n">
        <f aca="false">IF(AND(ISNUMBER(E118),ISNUMBER(F118)),E118-F118,"No disponible")</f>
        <v>0</v>
      </c>
      <c r="H118" s="8" t="s">
        <v>595</v>
      </c>
      <c r="I118" s="8" t="s">
        <v>65</v>
      </c>
      <c r="J118" s="8" t="s">
        <v>43</v>
      </c>
      <c r="K118" s="8" t="s">
        <v>44</v>
      </c>
      <c r="L118" s="8" t="s">
        <v>45</v>
      </c>
      <c r="M118" s="8" t="s">
        <v>6</v>
      </c>
      <c r="N118" s="8" t="s">
        <v>46</v>
      </c>
      <c r="O118" s="8" t="s">
        <v>596</v>
      </c>
      <c r="P118" s="8" t="s">
        <v>597</v>
      </c>
      <c r="Q118" s="8" t="s">
        <v>69</v>
      </c>
      <c r="R118" s="8" t="s">
        <v>50</v>
      </c>
    </row>
    <row r="119" customFormat="false" ht="43.25" hidden="false" customHeight="false" outlineLevel="0" collapsed="false">
      <c r="A119" s="8" t="s">
        <v>592</v>
      </c>
      <c r="B119" s="8" t="s">
        <v>593</v>
      </c>
      <c r="C119" s="8" t="s">
        <v>598</v>
      </c>
      <c r="D119" s="8" t="s">
        <v>266</v>
      </c>
      <c r="E119" s="9" t="n">
        <v>291312</v>
      </c>
      <c r="F119" s="9" t="n">
        <v>291312</v>
      </c>
      <c r="G119" s="9" t="n">
        <f aca="false">IF(AND(ISNUMBER(E119),ISNUMBER(F119)),E119-F119,"No disponible")</f>
        <v>0</v>
      </c>
      <c r="H119" s="8" t="s">
        <v>599</v>
      </c>
      <c r="I119" s="8" t="s">
        <v>56</v>
      </c>
      <c r="J119" s="8" t="s">
        <v>43</v>
      </c>
      <c r="K119" s="8" t="s">
        <v>44</v>
      </c>
      <c r="L119" s="8" t="s">
        <v>45</v>
      </c>
      <c r="M119" s="8" t="s">
        <v>6</v>
      </c>
      <c r="N119" s="8" t="s">
        <v>46</v>
      </c>
      <c r="O119" s="8" t="s">
        <v>600</v>
      </c>
      <c r="P119" s="8" t="s">
        <v>601</v>
      </c>
      <c r="Q119" s="8" t="s">
        <v>59</v>
      </c>
      <c r="R119" s="8" t="s">
        <v>50</v>
      </c>
    </row>
    <row r="120" customFormat="false" ht="32.8" hidden="false" customHeight="false" outlineLevel="0" collapsed="false">
      <c r="A120" s="8" t="s">
        <v>592</v>
      </c>
      <c r="B120" s="8" t="s">
        <v>593</v>
      </c>
      <c r="C120" s="8" t="s">
        <v>602</v>
      </c>
      <c r="D120" s="8" t="s">
        <v>266</v>
      </c>
      <c r="E120" s="9" t="n">
        <v>67026.75</v>
      </c>
      <c r="F120" s="9" t="n">
        <v>67027</v>
      </c>
      <c r="G120" s="9" t="n">
        <f aca="false">IF(AND(ISNUMBER(E120),ISNUMBER(F120)),E120-F120,"No disponible")</f>
        <v>-0.25</v>
      </c>
      <c r="H120" s="8" t="s">
        <v>603</v>
      </c>
      <c r="I120" s="8" t="s">
        <v>56</v>
      </c>
      <c r="J120" s="8" t="s">
        <v>43</v>
      </c>
      <c r="K120" s="8" t="s">
        <v>81</v>
      </c>
      <c r="L120" s="8" t="s">
        <v>45</v>
      </c>
      <c r="M120" s="8" t="s">
        <v>82</v>
      </c>
      <c r="N120" s="8" t="s">
        <v>46</v>
      </c>
      <c r="O120" s="8" t="s">
        <v>604</v>
      </c>
      <c r="P120" s="8" t="s">
        <v>605</v>
      </c>
      <c r="Q120" s="8" t="s">
        <v>59</v>
      </c>
      <c r="R120" s="8" t="s">
        <v>50</v>
      </c>
    </row>
    <row r="121" customFormat="false" ht="32.8" hidden="false" customHeight="false" outlineLevel="0" collapsed="false">
      <c r="A121" s="8" t="s">
        <v>592</v>
      </c>
      <c r="B121" s="8" t="s">
        <v>593</v>
      </c>
      <c r="C121" s="8" t="s">
        <v>606</v>
      </c>
      <c r="D121" s="8" t="s">
        <v>266</v>
      </c>
      <c r="E121" s="9" t="n">
        <v>16912.88</v>
      </c>
      <c r="F121" s="9" t="n">
        <v>16913</v>
      </c>
      <c r="G121" s="9" t="n">
        <f aca="false">IF(AND(ISNUMBER(E121),ISNUMBER(F121)),E121-F121,"No disponible")</f>
        <v>-0.119999999998981</v>
      </c>
      <c r="H121" s="8" t="s">
        <v>607</v>
      </c>
      <c r="I121" s="8" t="s">
        <v>56</v>
      </c>
      <c r="J121" s="8" t="s">
        <v>43</v>
      </c>
      <c r="K121" s="8" t="s">
        <v>81</v>
      </c>
      <c r="L121" s="8" t="s">
        <v>45</v>
      </c>
      <c r="M121" s="8" t="s">
        <v>82</v>
      </c>
      <c r="N121" s="8" t="s">
        <v>46</v>
      </c>
      <c r="O121" s="8" t="s">
        <v>608</v>
      </c>
      <c r="P121" s="8" t="s">
        <v>609</v>
      </c>
      <c r="Q121" s="8" t="s">
        <v>59</v>
      </c>
      <c r="R121" s="8" t="s">
        <v>50</v>
      </c>
    </row>
    <row r="122" customFormat="false" ht="32.8" hidden="false" customHeight="false" outlineLevel="0" collapsed="false">
      <c r="A122" s="8" t="s">
        <v>592</v>
      </c>
      <c r="B122" s="8" t="s">
        <v>593</v>
      </c>
      <c r="C122" s="8" t="s">
        <v>610</v>
      </c>
      <c r="D122" s="8" t="s">
        <v>266</v>
      </c>
      <c r="E122" s="9" t="n">
        <v>1844.5</v>
      </c>
      <c r="F122" s="9" t="n">
        <v>1845</v>
      </c>
      <c r="G122" s="9" t="n">
        <f aca="false">IF(AND(ISNUMBER(E122),ISNUMBER(F122)),E122-F122,"No disponible")</f>
        <v>-0.5</v>
      </c>
      <c r="H122" s="8" t="s">
        <v>611</v>
      </c>
      <c r="I122" s="8" t="s">
        <v>56</v>
      </c>
      <c r="J122" s="8" t="s">
        <v>43</v>
      </c>
      <c r="K122" s="8" t="s">
        <v>81</v>
      </c>
      <c r="L122" s="8" t="s">
        <v>45</v>
      </c>
      <c r="M122" s="8" t="s">
        <v>82</v>
      </c>
      <c r="N122" s="8" t="s">
        <v>46</v>
      </c>
      <c r="O122" s="8" t="s">
        <v>612</v>
      </c>
      <c r="P122" s="8" t="s">
        <v>613</v>
      </c>
      <c r="Q122" s="8" t="s">
        <v>59</v>
      </c>
      <c r="R122" s="8" t="s">
        <v>50</v>
      </c>
    </row>
    <row r="123" customFormat="false" ht="32.8" hidden="false" customHeight="false" outlineLevel="0" collapsed="false">
      <c r="A123" s="8" t="s">
        <v>614</v>
      </c>
      <c r="B123" s="8" t="s">
        <v>615</v>
      </c>
      <c r="C123" s="8" t="s">
        <v>616</v>
      </c>
      <c r="D123" s="8" t="s">
        <v>127</v>
      </c>
      <c r="E123" s="9" t="n">
        <v>67100</v>
      </c>
      <c r="F123" s="9" t="n">
        <v>67100</v>
      </c>
      <c r="G123" s="9" t="n">
        <f aca="false">IF(AND(ISNUMBER(E123),ISNUMBER(F123)),E123-F123,"No disponible")</f>
        <v>0</v>
      </c>
      <c r="H123" s="8" t="s">
        <v>64</v>
      </c>
      <c r="I123" s="8" t="s">
        <v>56</v>
      </c>
      <c r="J123" s="8" t="s">
        <v>43</v>
      </c>
      <c r="K123" s="8" t="s">
        <v>190</v>
      </c>
      <c r="L123" s="8" t="s">
        <v>45</v>
      </c>
      <c r="M123" s="8" t="s">
        <v>6</v>
      </c>
      <c r="N123" s="8" t="s">
        <v>46</v>
      </c>
      <c r="O123" s="8" t="s">
        <v>617</v>
      </c>
      <c r="P123" s="8" t="s">
        <v>618</v>
      </c>
      <c r="Q123" s="8" t="s">
        <v>193</v>
      </c>
      <c r="R123" s="8" t="s">
        <v>50</v>
      </c>
    </row>
    <row r="124" customFormat="false" ht="43.25" hidden="false" customHeight="false" outlineLevel="0" collapsed="false">
      <c r="A124" s="8" t="s">
        <v>614</v>
      </c>
      <c r="B124" s="8" t="s">
        <v>615</v>
      </c>
      <c r="C124" s="8" t="s">
        <v>619</v>
      </c>
      <c r="D124" s="8" t="s">
        <v>127</v>
      </c>
      <c r="E124" s="9" t="n">
        <v>6800</v>
      </c>
      <c r="F124" s="9" t="n">
        <v>6800</v>
      </c>
      <c r="G124" s="9" t="n">
        <f aca="false">IF(AND(ISNUMBER(E124),ISNUMBER(F124)),E124-F124,"No disponible")</f>
        <v>0</v>
      </c>
      <c r="H124" s="8" t="s">
        <v>64</v>
      </c>
      <c r="I124" s="8" t="s">
        <v>56</v>
      </c>
      <c r="J124" s="8" t="s">
        <v>43</v>
      </c>
      <c r="K124" s="8" t="s">
        <v>44</v>
      </c>
      <c r="L124" s="8" t="s">
        <v>45</v>
      </c>
      <c r="M124" s="8" t="s">
        <v>6</v>
      </c>
      <c r="N124" s="8" t="s">
        <v>46</v>
      </c>
      <c r="O124" s="8" t="s">
        <v>620</v>
      </c>
      <c r="P124" s="8" t="s">
        <v>621</v>
      </c>
      <c r="Q124" s="8" t="s">
        <v>59</v>
      </c>
      <c r="R124" s="8" t="s">
        <v>50</v>
      </c>
    </row>
    <row r="125" customFormat="false" ht="22.35" hidden="false" customHeight="false" outlineLevel="0" collapsed="false">
      <c r="A125" s="8" t="s">
        <v>622</v>
      </c>
      <c r="B125" s="8" t="s">
        <v>623</v>
      </c>
      <c r="C125" s="8" t="s">
        <v>624</v>
      </c>
      <c r="D125" s="8" t="s">
        <v>86</v>
      </c>
      <c r="E125" s="9" t="n">
        <v>24000</v>
      </c>
      <c r="F125" s="9" t="s">
        <v>87</v>
      </c>
      <c r="G125" s="9" t="str">
        <f aca="false">IF(AND(ISNUMBER(E125),ISNUMBER(F125)),E125-F125,"No disponible")</f>
        <v>No disponible</v>
      </c>
      <c r="H125" s="8" t="s">
        <v>86</v>
      </c>
      <c r="I125" s="8" t="s">
        <v>56</v>
      </c>
      <c r="J125" s="8" t="s">
        <v>87</v>
      </c>
      <c r="K125" s="8" t="s">
        <v>140</v>
      </c>
      <c r="L125" s="8" t="s">
        <v>141</v>
      </c>
      <c r="M125" s="8" t="s">
        <v>82</v>
      </c>
      <c r="N125" s="8" t="s">
        <v>46</v>
      </c>
      <c r="O125" s="8" t="s">
        <v>87</v>
      </c>
      <c r="P125" s="8"/>
      <c r="Q125" s="8" t="s">
        <v>87</v>
      </c>
      <c r="R125" s="8" t="s">
        <v>86</v>
      </c>
    </row>
    <row r="126" customFormat="false" ht="43.25" hidden="false" customHeight="false" outlineLevel="0" collapsed="false">
      <c r="A126" s="8" t="s">
        <v>625</v>
      </c>
      <c r="B126" s="8" t="s">
        <v>626</v>
      </c>
      <c r="C126" s="8" t="s">
        <v>627</v>
      </c>
      <c r="D126" s="8" t="s">
        <v>93</v>
      </c>
      <c r="E126" s="9" t="n">
        <v>189867</v>
      </c>
      <c r="F126" s="9" t="n">
        <v>189867</v>
      </c>
      <c r="G126" s="9" t="n">
        <f aca="false">IF(AND(ISNUMBER(E126),ISNUMBER(F126)),E126-F126,"No disponible")</f>
        <v>0</v>
      </c>
      <c r="H126" s="8" t="s">
        <v>628</v>
      </c>
      <c r="I126" s="8" t="s">
        <v>56</v>
      </c>
      <c r="J126" s="8" t="s">
        <v>43</v>
      </c>
      <c r="K126" s="8" t="s">
        <v>44</v>
      </c>
      <c r="L126" s="8" t="s">
        <v>45</v>
      </c>
      <c r="M126" s="8" t="s">
        <v>6</v>
      </c>
      <c r="N126" s="8" t="s">
        <v>46</v>
      </c>
      <c r="O126" s="8" t="s">
        <v>629</v>
      </c>
      <c r="P126" s="8" t="s">
        <v>630</v>
      </c>
      <c r="Q126" s="8" t="s">
        <v>59</v>
      </c>
      <c r="R126" s="8" t="s">
        <v>50</v>
      </c>
    </row>
    <row r="127" customFormat="false" ht="43.25" hidden="false" customHeight="false" outlineLevel="0" collapsed="false">
      <c r="A127" s="8" t="s">
        <v>625</v>
      </c>
      <c r="B127" s="8" t="s">
        <v>626</v>
      </c>
      <c r="C127" s="8" t="s">
        <v>631</v>
      </c>
      <c r="D127" s="8" t="s">
        <v>93</v>
      </c>
      <c r="E127" s="9" t="n">
        <v>16387</v>
      </c>
      <c r="F127" s="9" t="n">
        <v>16387</v>
      </c>
      <c r="G127" s="9" t="n">
        <f aca="false">IF(AND(ISNUMBER(E127),ISNUMBER(F127)),E127-F127,"No disponible")</f>
        <v>0</v>
      </c>
      <c r="H127" s="8" t="s">
        <v>632</v>
      </c>
      <c r="I127" s="8" t="s">
        <v>56</v>
      </c>
      <c r="J127" s="8" t="s">
        <v>43</v>
      </c>
      <c r="K127" s="8" t="s">
        <v>44</v>
      </c>
      <c r="L127" s="8" t="s">
        <v>45</v>
      </c>
      <c r="M127" s="8" t="s">
        <v>6</v>
      </c>
      <c r="N127" s="8" t="s">
        <v>46</v>
      </c>
      <c r="O127" s="8" t="s">
        <v>633</v>
      </c>
      <c r="P127" s="8" t="s">
        <v>634</v>
      </c>
      <c r="Q127" s="8" t="s">
        <v>59</v>
      </c>
      <c r="R127" s="8" t="s">
        <v>50</v>
      </c>
    </row>
    <row r="128" customFormat="false" ht="43.25" hidden="false" customHeight="false" outlineLevel="0" collapsed="false">
      <c r="A128" s="8" t="s">
        <v>625</v>
      </c>
      <c r="B128" s="8" t="s">
        <v>626</v>
      </c>
      <c r="C128" s="8" t="s">
        <v>635</v>
      </c>
      <c r="D128" s="8" t="s">
        <v>93</v>
      </c>
      <c r="E128" s="9" t="n">
        <v>428400</v>
      </c>
      <c r="F128" s="9" t="n">
        <v>428400</v>
      </c>
      <c r="G128" s="9" t="n">
        <f aca="false">IF(AND(ISNUMBER(E128),ISNUMBER(F128)),E128-F128,"No disponible")</f>
        <v>0</v>
      </c>
      <c r="H128" s="8" t="s">
        <v>636</v>
      </c>
      <c r="I128" s="8" t="s">
        <v>56</v>
      </c>
      <c r="J128" s="8" t="s">
        <v>43</v>
      </c>
      <c r="K128" s="8" t="s">
        <v>44</v>
      </c>
      <c r="L128" s="8" t="s">
        <v>45</v>
      </c>
      <c r="M128" s="8" t="s">
        <v>6</v>
      </c>
      <c r="N128" s="8" t="s">
        <v>46</v>
      </c>
      <c r="O128" s="8" t="s">
        <v>637</v>
      </c>
      <c r="P128" s="8" t="s">
        <v>638</v>
      </c>
      <c r="Q128" s="8" t="s">
        <v>59</v>
      </c>
      <c r="R128" s="8" t="s">
        <v>50</v>
      </c>
    </row>
    <row r="129" customFormat="false" ht="43.25" hidden="false" customHeight="false" outlineLevel="0" collapsed="false">
      <c r="A129" s="8" t="s">
        <v>625</v>
      </c>
      <c r="B129" s="8" t="s">
        <v>626</v>
      </c>
      <c r="C129" s="8" t="s">
        <v>639</v>
      </c>
      <c r="D129" s="8" t="s">
        <v>93</v>
      </c>
      <c r="E129" s="9" t="n">
        <v>968223</v>
      </c>
      <c r="F129" s="9" t="n">
        <v>968223</v>
      </c>
      <c r="G129" s="9" t="n">
        <f aca="false">IF(AND(ISNUMBER(E129),ISNUMBER(F129)),E129-F129,"No disponible")</f>
        <v>0</v>
      </c>
      <c r="H129" s="8" t="s">
        <v>640</v>
      </c>
      <c r="I129" s="8" t="s">
        <v>56</v>
      </c>
      <c r="J129" s="8" t="s">
        <v>43</v>
      </c>
      <c r="K129" s="8" t="s">
        <v>44</v>
      </c>
      <c r="L129" s="8" t="s">
        <v>45</v>
      </c>
      <c r="M129" s="8" t="s">
        <v>6</v>
      </c>
      <c r="N129" s="8" t="s">
        <v>46</v>
      </c>
      <c r="O129" s="8" t="s">
        <v>641</v>
      </c>
      <c r="P129" s="8" t="s">
        <v>642</v>
      </c>
      <c r="Q129" s="8" t="s">
        <v>59</v>
      </c>
      <c r="R129" s="8" t="s">
        <v>50</v>
      </c>
    </row>
    <row r="130" customFormat="false" ht="43.25" hidden="false" customHeight="false" outlineLevel="0" collapsed="false">
      <c r="A130" s="8" t="s">
        <v>625</v>
      </c>
      <c r="B130" s="8" t="s">
        <v>626</v>
      </c>
      <c r="C130" s="8" t="s">
        <v>643</v>
      </c>
      <c r="D130" s="8" t="s">
        <v>127</v>
      </c>
      <c r="E130" s="9" t="n">
        <v>621434</v>
      </c>
      <c r="F130" s="9" t="n">
        <v>621434</v>
      </c>
      <c r="G130" s="9" t="n">
        <f aca="false">IF(AND(ISNUMBER(E130),ISNUMBER(F130)),E130-F130,"No disponible")</f>
        <v>0</v>
      </c>
      <c r="H130" s="8" t="s">
        <v>64</v>
      </c>
      <c r="I130" s="8" t="s">
        <v>644</v>
      </c>
      <c r="J130" s="8" t="s">
        <v>43</v>
      </c>
      <c r="K130" s="8" t="s">
        <v>44</v>
      </c>
      <c r="L130" s="8" t="s">
        <v>45</v>
      </c>
      <c r="M130" s="8" t="s">
        <v>6</v>
      </c>
      <c r="N130" s="8" t="s">
        <v>46</v>
      </c>
      <c r="O130" s="8" t="s">
        <v>645</v>
      </c>
      <c r="P130" s="8" t="s">
        <v>646</v>
      </c>
      <c r="Q130" s="8" t="s">
        <v>59</v>
      </c>
      <c r="R130" s="8" t="s">
        <v>50</v>
      </c>
    </row>
    <row r="131" customFormat="false" ht="43.25" hidden="false" customHeight="false" outlineLevel="0" collapsed="false">
      <c r="A131" s="8" t="s">
        <v>625</v>
      </c>
      <c r="B131" s="8" t="s">
        <v>626</v>
      </c>
      <c r="C131" s="8" t="s">
        <v>647</v>
      </c>
      <c r="D131" s="8" t="s">
        <v>127</v>
      </c>
      <c r="E131" s="9" t="n">
        <v>3916515</v>
      </c>
      <c r="F131" s="9" t="n">
        <v>3916515</v>
      </c>
      <c r="G131" s="9" t="n">
        <f aca="false">IF(AND(ISNUMBER(E131),ISNUMBER(F131)),E131-F131,"No disponible")</f>
        <v>0</v>
      </c>
      <c r="H131" s="8" t="s">
        <v>64</v>
      </c>
      <c r="I131" s="8" t="s">
        <v>644</v>
      </c>
      <c r="J131" s="8" t="s">
        <v>43</v>
      </c>
      <c r="K131" s="8" t="s">
        <v>44</v>
      </c>
      <c r="L131" s="8" t="s">
        <v>45</v>
      </c>
      <c r="M131" s="8" t="s">
        <v>6</v>
      </c>
      <c r="N131" s="8" t="s">
        <v>46</v>
      </c>
      <c r="O131" s="8" t="s">
        <v>648</v>
      </c>
      <c r="P131" s="8" t="s">
        <v>649</v>
      </c>
      <c r="Q131" s="8" t="s">
        <v>59</v>
      </c>
      <c r="R131" s="8" t="s">
        <v>50</v>
      </c>
    </row>
    <row r="132" customFormat="false" ht="22.35" hidden="false" customHeight="false" outlineLevel="0" collapsed="false">
      <c r="A132" s="8" t="s">
        <v>650</v>
      </c>
      <c r="B132" s="8" t="s">
        <v>651</v>
      </c>
      <c r="C132" s="8" t="s">
        <v>652</v>
      </c>
      <c r="D132" s="8" t="s">
        <v>86</v>
      </c>
      <c r="E132" s="9" t="n">
        <v>10000.25</v>
      </c>
      <c r="F132" s="9" t="s">
        <v>87</v>
      </c>
      <c r="G132" s="9" t="str">
        <f aca="false">IF(AND(ISNUMBER(E132),ISNUMBER(F132)),E132-F132,"No disponible")</f>
        <v>No disponible</v>
      </c>
      <c r="H132" s="8" t="s">
        <v>86</v>
      </c>
      <c r="I132" s="8" t="s">
        <v>56</v>
      </c>
      <c r="J132" s="8" t="s">
        <v>87</v>
      </c>
      <c r="K132" s="8" t="s">
        <v>140</v>
      </c>
      <c r="L132" s="8" t="s">
        <v>141</v>
      </c>
      <c r="M132" s="8" t="s">
        <v>82</v>
      </c>
      <c r="N132" s="8" t="s">
        <v>46</v>
      </c>
      <c r="O132" s="8" t="s">
        <v>87</v>
      </c>
      <c r="P132" s="8"/>
      <c r="Q132" s="8" t="s">
        <v>87</v>
      </c>
      <c r="R132" s="8" t="s">
        <v>86</v>
      </c>
    </row>
    <row r="133" customFormat="false" ht="32.8" hidden="false" customHeight="false" outlineLevel="0" collapsed="false">
      <c r="A133" s="8" t="s">
        <v>653</v>
      </c>
      <c r="B133" s="8" t="s">
        <v>654</v>
      </c>
      <c r="C133" s="8" t="s">
        <v>655</v>
      </c>
      <c r="D133" s="8" t="s">
        <v>266</v>
      </c>
      <c r="E133" s="9" t="n">
        <v>33204.57</v>
      </c>
      <c r="F133" s="9" t="n">
        <v>33205</v>
      </c>
      <c r="G133" s="9" t="n">
        <f aca="false">IF(AND(ISNUMBER(E133),ISNUMBER(F133)),E133-F133,"No disponible")</f>
        <v>-0.430000000000291</v>
      </c>
      <c r="H133" s="8" t="s">
        <v>656</v>
      </c>
      <c r="I133" s="8" t="s">
        <v>56</v>
      </c>
      <c r="J133" s="8" t="s">
        <v>43</v>
      </c>
      <c r="K133" s="8" t="s">
        <v>81</v>
      </c>
      <c r="L133" s="8" t="s">
        <v>45</v>
      </c>
      <c r="M133" s="8" t="s">
        <v>82</v>
      </c>
      <c r="N133" s="8" t="s">
        <v>46</v>
      </c>
      <c r="O133" s="8" t="s">
        <v>657</v>
      </c>
      <c r="P133" s="8" t="s">
        <v>658</v>
      </c>
      <c r="Q133" s="8" t="s">
        <v>59</v>
      </c>
      <c r="R133" s="8" t="s">
        <v>50</v>
      </c>
    </row>
    <row r="134" customFormat="false" ht="32.8" hidden="false" customHeight="false" outlineLevel="0" collapsed="false">
      <c r="A134" s="8" t="s">
        <v>653</v>
      </c>
      <c r="B134" s="8" t="s">
        <v>654</v>
      </c>
      <c r="C134" s="8" t="s">
        <v>659</v>
      </c>
      <c r="D134" s="8" t="s">
        <v>660</v>
      </c>
      <c r="E134" s="9" t="n">
        <v>1024007.94</v>
      </c>
      <c r="F134" s="9" t="n">
        <v>1024008</v>
      </c>
      <c r="G134" s="9" t="n">
        <f aca="false">IF(AND(ISNUMBER(E134),ISNUMBER(F134)),E134-F134,"No disponible")</f>
        <v>-0.0600000000558794</v>
      </c>
      <c r="H134" s="8" t="s">
        <v>661</v>
      </c>
      <c r="I134" s="8" t="s">
        <v>56</v>
      </c>
      <c r="J134" s="8" t="s">
        <v>43</v>
      </c>
      <c r="K134" s="8" t="s">
        <v>114</v>
      </c>
      <c r="L134" s="8" t="s">
        <v>662</v>
      </c>
      <c r="M134" s="8" t="s">
        <v>82</v>
      </c>
      <c r="N134" s="8" t="s">
        <v>46</v>
      </c>
      <c r="O134" s="8" t="s">
        <v>663</v>
      </c>
      <c r="P134" s="8" t="s">
        <v>664</v>
      </c>
      <c r="Q134" s="8" t="s">
        <v>59</v>
      </c>
      <c r="R134" s="8" t="s">
        <v>111</v>
      </c>
    </row>
    <row r="135" customFormat="false" ht="53.7" hidden="false" customHeight="false" outlineLevel="0" collapsed="false">
      <c r="A135" s="8" t="s">
        <v>665</v>
      </c>
      <c r="B135" s="8" t="s">
        <v>666</v>
      </c>
      <c r="C135" s="8" t="s">
        <v>667</v>
      </c>
      <c r="D135" s="8" t="s">
        <v>668</v>
      </c>
      <c r="E135" s="9" t="n">
        <v>34145878.49</v>
      </c>
      <c r="F135" s="9" t="n">
        <v>34145878</v>
      </c>
      <c r="G135" s="9" t="n">
        <f aca="false">IF(AND(ISNUMBER(E135),ISNUMBER(F135)),E135-F135,"No disponible")</f>
        <v>0.490000002086163</v>
      </c>
      <c r="H135" s="8" t="s">
        <v>669</v>
      </c>
      <c r="I135" s="8" t="s">
        <v>56</v>
      </c>
      <c r="J135" s="8" t="s">
        <v>43</v>
      </c>
      <c r="K135" s="8" t="s">
        <v>81</v>
      </c>
      <c r="L135" s="8" t="s">
        <v>45</v>
      </c>
      <c r="M135" s="8" t="s">
        <v>82</v>
      </c>
      <c r="N135" s="8" t="s">
        <v>46</v>
      </c>
      <c r="O135" s="8" t="s">
        <v>670</v>
      </c>
      <c r="P135" s="8" t="s">
        <v>671</v>
      </c>
      <c r="Q135" s="8" t="s">
        <v>59</v>
      </c>
      <c r="R135" s="8" t="s">
        <v>50</v>
      </c>
    </row>
    <row r="136" customFormat="false" ht="43.25" hidden="false" customHeight="false" outlineLevel="0" collapsed="false">
      <c r="A136" s="8" t="s">
        <v>672</v>
      </c>
      <c r="B136" s="8" t="s">
        <v>673</v>
      </c>
      <c r="C136" s="8" t="s">
        <v>674</v>
      </c>
      <c r="D136" s="8" t="s">
        <v>127</v>
      </c>
      <c r="E136" s="9" t="n">
        <v>1000000</v>
      </c>
      <c r="F136" s="9" t="n">
        <v>1000000</v>
      </c>
      <c r="G136" s="9" t="n">
        <f aca="false">IF(AND(ISNUMBER(E136),ISNUMBER(F136)),E136-F136,"No disponible")</f>
        <v>0</v>
      </c>
      <c r="H136" s="8" t="s">
        <v>64</v>
      </c>
      <c r="I136" s="8" t="s">
        <v>56</v>
      </c>
      <c r="J136" s="8" t="s">
        <v>43</v>
      </c>
      <c r="K136" s="8" t="s">
        <v>44</v>
      </c>
      <c r="L136" s="8" t="s">
        <v>45</v>
      </c>
      <c r="M136" s="8" t="s">
        <v>6</v>
      </c>
      <c r="N136" s="8" t="s">
        <v>46</v>
      </c>
      <c r="O136" s="8" t="s">
        <v>675</v>
      </c>
      <c r="P136" s="8" t="s">
        <v>676</v>
      </c>
      <c r="Q136" s="8" t="s">
        <v>59</v>
      </c>
      <c r="R136" s="8" t="s">
        <v>50</v>
      </c>
    </row>
    <row r="137" customFormat="false" ht="43.25" hidden="false" customHeight="false" outlineLevel="0" collapsed="false">
      <c r="A137" s="8" t="s">
        <v>672</v>
      </c>
      <c r="B137" s="8" t="s">
        <v>673</v>
      </c>
      <c r="C137" s="8" t="s">
        <v>677</v>
      </c>
      <c r="D137" s="8" t="s">
        <v>127</v>
      </c>
      <c r="E137" s="9" t="n">
        <v>4000000</v>
      </c>
      <c r="F137" s="9" t="n">
        <v>4000000</v>
      </c>
      <c r="G137" s="9" t="n">
        <f aca="false">IF(AND(ISNUMBER(E137),ISNUMBER(F137)),E137-F137,"No disponible")</f>
        <v>0</v>
      </c>
      <c r="H137" s="8" t="s">
        <v>64</v>
      </c>
      <c r="I137" s="8" t="s">
        <v>56</v>
      </c>
      <c r="J137" s="8" t="s">
        <v>43</v>
      </c>
      <c r="K137" s="8" t="s">
        <v>44</v>
      </c>
      <c r="L137" s="8" t="s">
        <v>45</v>
      </c>
      <c r="M137" s="8" t="s">
        <v>6</v>
      </c>
      <c r="N137" s="8" t="s">
        <v>46</v>
      </c>
      <c r="O137" s="8" t="s">
        <v>678</v>
      </c>
      <c r="P137" s="8" t="s">
        <v>679</v>
      </c>
      <c r="Q137" s="8" t="s">
        <v>59</v>
      </c>
      <c r="R137" s="8" t="s">
        <v>50</v>
      </c>
    </row>
    <row r="138" customFormat="false" ht="53.7" hidden="false" customHeight="false" outlineLevel="0" collapsed="false">
      <c r="A138" s="8" t="s">
        <v>672</v>
      </c>
      <c r="B138" s="8" t="s">
        <v>673</v>
      </c>
      <c r="C138" s="8" t="s">
        <v>680</v>
      </c>
      <c r="D138" s="8" t="s">
        <v>681</v>
      </c>
      <c r="E138" s="9" t="n">
        <v>35700000</v>
      </c>
      <c r="F138" s="9" t="n">
        <v>35700000</v>
      </c>
      <c r="G138" s="9" t="n">
        <f aca="false">IF(AND(ISNUMBER(E138),ISNUMBER(F138)),E138-F138,"No disponible")</f>
        <v>0</v>
      </c>
      <c r="H138" s="8" t="s">
        <v>682</v>
      </c>
      <c r="I138" s="8" t="s">
        <v>56</v>
      </c>
      <c r="J138" s="8" t="s">
        <v>43</v>
      </c>
      <c r="K138" s="8" t="s">
        <v>44</v>
      </c>
      <c r="L138" s="8" t="s">
        <v>45</v>
      </c>
      <c r="M138" s="8" t="s">
        <v>6</v>
      </c>
      <c r="N138" s="8" t="s">
        <v>46</v>
      </c>
      <c r="O138" s="8" t="s">
        <v>683</v>
      </c>
      <c r="P138" s="8" t="s">
        <v>684</v>
      </c>
      <c r="Q138" s="8" t="s">
        <v>59</v>
      </c>
      <c r="R138" s="8" t="s">
        <v>50</v>
      </c>
    </row>
    <row r="139" customFormat="false" ht="43.25" hidden="false" customHeight="false" outlineLevel="0" collapsed="false">
      <c r="A139" s="8" t="s">
        <v>672</v>
      </c>
      <c r="B139" s="8" t="s">
        <v>673</v>
      </c>
      <c r="C139" s="8" t="s">
        <v>685</v>
      </c>
      <c r="D139" s="8" t="s">
        <v>127</v>
      </c>
      <c r="E139" s="9" t="n">
        <v>1000000</v>
      </c>
      <c r="F139" s="9" t="n">
        <v>1000000</v>
      </c>
      <c r="G139" s="9" t="n">
        <f aca="false">IF(AND(ISNUMBER(E139),ISNUMBER(F139)),E139-F139,"No disponible")</f>
        <v>0</v>
      </c>
      <c r="H139" s="8" t="s">
        <v>64</v>
      </c>
      <c r="I139" s="8" t="s">
        <v>65</v>
      </c>
      <c r="J139" s="8" t="s">
        <v>43</v>
      </c>
      <c r="K139" s="8" t="s">
        <v>44</v>
      </c>
      <c r="L139" s="8" t="s">
        <v>45</v>
      </c>
      <c r="M139" s="8" t="s">
        <v>6</v>
      </c>
      <c r="N139" s="8" t="s">
        <v>46</v>
      </c>
      <c r="O139" s="8" t="s">
        <v>686</v>
      </c>
      <c r="P139" s="8" t="s">
        <v>687</v>
      </c>
      <c r="Q139" s="8" t="s">
        <v>69</v>
      </c>
      <c r="R139" s="8" t="s">
        <v>50</v>
      </c>
    </row>
    <row r="140" customFormat="false" ht="43.25" hidden="false" customHeight="false" outlineLevel="0" collapsed="false">
      <c r="A140" s="8" t="s">
        <v>688</v>
      </c>
      <c r="B140" s="8" t="s">
        <v>689</v>
      </c>
      <c r="C140" s="8" t="s">
        <v>690</v>
      </c>
      <c r="D140" s="8" t="s">
        <v>127</v>
      </c>
      <c r="E140" s="9" t="n">
        <v>4125334</v>
      </c>
      <c r="F140" s="9" t="n">
        <v>4125334</v>
      </c>
      <c r="G140" s="9" t="n">
        <f aca="false">IF(AND(ISNUMBER(E140),ISNUMBER(F140)),E140-F140,"No disponible")</f>
        <v>0</v>
      </c>
      <c r="H140" s="8" t="s">
        <v>64</v>
      </c>
      <c r="I140" s="8" t="s">
        <v>42</v>
      </c>
      <c r="J140" s="8" t="s">
        <v>43</v>
      </c>
      <c r="K140" s="8" t="s">
        <v>44</v>
      </c>
      <c r="L140" s="8" t="s">
        <v>45</v>
      </c>
      <c r="M140" s="8" t="s">
        <v>6</v>
      </c>
      <c r="N140" s="8" t="s">
        <v>46</v>
      </c>
      <c r="O140" s="8" t="s">
        <v>691</v>
      </c>
      <c r="P140" s="8" t="s">
        <v>692</v>
      </c>
      <c r="Q140" s="8" t="s">
        <v>59</v>
      </c>
      <c r="R140" s="8" t="s">
        <v>50</v>
      </c>
    </row>
    <row r="141" customFormat="false" ht="43.25" hidden="false" customHeight="false" outlineLevel="0" collapsed="false">
      <c r="A141" s="8" t="s">
        <v>693</v>
      </c>
      <c r="B141" s="8" t="s">
        <v>694</v>
      </c>
      <c r="C141" s="8" t="s">
        <v>695</v>
      </c>
      <c r="D141" s="8" t="s">
        <v>266</v>
      </c>
      <c r="E141" s="9" t="n">
        <v>190400</v>
      </c>
      <c r="F141" s="9" t="n">
        <v>190400</v>
      </c>
      <c r="G141" s="9" t="n">
        <f aca="false">IF(AND(ISNUMBER(E141),ISNUMBER(F141)),E141-F141,"No disponible")</f>
        <v>0</v>
      </c>
      <c r="H141" s="8" t="s">
        <v>696</v>
      </c>
      <c r="I141" s="8" t="s">
        <v>56</v>
      </c>
      <c r="J141" s="8" t="s">
        <v>43</v>
      </c>
      <c r="K141" s="8" t="s">
        <v>44</v>
      </c>
      <c r="L141" s="8" t="s">
        <v>45</v>
      </c>
      <c r="M141" s="8" t="s">
        <v>6</v>
      </c>
      <c r="N141" s="8" t="s">
        <v>46</v>
      </c>
      <c r="O141" s="8" t="s">
        <v>697</v>
      </c>
      <c r="P141" s="8" t="s">
        <v>698</v>
      </c>
      <c r="Q141" s="8" t="s">
        <v>59</v>
      </c>
      <c r="R141" s="8" t="s">
        <v>50</v>
      </c>
    </row>
    <row r="142" customFormat="false" ht="22.35" hidden="false" customHeight="false" outlineLevel="0" collapsed="false">
      <c r="A142" s="8" t="s">
        <v>699</v>
      </c>
      <c r="B142" s="8" t="s">
        <v>700</v>
      </c>
      <c r="C142" s="8" t="s">
        <v>701</v>
      </c>
      <c r="D142" s="8" t="s">
        <v>86</v>
      </c>
      <c r="E142" s="9" t="n">
        <v>210000</v>
      </c>
      <c r="F142" s="9" t="s">
        <v>87</v>
      </c>
      <c r="G142" s="9" t="str">
        <f aca="false">IF(AND(ISNUMBER(E142),ISNUMBER(F142)),E142-F142,"No disponible")</f>
        <v>No disponible</v>
      </c>
      <c r="H142" s="8" t="s">
        <v>86</v>
      </c>
      <c r="I142" s="8" t="s">
        <v>56</v>
      </c>
      <c r="J142" s="8" t="s">
        <v>87</v>
      </c>
      <c r="K142" s="8" t="s">
        <v>88</v>
      </c>
      <c r="L142" s="8" t="s">
        <v>89</v>
      </c>
      <c r="M142" s="8" t="s">
        <v>82</v>
      </c>
      <c r="N142" s="8" t="s">
        <v>46</v>
      </c>
      <c r="O142" s="8" t="s">
        <v>87</v>
      </c>
      <c r="P142" s="8"/>
      <c r="Q142" s="8" t="s">
        <v>87</v>
      </c>
      <c r="R142" s="8" t="s">
        <v>86</v>
      </c>
    </row>
    <row r="143" customFormat="false" ht="22.35" hidden="false" customHeight="false" outlineLevel="0" collapsed="false">
      <c r="A143" s="8" t="s">
        <v>699</v>
      </c>
      <c r="B143" s="8" t="s">
        <v>700</v>
      </c>
      <c r="C143" s="8" t="s">
        <v>702</v>
      </c>
      <c r="D143" s="8" t="s">
        <v>86</v>
      </c>
      <c r="E143" s="9" t="n">
        <v>160000</v>
      </c>
      <c r="F143" s="9" t="s">
        <v>87</v>
      </c>
      <c r="G143" s="9" t="str">
        <f aca="false">IF(AND(ISNUMBER(E143),ISNUMBER(F143)),E143-F143,"No disponible")</f>
        <v>No disponible</v>
      </c>
      <c r="H143" s="8" t="s">
        <v>86</v>
      </c>
      <c r="I143" s="8" t="s">
        <v>56</v>
      </c>
      <c r="J143" s="8" t="s">
        <v>87</v>
      </c>
      <c r="K143" s="8" t="s">
        <v>88</v>
      </c>
      <c r="L143" s="8" t="s">
        <v>89</v>
      </c>
      <c r="M143" s="8" t="s">
        <v>82</v>
      </c>
      <c r="N143" s="8" t="s">
        <v>46</v>
      </c>
      <c r="O143" s="8" t="s">
        <v>87</v>
      </c>
      <c r="P143" s="8"/>
      <c r="Q143" s="8" t="s">
        <v>87</v>
      </c>
      <c r="R143" s="8" t="s">
        <v>86</v>
      </c>
    </row>
    <row r="144" customFormat="false" ht="22.35" hidden="false" customHeight="false" outlineLevel="0" collapsed="false">
      <c r="A144" s="8" t="s">
        <v>699</v>
      </c>
      <c r="B144" s="8" t="s">
        <v>700</v>
      </c>
      <c r="C144" s="8" t="s">
        <v>703</v>
      </c>
      <c r="D144" s="8" t="s">
        <v>86</v>
      </c>
      <c r="E144" s="9" t="n">
        <v>1861160</v>
      </c>
      <c r="F144" s="9" t="s">
        <v>87</v>
      </c>
      <c r="G144" s="9" t="str">
        <f aca="false">IF(AND(ISNUMBER(E144),ISNUMBER(F144)),E144-F144,"No disponible")</f>
        <v>No disponible</v>
      </c>
      <c r="H144" s="8" t="s">
        <v>86</v>
      </c>
      <c r="I144" s="8" t="s">
        <v>56</v>
      </c>
      <c r="J144" s="8" t="s">
        <v>87</v>
      </c>
      <c r="K144" s="8" t="s">
        <v>88</v>
      </c>
      <c r="L144" s="8" t="s">
        <v>89</v>
      </c>
      <c r="M144" s="8" t="s">
        <v>82</v>
      </c>
      <c r="N144" s="8" t="s">
        <v>46</v>
      </c>
      <c r="O144" s="8" t="s">
        <v>87</v>
      </c>
      <c r="P144" s="8"/>
      <c r="Q144" s="8" t="s">
        <v>87</v>
      </c>
      <c r="R144" s="8" t="s">
        <v>86</v>
      </c>
    </row>
    <row r="145" customFormat="false" ht="53.7" hidden="false" customHeight="false" outlineLevel="0" collapsed="false">
      <c r="A145" s="8" t="s">
        <v>699</v>
      </c>
      <c r="B145" s="8" t="s">
        <v>700</v>
      </c>
      <c r="C145" s="8" t="s">
        <v>704</v>
      </c>
      <c r="D145" s="8" t="s">
        <v>705</v>
      </c>
      <c r="E145" s="9" t="n">
        <v>2984000</v>
      </c>
      <c r="F145" s="9" t="n">
        <v>2984000</v>
      </c>
      <c r="G145" s="9" t="n">
        <f aca="false">IF(AND(ISNUMBER(E145),ISNUMBER(F145)),E145-F145,"No disponible")</f>
        <v>0</v>
      </c>
      <c r="H145" s="8" t="s">
        <v>706</v>
      </c>
      <c r="I145" s="8" t="s">
        <v>56</v>
      </c>
      <c r="J145" s="8" t="s">
        <v>43</v>
      </c>
      <c r="K145" s="8" t="s">
        <v>44</v>
      </c>
      <c r="L145" s="8" t="s">
        <v>45</v>
      </c>
      <c r="M145" s="8" t="s">
        <v>6</v>
      </c>
      <c r="N145" s="8" t="s">
        <v>46</v>
      </c>
      <c r="O145" s="8" t="s">
        <v>707</v>
      </c>
      <c r="P145" s="8" t="s">
        <v>708</v>
      </c>
      <c r="Q145" s="8" t="s">
        <v>59</v>
      </c>
      <c r="R145" s="8" t="s">
        <v>50</v>
      </c>
    </row>
    <row r="146" customFormat="false" ht="22.35" hidden="false" customHeight="false" outlineLevel="0" collapsed="false">
      <c r="A146" s="8" t="s">
        <v>699</v>
      </c>
      <c r="B146" s="8" t="s">
        <v>700</v>
      </c>
      <c r="C146" s="8" t="s">
        <v>709</v>
      </c>
      <c r="D146" s="8" t="s">
        <v>86</v>
      </c>
      <c r="E146" s="9" t="n">
        <v>124000</v>
      </c>
      <c r="F146" s="9" t="s">
        <v>87</v>
      </c>
      <c r="G146" s="9" t="str">
        <f aca="false">IF(AND(ISNUMBER(E146),ISNUMBER(F146)),E146-F146,"No disponible")</f>
        <v>No disponible</v>
      </c>
      <c r="H146" s="8" t="s">
        <v>86</v>
      </c>
      <c r="I146" s="8" t="s">
        <v>56</v>
      </c>
      <c r="J146" s="8" t="s">
        <v>87</v>
      </c>
      <c r="K146" s="8" t="s">
        <v>88</v>
      </c>
      <c r="L146" s="8" t="s">
        <v>89</v>
      </c>
      <c r="M146" s="8" t="s">
        <v>82</v>
      </c>
      <c r="N146" s="8" t="s">
        <v>46</v>
      </c>
      <c r="O146" s="8" t="s">
        <v>87</v>
      </c>
      <c r="P146" s="8"/>
      <c r="Q146" s="8" t="s">
        <v>87</v>
      </c>
      <c r="R146" s="8" t="s">
        <v>86</v>
      </c>
    </row>
    <row r="147" customFormat="false" ht="22.35" hidden="false" customHeight="false" outlineLevel="0" collapsed="false">
      <c r="A147" s="8" t="s">
        <v>710</v>
      </c>
      <c r="B147" s="8" t="s">
        <v>711</v>
      </c>
      <c r="C147" s="8" t="s">
        <v>712</v>
      </c>
      <c r="D147" s="8" t="s">
        <v>86</v>
      </c>
      <c r="E147" s="9" t="n">
        <v>13000</v>
      </c>
      <c r="F147" s="9" t="s">
        <v>87</v>
      </c>
      <c r="G147" s="9" t="str">
        <f aca="false">IF(AND(ISNUMBER(E147),ISNUMBER(F147)),E147-F147,"No disponible")</f>
        <v>No disponible</v>
      </c>
      <c r="H147" s="8" t="s">
        <v>86</v>
      </c>
      <c r="I147" s="8" t="s">
        <v>56</v>
      </c>
      <c r="J147" s="8" t="s">
        <v>87</v>
      </c>
      <c r="K147" s="8" t="s">
        <v>140</v>
      </c>
      <c r="L147" s="8" t="s">
        <v>141</v>
      </c>
      <c r="M147" s="8" t="s">
        <v>82</v>
      </c>
      <c r="N147" s="8" t="s">
        <v>46</v>
      </c>
      <c r="O147" s="8" t="s">
        <v>87</v>
      </c>
      <c r="P147" s="8"/>
      <c r="Q147" s="8" t="s">
        <v>87</v>
      </c>
      <c r="R147" s="8" t="s">
        <v>86</v>
      </c>
    </row>
    <row r="148" customFormat="false" ht="32.8" hidden="false" customHeight="false" outlineLevel="0" collapsed="false">
      <c r="A148" s="8" t="s">
        <v>713</v>
      </c>
      <c r="B148" s="8" t="s">
        <v>714</v>
      </c>
      <c r="C148" s="8" t="s">
        <v>715</v>
      </c>
      <c r="D148" s="8" t="s">
        <v>127</v>
      </c>
      <c r="E148" s="9" t="n">
        <v>5500</v>
      </c>
      <c r="F148" s="9" t="n">
        <v>5500</v>
      </c>
      <c r="G148" s="9" t="n">
        <f aca="false">IF(AND(ISNUMBER(E148),ISNUMBER(F148)),E148-F148,"No disponible")</f>
        <v>0</v>
      </c>
      <c r="H148" s="8" t="s">
        <v>64</v>
      </c>
      <c r="I148" s="8" t="s">
        <v>56</v>
      </c>
      <c r="J148" s="8" t="s">
        <v>43</v>
      </c>
      <c r="K148" s="8" t="s">
        <v>190</v>
      </c>
      <c r="L148" s="8" t="s">
        <v>45</v>
      </c>
      <c r="M148" s="8" t="s">
        <v>6</v>
      </c>
      <c r="N148" s="8" t="s">
        <v>46</v>
      </c>
      <c r="O148" s="8" t="s">
        <v>716</v>
      </c>
      <c r="P148" s="8" t="s">
        <v>717</v>
      </c>
      <c r="Q148" s="8" t="s">
        <v>193</v>
      </c>
      <c r="R148" s="8" t="s">
        <v>50</v>
      </c>
    </row>
    <row r="149" customFormat="false" ht="53.7" hidden="false" customHeight="false" outlineLevel="0" collapsed="false">
      <c r="A149" s="8" t="s">
        <v>718</v>
      </c>
      <c r="B149" s="8" t="s">
        <v>719</v>
      </c>
      <c r="C149" s="8" t="s">
        <v>720</v>
      </c>
      <c r="D149" s="8" t="s">
        <v>428</v>
      </c>
      <c r="E149" s="9" t="n">
        <v>1785000</v>
      </c>
      <c r="F149" s="9" t="n">
        <v>1785000</v>
      </c>
      <c r="G149" s="9" t="n">
        <f aca="false">IF(AND(ISNUMBER(E149),ISNUMBER(F149)),E149-F149,"No disponible")</f>
        <v>0</v>
      </c>
      <c r="H149" s="8" t="s">
        <v>721</v>
      </c>
      <c r="I149" s="8" t="s">
        <v>56</v>
      </c>
      <c r="J149" s="8" t="s">
        <v>43</v>
      </c>
      <c r="K149" s="8" t="s">
        <v>44</v>
      </c>
      <c r="L149" s="8" t="s">
        <v>45</v>
      </c>
      <c r="M149" s="8" t="s">
        <v>6</v>
      </c>
      <c r="N149" s="8" t="s">
        <v>46</v>
      </c>
      <c r="O149" s="8" t="s">
        <v>722</v>
      </c>
      <c r="P149" s="8" t="s">
        <v>723</v>
      </c>
      <c r="Q149" s="8" t="s">
        <v>59</v>
      </c>
      <c r="R149" s="8" t="s">
        <v>50</v>
      </c>
    </row>
    <row r="150" customFormat="false" ht="32.8" hidden="false" customHeight="false" outlineLevel="0" collapsed="false">
      <c r="A150" s="8" t="s">
        <v>724</v>
      </c>
      <c r="B150" s="8" t="s">
        <v>725</v>
      </c>
      <c r="C150" s="8" t="s">
        <v>726</v>
      </c>
      <c r="D150" s="8" t="s">
        <v>266</v>
      </c>
      <c r="E150" s="9" t="n">
        <v>62700</v>
      </c>
      <c r="F150" s="9" t="n">
        <v>62700</v>
      </c>
      <c r="G150" s="9" t="n">
        <f aca="false">IF(AND(ISNUMBER(E150),ISNUMBER(F150)),E150-F150,"No disponible")</f>
        <v>0</v>
      </c>
      <c r="H150" s="8" t="s">
        <v>727</v>
      </c>
      <c r="I150" s="8" t="s">
        <v>56</v>
      </c>
      <c r="J150" s="8" t="s">
        <v>43</v>
      </c>
      <c r="K150" s="8" t="s">
        <v>190</v>
      </c>
      <c r="L150" s="8" t="s">
        <v>45</v>
      </c>
      <c r="M150" s="8" t="s">
        <v>6</v>
      </c>
      <c r="N150" s="8" t="s">
        <v>46</v>
      </c>
      <c r="O150" s="8" t="s">
        <v>728</v>
      </c>
      <c r="P150" s="8" t="s">
        <v>729</v>
      </c>
      <c r="Q150" s="8" t="s">
        <v>193</v>
      </c>
      <c r="R150" s="8" t="s">
        <v>50</v>
      </c>
    </row>
    <row r="151" customFormat="false" ht="43.25" hidden="false" customHeight="false" outlineLevel="0" collapsed="false">
      <c r="A151" s="8" t="s">
        <v>730</v>
      </c>
      <c r="B151" s="8" t="s">
        <v>731</v>
      </c>
      <c r="C151" s="8" t="s">
        <v>732</v>
      </c>
      <c r="D151" s="8" t="s">
        <v>266</v>
      </c>
      <c r="E151" s="9" t="n">
        <v>21600</v>
      </c>
      <c r="F151" s="9" t="n">
        <v>21600</v>
      </c>
      <c r="G151" s="9" t="n">
        <f aca="false">IF(AND(ISNUMBER(E151),ISNUMBER(F151)),E151-F151,"No disponible")</f>
        <v>0</v>
      </c>
      <c r="H151" s="8" t="s">
        <v>733</v>
      </c>
      <c r="I151" s="8" t="s">
        <v>56</v>
      </c>
      <c r="J151" s="8" t="s">
        <v>43</v>
      </c>
      <c r="K151" s="8" t="s">
        <v>44</v>
      </c>
      <c r="L151" s="8" t="s">
        <v>45</v>
      </c>
      <c r="M151" s="8" t="s">
        <v>6</v>
      </c>
      <c r="N151" s="8" t="s">
        <v>46</v>
      </c>
      <c r="O151" s="8" t="s">
        <v>734</v>
      </c>
      <c r="P151" s="8" t="s">
        <v>735</v>
      </c>
      <c r="Q151" s="8" t="s">
        <v>59</v>
      </c>
      <c r="R151" s="8" t="s">
        <v>50</v>
      </c>
    </row>
    <row r="152" customFormat="false" ht="32.8" hidden="false" customHeight="false" outlineLevel="0" collapsed="false">
      <c r="A152" s="8" t="s">
        <v>730</v>
      </c>
      <c r="B152" s="8" t="s">
        <v>731</v>
      </c>
      <c r="C152" s="8" t="s">
        <v>736</v>
      </c>
      <c r="D152" s="8" t="s">
        <v>266</v>
      </c>
      <c r="E152" s="9" t="n">
        <v>245800</v>
      </c>
      <c r="F152" s="9" t="n">
        <v>245800</v>
      </c>
      <c r="G152" s="9" t="n">
        <f aca="false">IF(AND(ISNUMBER(E152),ISNUMBER(F152)),E152-F152,"No disponible")</f>
        <v>0</v>
      </c>
      <c r="H152" s="8" t="s">
        <v>737</v>
      </c>
      <c r="I152" s="8" t="s">
        <v>56</v>
      </c>
      <c r="J152" s="8" t="s">
        <v>43</v>
      </c>
      <c r="K152" s="8" t="s">
        <v>190</v>
      </c>
      <c r="L152" s="8" t="s">
        <v>45</v>
      </c>
      <c r="M152" s="8" t="s">
        <v>6</v>
      </c>
      <c r="N152" s="8" t="s">
        <v>46</v>
      </c>
      <c r="O152" s="8" t="s">
        <v>738</v>
      </c>
      <c r="P152" s="8" t="s">
        <v>739</v>
      </c>
      <c r="Q152" s="8" t="s">
        <v>193</v>
      </c>
      <c r="R152" s="8" t="s">
        <v>50</v>
      </c>
    </row>
    <row r="153" customFormat="false" ht="32.8" hidden="false" customHeight="false" outlineLevel="0" collapsed="false">
      <c r="A153" s="8" t="s">
        <v>730</v>
      </c>
      <c r="B153" s="8" t="s">
        <v>731</v>
      </c>
      <c r="C153" s="8" t="s">
        <v>740</v>
      </c>
      <c r="D153" s="8" t="s">
        <v>266</v>
      </c>
      <c r="E153" s="9" t="n">
        <v>52000</v>
      </c>
      <c r="F153" s="9" t="n">
        <v>51999</v>
      </c>
      <c r="G153" s="9" t="n">
        <f aca="false">IF(AND(ISNUMBER(E153),ISNUMBER(F153)),E153-F153,"No disponible")</f>
        <v>1</v>
      </c>
      <c r="H153" s="8" t="s">
        <v>741</v>
      </c>
      <c r="I153" s="8" t="s">
        <v>56</v>
      </c>
      <c r="J153" s="8" t="s">
        <v>43</v>
      </c>
      <c r="K153" s="8" t="s">
        <v>81</v>
      </c>
      <c r="L153" s="8" t="s">
        <v>45</v>
      </c>
      <c r="M153" s="8" t="s">
        <v>82</v>
      </c>
      <c r="N153" s="8" t="s">
        <v>46</v>
      </c>
      <c r="O153" s="8" t="s">
        <v>742</v>
      </c>
      <c r="P153" s="8" t="s">
        <v>743</v>
      </c>
      <c r="Q153" s="8" t="s">
        <v>59</v>
      </c>
      <c r="R153" s="8" t="s">
        <v>50</v>
      </c>
    </row>
    <row r="154" customFormat="false" ht="32.8" hidden="false" customHeight="false" outlineLevel="0" collapsed="false">
      <c r="A154" s="8" t="s">
        <v>744</v>
      </c>
      <c r="B154" s="8" t="s">
        <v>745</v>
      </c>
      <c r="C154" s="8" t="s">
        <v>746</v>
      </c>
      <c r="D154" s="8" t="s">
        <v>747</v>
      </c>
      <c r="E154" s="9" t="n">
        <v>2000000</v>
      </c>
      <c r="F154" s="9" t="n">
        <v>2000000</v>
      </c>
      <c r="G154" s="9" t="n">
        <f aca="false">IF(AND(ISNUMBER(E154),ISNUMBER(F154)),E154-F154,"No disponible")</f>
        <v>0</v>
      </c>
      <c r="H154" s="8" t="s">
        <v>748</v>
      </c>
      <c r="I154" s="8" t="s">
        <v>56</v>
      </c>
      <c r="J154" s="8" t="s">
        <v>43</v>
      </c>
      <c r="K154" s="8" t="s">
        <v>107</v>
      </c>
      <c r="L154" s="8" t="s">
        <v>45</v>
      </c>
      <c r="M154" s="8" t="s">
        <v>108</v>
      </c>
      <c r="N154" s="8" t="s">
        <v>46</v>
      </c>
      <c r="O154" s="8" t="s">
        <v>749</v>
      </c>
      <c r="P154" s="8" t="s">
        <v>750</v>
      </c>
      <c r="Q154" s="8" t="s">
        <v>59</v>
      </c>
      <c r="R154" s="8" t="s">
        <v>111</v>
      </c>
    </row>
    <row r="155" customFormat="false" ht="43.25" hidden="false" customHeight="false" outlineLevel="0" collapsed="false">
      <c r="A155" s="8" t="s">
        <v>751</v>
      </c>
      <c r="B155" s="8" t="s">
        <v>752</v>
      </c>
      <c r="C155" s="8" t="s">
        <v>753</v>
      </c>
      <c r="D155" s="8" t="s">
        <v>754</v>
      </c>
      <c r="E155" s="9" t="n">
        <v>2143667</v>
      </c>
      <c r="F155" s="9" t="n">
        <v>2143667</v>
      </c>
      <c r="G155" s="9" t="n">
        <f aca="false">IF(AND(ISNUMBER(E155),ISNUMBER(F155)),E155-F155,"No disponible")</f>
        <v>0</v>
      </c>
      <c r="H155" s="8" t="s">
        <v>755</v>
      </c>
      <c r="I155" s="8" t="s">
        <v>42</v>
      </c>
      <c r="J155" s="8" t="s">
        <v>43</v>
      </c>
      <c r="K155" s="8" t="s">
        <v>44</v>
      </c>
      <c r="L155" s="8" t="s">
        <v>45</v>
      </c>
      <c r="M155" s="8" t="s">
        <v>6</v>
      </c>
      <c r="N155" s="8" t="s">
        <v>46</v>
      </c>
      <c r="O155" s="8" t="s">
        <v>756</v>
      </c>
      <c r="P155" s="8" t="s">
        <v>757</v>
      </c>
      <c r="Q155" s="8" t="s">
        <v>59</v>
      </c>
      <c r="R155" s="8" t="s">
        <v>50</v>
      </c>
    </row>
    <row r="156" customFormat="false" ht="64.15" hidden="false" customHeight="false" outlineLevel="0" collapsed="false">
      <c r="A156" s="8" t="s">
        <v>758</v>
      </c>
      <c r="B156" s="8" t="s">
        <v>759</v>
      </c>
      <c r="C156" s="8" t="s">
        <v>760</v>
      </c>
      <c r="D156" s="8" t="s">
        <v>761</v>
      </c>
      <c r="E156" s="9" t="n">
        <v>6400000</v>
      </c>
      <c r="F156" s="9" t="n">
        <v>6400000</v>
      </c>
      <c r="G156" s="9" t="n">
        <f aca="false">IF(AND(ISNUMBER(E156),ISNUMBER(F156)),E156-F156,"No disponible")</f>
        <v>0</v>
      </c>
      <c r="H156" s="8" t="s">
        <v>762</v>
      </c>
      <c r="I156" s="8" t="s">
        <v>56</v>
      </c>
      <c r="J156" s="8" t="s">
        <v>43</v>
      </c>
      <c r="K156" s="8" t="s">
        <v>44</v>
      </c>
      <c r="L156" s="8" t="s">
        <v>45</v>
      </c>
      <c r="M156" s="8" t="s">
        <v>6</v>
      </c>
      <c r="N156" s="8" t="s">
        <v>46</v>
      </c>
      <c r="O156" s="8" t="s">
        <v>763</v>
      </c>
      <c r="P156" s="8" t="s">
        <v>764</v>
      </c>
      <c r="Q156" s="8" t="s">
        <v>59</v>
      </c>
      <c r="R156" s="8" t="s">
        <v>50</v>
      </c>
    </row>
    <row r="157" customFormat="false" ht="64.15" hidden="false" customHeight="false" outlineLevel="0" collapsed="false">
      <c r="A157" s="8" t="s">
        <v>758</v>
      </c>
      <c r="B157" s="8" t="s">
        <v>759</v>
      </c>
      <c r="C157" s="8" t="s">
        <v>765</v>
      </c>
      <c r="D157" s="8" t="s">
        <v>761</v>
      </c>
      <c r="E157" s="9" t="n">
        <v>6400000</v>
      </c>
      <c r="F157" s="9" t="n">
        <v>6400000</v>
      </c>
      <c r="G157" s="9" t="n">
        <f aca="false">IF(AND(ISNUMBER(E157),ISNUMBER(F157)),E157-F157,"No disponible")</f>
        <v>0</v>
      </c>
      <c r="H157" s="8" t="s">
        <v>762</v>
      </c>
      <c r="I157" s="8" t="s">
        <v>56</v>
      </c>
      <c r="J157" s="8" t="s">
        <v>43</v>
      </c>
      <c r="K157" s="8" t="s">
        <v>44</v>
      </c>
      <c r="L157" s="8" t="s">
        <v>45</v>
      </c>
      <c r="M157" s="8" t="s">
        <v>6</v>
      </c>
      <c r="N157" s="8" t="s">
        <v>46</v>
      </c>
      <c r="O157" s="8" t="s">
        <v>766</v>
      </c>
      <c r="P157" s="8" t="s">
        <v>767</v>
      </c>
      <c r="Q157" s="8" t="s">
        <v>59</v>
      </c>
      <c r="R157" s="8" t="s">
        <v>50</v>
      </c>
    </row>
    <row r="158" customFormat="false" ht="64.15" hidden="false" customHeight="false" outlineLevel="0" collapsed="false">
      <c r="A158" s="8" t="s">
        <v>758</v>
      </c>
      <c r="B158" s="8" t="s">
        <v>759</v>
      </c>
      <c r="C158" s="8" t="s">
        <v>768</v>
      </c>
      <c r="D158" s="8" t="s">
        <v>761</v>
      </c>
      <c r="E158" s="9" t="n">
        <v>6400000</v>
      </c>
      <c r="F158" s="9" t="n">
        <v>6400000</v>
      </c>
      <c r="G158" s="9" t="n">
        <f aca="false">IF(AND(ISNUMBER(E158),ISNUMBER(F158)),E158-F158,"No disponible")</f>
        <v>0</v>
      </c>
      <c r="H158" s="8" t="s">
        <v>762</v>
      </c>
      <c r="I158" s="8" t="s">
        <v>65</v>
      </c>
      <c r="J158" s="8" t="s">
        <v>43</v>
      </c>
      <c r="K158" s="8" t="s">
        <v>44</v>
      </c>
      <c r="L158" s="8" t="s">
        <v>45</v>
      </c>
      <c r="M158" s="8" t="s">
        <v>6</v>
      </c>
      <c r="N158" s="8" t="s">
        <v>46</v>
      </c>
      <c r="O158" s="8" t="s">
        <v>769</v>
      </c>
      <c r="P158" s="8" t="s">
        <v>770</v>
      </c>
      <c r="Q158" s="8" t="s">
        <v>69</v>
      </c>
      <c r="R158" s="8" t="s">
        <v>50</v>
      </c>
    </row>
    <row r="159" customFormat="false" ht="43.25" hidden="false" customHeight="false" outlineLevel="0" collapsed="false">
      <c r="A159" s="8" t="s">
        <v>771</v>
      </c>
      <c r="B159" s="8" t="s">
        <v>772</v>
      </c>
      <c r="C159" s="8" t="s">
        <v>773</v>
      </c>
      <c r="D159" s="8" t="s">
        <v>93</v>
      </c>
      <c r="E159" s="9" t="n">
        <v>32300</v>
      </c>
      <c r="F159" s="9" t="n">
        <v>32300</v>
      </c>
      <c r="G159" s="9" t="n">
        <f aca="false">IF(AND(ISNUMBER(E159),ISNUMBER(F159)),E159-F159,"No disponible")</f>
        <v>0</v>
      </c>
      <c r="H159" s="8" t="s">
        <v>733</v>
      </c>
      <c r="I159" s="8" t="s">
        <v>56</v>
      </c>
      <c r="J159" s="8" t="s">
        <v>43</v>
      </c>
      <c r="K159" s="8" t="s">
        <v>44</v>
      </c>
      <c r="L159" s="8" t="s">
        <v>45</v>
      </c>
      <c r="M159" s="8" t="s">
        <v>6</v>
      </c>
      <c r="N159" s="8" t="s">
        <v>46</v>
      </c>
      <c r="O159" s="8" t="s">
        <v>774</v>
      </c>
      <c r="P159" s="8" t="s">
        <v>775</v>
      </c>
      <c r="Q159" s="8" t="s">
        <v>59</v>
      </c>
      <c r="R159" s="8" t="s">
        <v>50</v>
      </c>
    </row>
    <row r="160" customFormat="false" ht="64.15" hidden="false" customHeight="false" outlineLevel="0" collapsed="false">
      <c r="A160" s="8" t="s">
        <v>776</v>
      </c>
      <c r="B160" s="8" t="s">
        <v>777</v>
      </c>
      <c r="C160" s="8" t="s">
        <v>778</v>
      </c>
      <c r="D160" s="8" t="s">
        <v>779</v>
      </c>
      <c r="E160" s="9" t="n">
        <v>1666000</v>
      </c>
      <c r="F160" s="9" t="n">
        <v>1666000</v>
      </c>
      <c r="G160" s="9" t="n">
        <f aca="false">IF(AND(ISNUMBER(E160),ISNUMBER(F160)),E160-F160,"No disponible")</f>
        <v>0</v>
      </c>
      <c r="H160" s="8" t="s">
        <v>780</v>
      </c>
      <c r="I160" s="8" t="s">
        <v>56</v>
      </c>
      <c r="J160" s="8" t="s">
        <v>43</v>
      </c>
      <c r="K160" s="8" t="s">
        <v>44</v>
      </c>
      <c r="L160" s="8" t="s">
        <v>45</v>
      </c>
      <c r="M160" s="8" t="s">
        <v>6</v>
      </c>
      <c r="N160" s="8" t="s">
        <v>46</v>
      </c>
      <c r="O160" s="8" t="s">
        <v>781</v>
      </c>
      <c r="P160" s="8" t="s">
        <v>782</v>
      </c>
      <c r="Q160" s="8" t="s">
        <v>59</v>
      </c>
      <c r="R160" s="8" t="s">
        <v>50</v>
      </c>
    </row>
    <row r="161" customFormat="false" ht="43.25" hidden="false" customHeight="false" outlineLevel="0" collapsed="false">
      <c r="A161" s="8" t="s">
        <v>783</v>
      </c>
      <c r="B161" s="8" t="s">
        <v>784</v>
      </c>
      <c r="C161" s="8" t="s">
        <v>785</v>
      </c>
      <c r="D161" s="8" t="s">
        <v>159</v>
      </c>
      <c r="E161" s="9" t="n">
        <v>850000</v>
      </c>
      <c r="F161" s="9" t="n">
        <v>850000</v>
      </c>
      <c r="G161" s="9" t="n">
        <f aca="false">IF(AND(ISNUMBER(E161),ISNUMBER(F161)),E161-F161,"No disponible")</f>
        <v>0</v>
      </c>
      <c r="H161" s="8" t="s">
        <v>786</v>
      </c>
      <c r="I161" s="8" t="s">
        <v>42</v>
      </c>
      <c r="J161" s="8" t="s">
        <v>43</v>
      </c>
      <c r="K161" s="8" t="s">
        <v>44</v>
      </c>
      <c r="L161" s="8" t="s">
        <v>45</v>
      </c>
      <c r="M161" s="8" t="s">
        <v>6</v>
      </c>
      <c r="N161" s="8" t="s">
        <v>46</v>
      </c>
      <c r="O161" s="8" t="s">
        <v>787</v>
      </c>
      <c r="P161" s="8" t="s">
        <v>788</v>
      </c>
      <c r="Q161" s="8" t="s">
        <v>49</v>
      </c>
      <c r="R161" s="8" t="s">
        <v>50</v>
      </c>
    </row>
    <row r="162" customFormat="false" ht="53.7" hidden="false" customHeight="false" outlineLevel="0" collapsed="false">
      <c r="A162" s="8" t="s">
        <v>789</v>
      </c>
      <c r="B162" s="8" t="s">
        <v>790</v>
      </c>
      <c r="C162" s="8" t="s">
        <v>791</v>
      </c>
      <c r="D162" s="8" t="s">
        <v>792</v>
      </c>
      <c r="E162" s="9" t="n">
        <v>4042161.06</v>
      </c>
      <c r="F162" s="9" t="n">
        <v>4042161</v>
      </c>
      <c r="G162" s="9" t="n">
        <f aca="false">IF(AND(ISNUMBER(E162),ISNUMBER(F162)),E162-F162,"No disponible")</f>
        <v>0.0600000000558794</v>
      </c>
      <c r="H162" s="8" t="s">
        <v>793</v>
      </c>
      <c r="I162" s="8" t="s">
        <v>56</v>
      </c>
      <c r="J162" s="8" t="s">
        <v>43</v>
      </c>
      <c r="K162" s="8" t="s">
        <v>114</v>
      </c>
      <c r="L162" s="8" t="s">
        <v>45</v>
      </c>
      <c r="M162" s="8" t="s">
        <v>82</v>
      </c>
      <c r="N162" s="8" t="s">
        <v>46</v>
      </c>
      <c r="O162" s="8" t="s">
        <v>794</v>
      </c>
      <c r="P162" s="8" t="s">
        <v>795</v>
      </c>
      <c r="Q162" s="8" t="s">
        <v>59</v>
      </c>
      <c r="R162" s="8" t="s">
        <v>111</v>
      </c>
    </row>
    <row r="163" customFormat="false" ht="22.35" hidden="false" customHeight="false" outlineLevel="0" collapsed="false">
      <c r="A163" s="8" t="s">
        <v>796</v>
      </c>
      <c r="B163" s="8" t="s">
        <v>797</v>
      </c>
      <c r="C163" s="8" t="s">
        <v>798</v>
      </c>
      <c r="D163" s="8" t="s">
        <v>86</v>
      </c>
      <c r="E163" s="9" t="n">
        <v>138833</v>
      </c>
      <c r="F163" s="9" t="s">
        <v>87</v>
      </c>
      <c r="G163" s="9" t="str">
        <f aca="false">IF(AND(ISNUMBER(E163),ISNUMBER(F163)),E163-F163,"No disponible")</f>
        <v>No disponible</v>
      </c>
      <c r="H163" s="8" t="s">
        <v>86</v>
      </c>
      <c r="I163" s="8" t="s">
        <v>56</v>
      </c>
      <c r="J163" s="8" t="s">
        <v>87</v>
      </c>
      <c r="K163" s="8" t="s">
        <v>88</v>
      </c>
      <c r="L163" s="8" t="s">
        <v>89</v>
      </c>
      <c r="M163" s="8" t="s">
        <v>82</v>
      </c>
      <c r="N163" s="8" t="s">
        <v>46</v>
      </c>
      <c r="O163" s="8" t="s">
        <v>87</v>
      </c>
      <c r="P163" s="8"/>
      <c r="Q163" s="8" t="s">
        <v>87</v>
      </c>
      <c r="R163" s="8" t="s">
        <v>86</v>
      </c>
    </row>
    <row r="164" customFormat="false" ht="22.35" hidden="false" customHeight="false" outlineLevel="0" collapsed="false">
      <c r="A164" s="8" t="s">
        <v>796</v>
      </c>
      <c r="B164" s="8" t="s">
        <v>797</v>
      </c>
      <c r="C164" s="8" t="s">
        <v>799</v>
      </c>
      <c r="D164" s="8" t="s">
        <v>86</v>
      </c>
      <c r="E164" s="9" t="n">
        <v>3276502</v>
      </c>
      <c r="F164" s="9" t="s">
        <v>87</v>
      </c>
      <c r="G164" s="9" t="str">
        <f aca="false">IF(AND(ISNUMBER(E164),ISNUMBER(F164)),E164-F164,"No disponible")</f>
        <v>No disponible</v>
      </c>
      <c r="H164" s="8" t="s">
        <v>86</v>
      </c>
      <c r="I164" s="8" t="s">
        <v>56</v>
      </c>
      <c r="J164" s="8" t="s">
        <v>87</v>
      </c>
      <c r="K164" s="8" t="s">
        <v>88</v>
      </c>
      <c r="L164" s="8" t="s">
        <v>89</v>
      </c>
      <c r="M164" s="8" t="s">
        <v>82</v>
      </c>
      <c r="N164" s="8" t="s">
        <v>46</v>
      </c>
      <c r="O164" s="8" t="s">
        <v>87</v>
      </c>
      <c r="P164" s="8"/>
      <c r="Q164" s="8" t="s">
        <v>87</v>
      </c>
      <c r="R164" s="8" t="s">
        <v>86</v>
      </c>
    </row>
    <row r="165" customFormat="false" ht="32.8" hidden="false" customHeight="false" outlineLevel="0" collapsed="false">
      <c r="A165" s="8" t="s">
        <v>796</v>
      </c>
      <c r="B165" s="8" t="s">
        <v>797</v>
      </c>
      <c r="C165" s="8" t="s">
        <v>800</v>
      </c>
      <c r="D165" s="8" t="s">
        <v>93</v>
      </c>
      <c r="E165" s="9" t="n">
        <v>257838</v>
      </c>
      <c r="F165" s="9" t="n">
        <v>257842</v>
      </c>
      <c r="G165" s="9" t="n">
        <f aca="false">IF(AND(ISNUMBER(E165),ISNUMBER(F165)),E165-F165,"No disponible")</f>
        <v>-4</v>
      </c>
      <c r="H165" s="8" t="s">
        <v>801</v>
      </c>
      <c r="I165" s="8" t="s">
        <v>56</v>
      </c>
      <c r="J165" s="8" t="s">
        <v>43</v>
      </c>
      <c r="K165" s="8" t="s">
        <v>81</v>
      </c>
      <c r="L165" s="8" t="s">
        <v>45</v>
      </c>
      <c r="M165" s="8" t="s">
        <v>82</v>
      </c>
      <c r="N165" s="8" t="s">
        <v>46</v>
      </c>
      <c r="O165" s="8" t="s">
        <v>802</v>
      </c>
      <c r="P165" s="8" t="s">
        <v>803</v>
      </c>
      <c r="Q165" s="8" t="s">
        <v>59</v>
      </c>
      <c r="R165" s="8" t="s">
        <v>50</v>
      </c>
    </row>
    <row r="166" customFormat="false" ht="22.35" hidden="false" customHeight="false" outlineLevel="0" collapsed="false">
      <c r="A166" s="8" t="s">
        <v>796</v>
      </c>
      <c r="B166" s="8" t="s">
        <v>797</v>
      </c>
      <c r="C166" s="8" t="s">
        <v>804</v>
      </c>
      <c r="D166" s="8" t="s">
        <v>86</v>
      </c>
      <c r="E166" s="9" t="n">
        <v>115352</v>
      </c>
      <c r="F166" s="9" t="s">
        <v>87</v>
      </c>
      <c r="G166" s="9" t="str">
        <f aca="false">IF(AND(ISNUMBER(E166),ISNUMBER(F166)),E166-F166,"No disponible")</f>
        <v>No disponible</v>
      </c>
      <c r="H166" s="8" t="s">
        <v>86</v>
      </c>
      <c r="I166" s="8" t="s">
        <v>56</v>
      </c>
      <c r="J166" s="8" t="s">
        <v>87</v>
      </c>
      <c r="K166" s="8" t="s">
        <v>88</v>
      </c>
      <c r="L166" s="8" t="s">
        <v>89</v>
      </c>
      <c r="M166" s="8" t="s">
        <v>82</v>
      </c>
      <c r="N166" s="8" t="s">
        <v>46</v>
      </c>
      <c r="O166" s="8" t="s">
        <v>87</v>
      </c>
      <c r="P166" s="8"/>
      <c r="Q166" s="8" t="s">
        <v>87</v>
      </c>
      <c r="R166" s="8" t="s">
        <v>86</v>
      </c>
    </row>
    <row r="167" customFormat="false" ht="32.8" hidden="false" customHeight="false" outlineLevel="0" collapsed="false">
      <c r="A167" s="8" t="s">
        <v>796</v>
      </c>
      <c r="B167" s="8" t="s">
        <v>797</v>
      </c>
      <c r="C167" s="8" t="s">
        <v>805</v>
      </c>
      <c r="D167" s="8" t="s">
        <v>93</v>
      </c>
      <c r="E167" s="9" t="n">
        <v>128919</v>
      </c>
      <c r="F167" s="9" t="n">
        <v>257842</v>
      </c>
      <c r="G167" s="9" t="n">
        <f aca="false">IF(AND(ISNUMBER(E167),ISNUMBER(F167)),E167-F167,"No disponible")</f>
        <v>-128923</v>
      </c>
      <c r="H167" s="8" t="s">
        <v>801</v>
      </c>
      <c r="I167" s="8" t="s">
        <v>65</v>
      </c>
      <c r="J167" s="8" t="s">
        <v>43</v>
      </c>
      <c r="K167" s="8" t="s">
        <v>806</v>
      </c>
      <c r="L167" s="8" t="s">
        <v>807</v>
      </c>
      <c r="M167" s="8" t="s">
        <v>6</v>
      </c>
      <c r="N167" s="8" t="s">
        <v>46</v>
      </c>
      <c r="O167" s="8" t="s">
        <v>808</v>
      </c>
      <c r="P167" s="8" t="s">
        <v>809</v>
      </c>
      <c r="Q167" s="8" t="s">
        <v>69</v>
      </c>
      <c r="R167" s="8" t="s">
        <v>50</v>
      </c>
    </row>
    <row r="168" customFormat="false" ht="32.8" hidden="false" customHeight="false" outlineLevel="0" collapsed="false">
      <c r="A168" s="8" t="s">
        <v>796</v>
      </c>
      <c r="B168" s="8" t="s">
        <v>797</v>
      </c>
      <c r="C168" s="8" t="s">
        <v>810</v>
      </c>
      <c r="D168" s="8" t="s">
        <v>93</v>
      </c>
      <c r="E168" s="9" t="n">
        <v>128919</v>
      </c>
      <c r="F168" s="9" t="n">
        <v>257842</v>
      </c>
      <c r="G168" s="9" t="n">
        <f aca="false">IF(AND(ISNUMBER(E168),ISNUMBER(F168)),E168-F168,"No disponible")</f>
        <v>-128923</v>
      </c>
      <c r="H168" s="8" t="s">
        <v>801</v>
      </c>
      <c r="I168" s="8" t="s">
        <v>65</v>
      </c>
      <c r="J168" s="8" t="s">
        <v>43</v>
      </c>
      <c r="K168" s="8" t="s">
        <v>806</v>
      </c>
      <c r="L168" s="8" t="s">
        <v>811</v>
      </c>
      <c r="M168" s="8" t="s">
        <v>6</v>
      </c>
      <c r="N168" s="8" t="s">
        <v>46</v>
      </c>
      <c r="O168" s="8" t="s">
        <v>808</v>
      </c>
      <c r="P168" s="8" t="s">
        <v>809</v>
      </c>
      <c r="Q168" s="8" t="s">
        <v>69</v>
      </c>
      <c r="R168" s="8" t="s">
        <v>50</v>
      </c>
    </row>
    <row r="169" customFormat="false" ht="43.25" hidden="false" customHeight="false" outlineLevel="0" collapsed="false">
      <c r="A169" s="8" t="s">
        <v>812</v>
      </c>
      <c r="B169" s="8" t="s">
        <v>813</v>
      </c>
      <c r="C169" s="8" t="s">
        <v>814</v>
      </c>
      <c r="D169" s="8" t="s">
        <v>127</v>
      </c>
      <c r="E169" s="9" t="n">
        <v>12000</v>
      </c>
      <c r="F169" s="9" t="n">
        <v>12000</v>
      </c>
      <c r="G169" s="9" t="n">
        <f aca="false">IF(AND(ISNUMBER(E169),ISNUMBER(F169)),E169-F169,"No disponible")</f>
        <v>0</v>
      </c>
      <c r="H169" s="8" t="s">
        <v>64</v>
      </c>
      <c r="I169" s="8" t="s">
        <v>42</v>
      </c>
      <c r="J169" s="8" t="s">
        <v>43</v>
      </c>
      <c r="K169" s="8" t="s">
        <v>44</v>
      </c>
      <c r="L169" s="8" t="s">
        <v>45</v>
      </c>
      <c r="M169" s="8" t="s">
        <v>6</v>
      </c>
      <c r="N169" s="8" t="s">
        <v>46</v>
      </c>
      <c r="O169" s="8" t="s">
        <v>815</v>
      </c>
      <c r="P169" s="8" t="s">
        <v>816</v>
      </c>
      <c r="Q169" s="8" t="s">
        <v>49</v>
      </c>
      <c r="R169" s="8" t="s">
        <v>50</v>
      </c>
    </row>
    <row r="170" customFormat="false" ht="43.25" hidden="false" customHeight="false" outlineLevel="0" collapsed="false">
      <c r="A170" s="8" t="s">
        <v>817</v>
      </c>
      <c r="B170" s="8" t="s">
        <v>818</v>
      </c>
      <c r="C170" s="8" t="s">
        <v>819</v>
      </c>
      <c r="D170" s="8" t="s">
        <v>820</v>
      </c>
      <c r="E170" s="9" t="n">
        <v>543830</v>
      </c>
      <c r="F170" s="9" t="n">
        <v>559825</v>
      </c>
      <c r="G170" s="9" t="n">
        <f aca="false">IF(AND(ISNUMBER(E170),ISNUMBER(F170)),E170-F170,"No disponible")</f>
        <v>-15995</v>
      </c>
      <c r="H170" s="8" t="s">
        <v>821</v>
      </c>
      <c r="I170" s="8" t="s">
        <v>56</v>
      </c>
      <c r="J170" s="8" t="s">
        <v>43</v>
      </c>
      <c r="K170" s="8" t="s">
        <v>81</v>
      </c>
      <c r="L170" s="8" t="s">
        <v>45</v>
      </c>
      <c r="M170" s="8" t="s">
        <v>82</v>
      </c>
      <c r="N170" s="8" t="s">
        <v>46</v>
      </c>
      <c r="O170" s="8" t="s">
        <v>822</v>
      </c>
      <c r="P170" s="8" t="s">
        <v>823</v>
      </c>
      <c r="Q170" s="8" t="s">
        <v>59</v>
      </c>
      <c r="R170" s="8" t="s">
        <v>50</v>
      </c>
    </row>
    <row r="171" customFormat="false" ht="43.25" hidden="false" customHeight="false" outlineLevel="0" collapsed="false">
      <c r="A171" s="8" t="s">
        <v>817</v>
      </c>
      <c r="B171" s="8" t="s">
        <v>818</v>
      </c>
      <c r="C171" s="8" t="s">
        <v>824</v>
      </c>
      <c r="D171" s="8" t="s">
        <v>93</v>
      </c>
      <c r="E171" s="9" t="n">
        <v>1131854</v>
      </c>
      <c r="F171" s="9" t="n">
        <v>1131854</v>
      </c>
      <c r="G171" s="9" t="n">
        <f aca="false">IF(AND(ISNUMBER(E171),ISNUMBER(F171)),E171-F171,"No disponible")</f>
        <v>0</v>
      </c>
      <c r="H171" s="8" t="s">
        <v>825</v>
      </c>
      <c r="I171" s="8" t="s">
        <v>56</v>
      </c>
      <c r="J171" s="8" t="s">
        <v>43</v>
      </c>
      <c r="K171" s="8" t="s">
        <v>44</v>
      </c>
      <c r="L171" s="8" t="s">
        <v>45</v>
      </c>
      <c r="M171" s="8" t="s">
        <v>6</v>
      </c>
      <c r="N171" s="8" t="s">
        <v>46</v>
      </c>
      <c r="O171" s="8" t="s">
        <v>826</v>
      </c>
      <c r="P171" s="8" t="s">
        <v>827</v>
      </c>
      <c r="Q171" s="8" t="s">
        <v>59</v>
      </c>
      <c r="R171" s="8" t="s">
        <v>50</v>
      </c>
    </row>
    <row r="172" customFormat="false" ht="43.25" hidden="false" customHeight="false" outlineLevel="0" collapsed="false">
      <c r="A172" s="8" t="s">
        <v>828</v>
      </c>
      <c r="B172" s="8" t="s">
        <v>829</v>
      </c>
      <c r="C172" s="8" t="s">
        <v>830</v>
      </c>
      <c r="D172" s="8" t="s">
        <v>831</v>
      </c>
      <c r="E172" s="9" t="n">
        <v>3425499.9989</v>
      </c>
      <c r="F172" s="9" t="n">
        <v>1829998</v>
      </c>
      <c r="G172" s="9" t="n">
        <f aca="false">IF(AND(ISNUMBER(E172),ISNUMBER(F172)),E172-F172,"No disponible")</f>
        <v>1595501.9989</v>
      </c>
      <c r="H172" s="8" t="s">
        <v>832</v>
      </c>
      <c r="I172" s="8" t="s">
        <v>56</v>
      </c>
      <c r="J172" s="8" t="s">
        <v>43</v>
      </c>
      <c r="K172" s="8" t="s">
        <v>81</v>
      </c>
      <c r="L172" s="8" t="s">
        <v>45</v>
      </c>
      <c r="M172" s="8" t="s">
        <v>82</v>
      </c>
      <c r="N172" s="8" t="s">
        <v>46</v>
      </c>
      <c r="O172" s="8" t="s">
        <v>833</v>
      </c>
      <c r="P172" s="8" t="s">
        <v>834</v>
      </c>
      <c r="Q172" s="8" t="s">
        <v>59</v>
      </c>
      <c r="R172" s="8" t="s">
        <v>50</v>
      </c>
    </row>
    <row r="173" customFormat="false" ht="43.25" hidden="false" customHeight="false" outlineLevel="0" collapsed="false">
      <c r="A173" s="8" t="s">
        <v>828</v>
      </c>
      <c r="B173" s="8" t="s">
        <v>829</v>
      </c>
      <c r="C173" s="8" t="s">
        <v>835</v>
      </c>
      <c r="D173" s="8" t="s">
        <v>127</v>
      </c>
      <c r="E173" s="9" t="n">
        <v>5000</v>
      </c>
      <c r="F173" s="9" t="n">
        <v>5000</v>
      </c>
      <c r="G173" s="9" t="n">
        <f aca="false">IF(AND(ISNUMBER(E173),ISNUMBER(F173)),E173-F173,"No disponible")</f>
        <v>0</v>
      </c>
      <c r="H173" s="8" t="s">
        <v>64</v>
      </c>
      <c r="I173" s="8" t="s">
        <v>56</v>
      </c>
      <c r="J173" s="8" t="s">
        <v>43</v>
      </c>
      <c r="K173" s="8" t="s">
        <v>44</v>
      </c>
      <c r="L173" s="8" t="s">
        <v>45</v>
      </c>
      <c r="M173" s="8" t="s">
        <v>6</v>
      </c>
      <c r="N173" s="8" t="s">
        <v>46</v>
      </c>
      <c r="O173" s="8" t="s">
        <v>836</v>
      </c>
      <c r="P173" s="8" t="s">
        <v>837</v>
      </c>
      <c r="Q173" s="8" t="s">
        <v>59</v>
      </c>
      <c r="R173" s="8" t="s">
        <v>50</v>
      </c>
    </row>
    <row r="174" customFormat="false" ht="43.25" hidden="false" customHeight="false" outlineLevel="0" collapsed="false">
      <c r="A174" s="8" t="s">
        <v>838</v>
      </c>
      <c r="B174" s="8" t="s">
        <v>839</v>
      </c>
      <c r="C174" s="8" t="s">
        <v>840</v>
      </c>
      <c r="D174" s="8" t="s">
        <v>841</v>
      </c>
      <c r="E174" s="9" t="n">
        <v>178500</v>
      </c>
      <c r="F174" s="9" t="n">
        <v>178500</v>
      </c>
      <c r="G174" s="9" t="n">
        <f aca="false">IF(AND(ISNUMBER(E174),ISNUMBER(F174)),E174-F174,"No disponible")</f>
        <v>0</v>
      </c>
      <c r="H174" s="8" t="s">
        <v>842</v>
      </c>
      <c r="I174" s="8" t="s">
        <v>56</v>
      </c>
      <c r="J174" s="8" t="s">
        <v>43</v>
      </c>
      <c r="K174" s="8" t="s">
        <v>44</v>
      </c>
      <c r="L174" s="8" t="s">
        <v>45</v>
      </c>
      <c r="M174" s="8" t="s">
        <v>6</v>
      </c>
      <c r="N174" s="8" t="s">
        <v>46</v>
      </c>
      <c r="O174" s="8" t="s">
        <v>843</v>
      </c>
      <c r="P174" s="8" t="s">
        <v>844</v>
      </c>
      <c r="Q174" s="8" t="s">
        <v>59</v>
      </c>
      <c r="R174" s="8" t="s">
        <v>50</v>
      </c>
    </row>
    <row r="175" customFormat="false" ht="22.35" hidden="false" customHeight="false" outlineLevel="0" collapsed="false">
      <c r="A175" s="8" t="s">
        <v>845</v>
      </c>
      <c r="B175" s="8" t="s">
        <v>846</v>
      </c>
      <c r="C175" s="8" t="s">
        <v>847</v>
      </c>
      <c r="D175" s="8" t="s">
        <v>86</v>
      </c>
      <c r="E175" s="9" t="n">
        <v>44900</v>
      </c>
      <c r="F175" s="9" t="s">
        <v>87</v>
      </c>
      <c r="G175" s="9" t="str">
        <f aca="false">IF(AND(ISNUMBER(E175),ISNUMBER(F175)),E175-F175,"No disponible")</f>
        <v>No disponible</v>
      </c>
      <c r="H175" s="8" t="s">
        <v>86</v>
      </c>
      <c r="I175" s="8" t="s">
        <v>56</v>
      </c>
      <c r="J175" s="8" t="s">
        <v>87</v>
      </c>
      <c r="K175" s="8" t="s">
        <v>88</v>
      </c>
      <c r="L175" s="8" t="s">
        <v>89</v>
      </c>
      <c r="M175" s="8" t="s">
        <v>82</v>
      </c>
      <c r="N175" s="8" t="s">
        <v>46</v>
      </c>
      <c r="O175" s="8" t="s">
        <v>87</v>
      </c>
      <c r="P175" s="8"/>
      <c r="Q175" s="8" t="s">
        <v>87</v>
      </c>
      <c r="R175" s="8" t="s">
        <v>86</v>
      </c>
    </row>
    <row r="176" customFormat="false" ht="43.25" hidden="false" customHeight="false" outlineLevel="0" collapsed="false">
      <c r="A176" s="8" t="s">
        <v>845</v>
      </c>
      <c r="B176" s="8" t="s">
        <v>846</v>
      </c>
      <c r="C176" s="8" t="s">
        <v>848</v>
      </c>
      <c r="D176" s="8" t="s">
        <v>127</v>
      </c>
      <c r="E176" s="9" t="n">
        <v>42800</v>
      </c>
      <c r="F176" s="9" t="n">
        <v>42800</v>
      </c>
      <c r="G176" s="9" t="n">
        <f aca="false">IF(AND(ISNUMBER(E176),ISNUMBER(F176)),E176-F176,"No disponible")</f>
        <v>0</v>
      </c>
      <c r="H176" s="8" t="s">
        <v>64</v>
      </c>
      <c r="I176" s="8" t="s">
        <v>56</v>
      </c>
      <c r="J176" s="8" t="s">
        <v>43</v>
      </c>
      <c r="K176" s="8" t="s">
        <v>44</v>
      </c>
      <c r="L176" s="8" t="s">
        <v>45</v>
      </c>
      <c r="M176" s="8" t="s">
        <v>6</v>
      </c>
      <c r="N176" s="8" t="s">
        <v>46</v>
      </c>
      <c r="O176" s="8" t="s">
        <v>849</v>
      </c>
      <c r="P176" s="8" t="s">
        <v>850</v>
      </c>
      <c r="Q176" s="8" t="s">
        <v>59</v>
      </c>
      <c r="R176" s="8" t="s">
        <v>50</v>
      </c>
    </row>
    <row r="177" customFormat="false" ht="32.8" hidden="false" customHeight="false" outlineLevel="0" collapsed="false">
      <c r="A177" s="8" t="s">
        <v>845</v>
      </c>
      <c r="B177" s="8" t="s">
        <v>846</v>
      </c>
      <c r="C177" s="8" t="s">
        <v>851</v>
      </c>
      <c r="D177" s="8" t="s">
        <v>127</v>
      </c>
      <c r="E177" s="9" t="n">
        <v>31900</v>
      </c>
      <c r="F177" s="9" t="n">
        <v>31900</v>
      </c>
      <c r="G177" s="9" t="n">
        <f aca="false">IF(AND(ISNUMBER(E177),ISNUMBER(F177)),E177-F177,"No disponible")</f>
        <v>0</v>
      </c>
      <c r="H177" s="8" t="s">
        <v>64</v>
      </c>
      <c r="I177" s="8" t="s">
        <v>56</v>
      </c>
      <c r="J177" s="8" t="s">
        <v>43</v>
      </c>
      <c r="K177" s="8" t="s">
        <v>190</v>
      </c>
      <c r="L177" s="8" t="s">
        <v>45</v>
      </c>
      <c r="M177" s="8" t="s">
        <v>6</v>
      </c>
      <c r="N177" s="8" t="s">
        <v>46</v>
      </c>
      <c r="O177" s="8" t="s">
        <v>852</v>
      </c>
      <c r="P177" s="8" t="s">
        <v>853</v>
      </c>
      <c r="Q177" s="8" t="s">
        <v>193</v>
      </c>
      <c r="R177" s="8" t="s">
        <v>50</v>
      </c>
    </row>
    <row r="178" customFormat="false" ht="43.25" hidden="false" customHeight="false" outlineLevel="0" collapsed="false">
      <c r="A178" s="8" t="s">
        <v>854</v>
      </c>
      <c r="B178" s="8" t="s">
        <v>855</v>
      </c>
      <c r="C178" s="8" t="s">
        <v>856</v>
      </c>
      <c r="D178" s="8" t="s">
        <v>857</v>
      </c>
      <c r="E178" s="9" t="n">
        <v>7576580</v>
      </c>
      <c r="F178" s="9" t="n">
        <v>7576580</v>
      </c>
      <c r="G178" s="9" t="n">
        <f aca="false">IF(AND(ISNUMBER(E178),ISNUMBER(F178)),E178-F178,"No disponible")</f>
        <v>0</v>
      </c>
      <c r="H178" s="8" t="s">
        <v>858</v>
      </c>
      <c r="I178" s="8" t="s">
        <v>56</v>
      </c>
      <c r="J178" s="8" t="s">
        <v>43</v>
      </c>
      <c r="K178" s="8" t="s">
        <v>107</v>
      </c>
      <c r="L178" s="8" t="s">
        <v>859</v>
      </c>
      <c r="M178" s="8" t="s">
        <v>108</v>
      </c>
      <c r="N178" s="8" t="s">
        <v>46</v>
      </c>
      <c r="O178" s="8" t="s">
        <v>860</v>
      </c>
      <c r="P178" s="8" t="s">
        <v>861</v>
      </c>
      <c r="Q178" s="8" t="s">
        <v>59</v>
      </c>
      <c r="R178" s="8" t="s">
        <v>111</v>
      </c>
    </row>
    <row r="179" customFormat="false" ht="43.25" hidden="false" customHeight="false" outlineLevel="0" collapsed="false">
      <c r="A179" s="8" t="s">
        <v>854</v>
      </c>
      <c r="B179" s="8" t="s">
        <v>855</v>
      </c>
      <c r="C179" s="8" t="s">
        <v>862</v>
      </c>
      <c r="D179" s="8" t="s">
        <v>857</v>
      </c>
      <c r="E179" s="9" t="n">
        <v>3891820</v>
      </c>
      <c r="F179" s="9" t="n">
        <v>3891820</v>
      </c>
      <c r="G179" s="9" t="n">
        <f aca="false">IF(AND(ISNUMBER(E179),ISNUMBER(F179)),E179-F179,"No disponible")</f>
        <v>0</v>
      </c>
      <c r="H179" s="8" t="s">
        <v>863</v>
      </c>
      <c r="I179" s="8" t="s">
        <v>56</v>
      </c>
      <c r="J179" s="8" t="s">
        <v>43</v>
      </c>
      <c r="K179" s="8" t="s">
        <v>107</v>
      </c>
      <c r="L179" s="8" t="s">
        <v>864</v>
      </c>
      <c r="M179" s="8" t="s">
        <v>108</v>
      </c>
      <c r="N179" s="8" t="s">
        <v>46</v>
      </c>
      <c r="O179" s="8" t="s">
        <v>865</v>
      </c>
      <c r="P179" s="8" t="s">
        <v>866</v>
      </c>
      <c r="Q179" s="8" t="s">
        <v>59</v>
      </c>
      <c r="R179" s="8" t="s">
        <v>111</v>
      </c>
    </row>
    <row r="180" customFormat="false" ht="22.35" hidden="false" customHeight="false" outlineLevel="0" collapsed="false">
      <c r="A180" s="8" t="s">
        <v>867</v>
      </c>
      <c r="B180" s="8" t="s">
        <v>868</v>
      </c>
      <c r="C180" s="8" t="s">
        <v>869</v>
      </c>
      <c r="D180" s="8" t="s">
        <v>86</v>
      </c>
      <c r="E180" s="9" t="n">
        <v>15000</v>
      </c>
      <c r="F180" s="9" t="s">
        <v>87</v>
      </c>
      <c r="G180" s="9" t="str">
        <f aca="false">IF(AND(ISNUMBER(E180),ISNUMBER(F180)),E180-F180,"No disponible")</f>
        <v>No disponible</v>
      </c>
      <c r="H180" s="8" t="s">
        <v>86</v>
      </c>
      <c r="I180" s="8" t="s">
        <v>56</v>
      </c>
      <c r="J180" s="8" t="s">
        <v>87</v>
      </c>
      <c r="K180" s="8" t="s">
        <v>140</v>
      </c>
      <c r="L180" s="8" t="s">
        <v>141</v>
      </c>
      <c r="M180" s="8" t="s">
        <v>82</v>
      </c>
      <c r="N180" s="8" t="s">
        <v>46</v>
      </c>
      <c r="O180" s="8" t="s">
        <v>87</v>
      </c>
      <c r="P180" s="8"/>
      <c r="Q180" s="8" t="s">
        <v>87</v>
      </c>
      <c r="R180" s="8" t="s">
        <v>86</v>
      </c>
    </row>
    <row r="181" customFormat="false" ht="43.25" hidden="false" customHeight="false" outlineLevel="0" collapsed="false">
      <c r="A181" s="8" t="s">
        <v>870</v>
      </c>
      <c r="B181" s="8" t="s">
        <v>871</v>
      </c>
      <c r="C181" s="8" t="s">
        <v>872</v>
      </c>
      <c r="D181" s="8" t="s">
        <v>873</v>
      </c>
      <c r="E181" s="9" t="n">
        <v>4641000</v>
      </c>
      <c r="F181" s="9" t="n">
        <v>4641000</v>
      </c>
      <c r="G181" s="9" t="n">
        <f aca="false">IF(AND(ISNUMBER(E181),ISNUMBER(F181)),E181-F181,"No disponible")</f>
        <v>0</v>
      </c>
      <c r="H181" s="8" t="s">
        <v>874</v>
      </c>
      <c r="I181" s="8" t="s">
        <v>56</v>
      </c>
      <c r="J181" s="8" t="s">
        <v>43</v>
      </c>
      <c r="K181" s="8" t="s">
        <v>44</v>
      </c>
      <c r="L181" s="8" t="s">
        <v>45</v>
      </c>
      <c r="M181" s="8" t="s">
        <v>6</v>
      </c>
      <c r="N181" s="8" t="s">
        <v>46</v>
      </c>
      <c r="O181" s="8" t="s">
        <v>875</v>
      </c>
      <c r="P181" s="8" t="s">
        <v>876</v>
      </c>
      <c r="Q181" s="8" t="s">
        <v>59</v>
      </c>
      <c r="R181" s="8" t="s">
        <v>50</v>
      </c>
    </row>
    <row r="182" customFormat="false" ht="43.25" hidden="false" customHeight="false" outlineLevel="0" collapsed="false">
      <c r="A182" s="8" t="s">
        <v>870</v>
      </c>
      <c r="B182" s="8" t="s">
        <v>871</v>
      </c>
      <c r="C182" s="8" t="s">
        <v>877</v>
      </c>
      <c r="D182" s="8" t="s">
        <v>266</v>
      </c>
      <c r="E182" s="9" t="n">
        <v>505750</v>
      </c>
      <c r="F182" s="9" t="n">
        <v>505750</v>
      </c>
      <c r="G182" s="9" t="n">
        <f aca="false">IF(AND(ISNUMBER(E182),ISNUMBER(F182)),E182-F182,"No disponible")</f>
        <v>0</v>
      </c>
      <c r="H182" s="8" t="s">
        <v>878</v>
      </c>
      <c r="I182" s="8" t="s">
        <v>56</v>
      </c>
      <c r="J182" s="8" t="s">
        <v>43</v>
      </c>
      <c r="K182" s="8" t="s">
        <v>44</v>
      </c>
      <c r="L182" s="8" t="s">
        <v>45</v>
      </c>
      <c r="M182" s="8" t="s">
        <v>6</v>
      </c>
      <c r="N182" s="8" t="s">
        <v>46</v>
      </c>
      <c r="O182" s="8" t="s">
        <v>879</v>
      </c>
      <c r="P182" s="8" t="s">
        <v>880</v>
      </c>
      <c r="Q182" s="8" t="s">
        <v>59</v>
      </c>
      <c r="R182" s="8" t="s">
        <v>50</v>
      </c>
    </row>
    <row r="183" customFormat="false" ht="43.25" hidden="false" customHeight="false" outlineLevel="0" collapsed="false">
      <c r="A183" s="8" t="s">
        <v>870</v>
      </c>
      <c r="B183" s="8" t="s">
        <v>871</v>
      </c>
      <c r="C183" s="8" t="s">
        <v>881</v>
      </c>
      <c r="D183" s="8" t="s">
        <v>873</v>
      </c>
      <c r="E183" s="9" t="n">
        <v>2677500</v>
      </c>
      <c r="F183" s="9" t="n">
        <v>2677500</v>
      </c>
      <c r="G183" s="9" t="n">
        <f aca="false">IF(AND(ISNUMBER(E183),ISNUMBER(F183)),E183-F183,"No disponible")</f>
        <v>0</v>
      </c>
      <c r="H183" s="8" t="s">
        <v>882</v>
      </c>
      <c r="I183" s="8" t="s">
        <v>56</v>
      </c>
      <c r="J183" s="8" t="s">
        <v>43</v>
      </c>
      <c r="K183" s="8" t="s">
        <v>44</v>
      </c>
      <c r="L183" s="8" t="s">
        <v>45</v>
      </c>
      <c r="M183" s="8" t="s">
        <v>6</v>
      </c>
      <c r="N183" s="8" t="s">
        <v>46</v>
      </c>
      <c r="O183" s="8" t="s">
        <v>883</v>
      </c>
      <c r="P183" s="8" t="s">
        <v>884</v>
      </c>
      <c r="Q183" s="8" t="s">
        <v>59</v>
      </c>
      <c r="R183" s="8" t="s">
        <v>50</v>
      </c>
    </row>
    <row r="184" customFormat="false" ht="43.25" hidden="false" customHeight="false" outlineLevel="0" collapsed="false">
      <c r="A184" s="8" t="s">
        <v>870</v>
      </c>
      <c r="B184" s="8" t="s">
        <v>871</v>
      </c>
      <c r="C184" s="8" t="s">
        <v>885</v>
      </c>
      <c r="D184" s="8" t="s">
        <v>873</v>
      </c>
      <c r="E184" s="9" t="n">
        <v>624750</v>
      </c>
      <c r="F184" s="9" t="n">
        <v>624750</v>
      </c>
      <c r="G184" s="9" t="n">
        <f aca="false">IF(AND(ISNUMBER(E184),ISNUMBER(F184)),E184-F184,"No disponible")</f>
        <v>0</v>
      </c>
      <c r="H184" s="8" t="s">
        <v>886</v>
      </c>
      <c r="I184" s="8" t="s">
        <v>56</v>
      </c>
      <c r="J184" s="8" t="s">
        <v>43</v>
      </c>
      <c r="K184" s="8" t="s">
        <v>44</v>
      </c>
      <c r="L184" s="8" t="s">
        <v>45</v>
      </c>
      <c r="M184" s="8" t="s">
        <v>6</v>
      </c>
      <c r="N184" s="8" t="s">
        <v>46</v>
      </c>
      <c r="O184" s="8" t="s">
        <v>887</v>
      </c>
      <c r="P184" s="8" t="s">
        <v>888</v>
      </c>
      <c r="Q184" s="8" t="s">
        <v>59</v>
      </c>
      <c r="R184" s="8" t="s">
        <v>50</v>
      </c>
    </row>
    <row r="185" customFormat="false" ht="43.25" hidden="false" customHeight="false" outlineLevel="0" collapsed="false">
      <c r="A185" s="8" t="s">
        <v>870</v>
      </c>
      <c r="B185" s="8" t="s">
        <v>871</v>
      </c>
      <c r="C185" s="8" t="s">
        <v>889</v>
      </c>
      <c r="D185" s="8" t="s">
        <v>873</v>
      </c>
      <c r="E185" s="9" t="n">
        <v>9520000</v>
      </c>
      <c r="F185" s="9" t="n">
        <v>9520000</v>
      </c>
      <c r="G185" s="9" t="n">
        <f aca="false">IF(AND(ISNUMBER(E185),ISNUMBER(F185)),E185-F185,"No disponible")</f>
        <v>0</v>
      </c>
      <c r="H185" s="8" t="s">
        <v>890</v>
      </c>
      <c r="I185" s="8" t="s">
        <v>56</v>
      </c>
      <c r="J185" s="8" t="s">
        <v>43</v>
      </c>
      <c r="K185" s="8" t="s">
        <v>44</v>
      </c>
      <c r="L185" s="8" t="s">
        <v>45</v>
      </c>
      <c r="M185" s="8" t="s">
        <v>6</v>
      </c>
      <c r="N185" s="8" t="s">
        <v>46</v>
      </c>
      <c r="O185" s="8" t="s">
        <v>891</v>
      </c>
      <c r="P185" s="8" t="s">
        <v>892</v>
      </c>
      <c r="Q185" s="8" t="s">
        <v>59</v>
      </c>
      <c r="R185" s="8" t="s">
        <v>50</v>
      </c>
    </row>
    <row r="186" customFormat="false" ht="43.25" hidden="false" customHeight="false" outlineLevel="0" collapsed="false">
      <c r="A186" s="8" t="s">
        <v>893</v>
      </c>
      <c r="B186" s="8" t="s">
        <v>894</v>
      </c>
      <c r="C186" s="8" t="s">
        <v>895</v>
      </c>
      <c r="D186" s="8" t="s">
        <v>127</v>
      </c>
      <c r="E186" s="9" t="n">
        <v>20000</v>
      </c>
      <c r="F186" s="9" t="n">
        <v>20000</v>
      </c>
      <c r="G186" s="9" t="n">
        <f aca="false">IF(AND(ISNUMBER(E186),ISNUMBER(F186)),E186-F186,"No disponible")</f>
        <v>0</v>
      </c>
      <c r="H186" s="8" t="s">
        <v>64</v>
      </c>
      <c r="I186" s="8" t="s">
        <v>56</v>
      </c>
      <c r="J186" s="8" t="s">
        <v>43</v>
      </c>
      <c r="K186" s="8" t="s">
        <v>44</v>
      </c>
      <c r="L186" s="8" t="s">
        <v>45</v>
      </c>
      <c r="M186" s="8" t="s">
        <v>6</v>
      </c>
      <c r="N186" s="8" t="s">
        <v>46</v>
      </c>
      <c r="O186" s="8" t="s">
        <v>896</v>
      </c>
      <c r="P186" s="8" t="s">
        <v>897</v>
      </c>
      <c r="Q186" s="8" t="s">
        <v>59</v>
      </c>
      <c r="R186" s="8" t="s">
        <v>50</v>
      </c>
    </row>
    <row r="187" customFormat="false" ht="22.35" hidden="false" customHeight="false" outlineLevel="0" collapsed="false">
      <c r="A187" s="8" t="s">
        <v>893</v>
      </c>
      <c r="B187" s="8" t="s">
        <v>894</v>
      </c>
      <c r="C187" s="8" t="s">
        <v>898</v>
      </c>
      <c r="D187" s="8" t="s">
        <v>86</v>
      </c>
      <c r="E187" s="9" t="n">
        <v>18000</v>
      </c>
      <c r="F187" s="9" t="s">
        <v>87</v>
      </c>
      <c r="G187" s="9" t="str">
        <f aca="false">IF(AND(ISNUMBER(E187),ISNUMBER(F187)),E187-F187,"No disponible")</f>
        <v>No disponible</v>
      </c>
      <c r="H187" s="8" t="s">
        <v>86</v>
      </c>
      <c r="I187" s="8" t="s">
        <v>56</v>
      </c>
      <c r="J187" s="8" t="s">
        <v>87</v>
      </c>
      <c r="K187" s="8" t="s">
        <v>88</v>
      </c>
      <c r="L187" s="8" t="s">
        <v>89</v>
      </c>
      <c r="M187" s="8" t="s">
        <v>82</v>
      </c>
      <c r="N187" s="8" t="s">
        <v>46</v>
      </c>
      <c r="O187" s="8" t="s">
        <v>87</v>
      </c>
      <c r="P187" s="8"/>
      <c r="Q187" s="8" t="s">
        <v>87</v>
      </c>
      <c r="R187" s="8" t="s">
        <v>86</v>
      </c>
    </row>
    <row r="188" customFormat="false" ht="43.25" hidden="false" customHeight="false" outlineLevel="0" collapsed="false">
      <c r="A188" s="8" t="s">
        <v>893</v>
      </c>
      <c r="B188" s="8" t="s">
        <v>894</v>
      </c>
      <c r="C188" s="8" t="s">
        <v>899</v>
      </c>
      <c r="D188" s="8" t="s">
        <v>127</v>
      </c>
      <c r="E188" s="9" t="n">
        <v>42000</v>
      </c>
      <c r="F188" s="9" t="n">
        <v>42000</v>
      </c>
      <c r="G188" s="9" t="n">
        <f aca="false">IF(AND(ISNUMBER(E188),ISNUMBER(F188)),E188-F188,"No disponible")</f>
        <v>0</v>
      </c>
      <c r="H188" s="8" t="s">
        <v>64</v>
      </c>
      <c r="I188" s="8" t="s">
        <v>56</v>
      </c>
      <c r="J188" s="8" t="s">
        <v>43</v>
      </c>
      <c r="K188" s="8" t="s">
        <v>44</v>
      </c>
      <c r="L188" s="8" t="s">
        <v>45</v>
      </c>
      <c r="M188" s="8" t="s">
        <v>6</v>
      </c>
      <c r="N188" s="8" t="s">
        <v>46</v>
      </c>
      <c r="O188" s="8" t="s">
        <v>900</v>
      </c>
      <c r="P188" s="8" t="s">
        <v>901</v>
      </c>
      <c r="Q188" s="8" t="s">
        <v>59</v>
      </c>
      <c r="R188" s="8" t="s">
        <v>50</v>
      </c>
    </row>
    <row r="189" customFormat="false" ht="43.25" hidden="false" customHeight="false" outlineLevel="0" collapsed="false">
      <c r="A189" s="8" t="s">
        <v>902</v>
      </c>
      <c r="B189" s="8" t="s">
        <v>813</v>
      </c>
      <c r="C189" s="8" t="s">
        <v>903</v>
      </c>
      <c r="D189" s="8" t="s">
        <v>93</v>
      </c>
      <c r="E189" s="9" t="n">
        <v>453780</v>
      </c>
      <c r="F189" s="9" t="n">
        <v>453780</v>
      </c>
      <c r="G189" s="9" t="n">
        <f aca="false">IF(AND(ISNUMBER(E189),ISNUMBER(F189)),E189-F189,"No disponible")</f>
        <v>0</v>
      </c>
      <c r="H189" s="8" t="s">
        <v>904</v>
      </c>
      <c r="I189" s="8" t="s">
        <v>56</v>
      </c>
      <c r="J189" s="8" t="s">
        <v>43</v>
      </c>
      <c r="K189" s="8" t="s">
        <v>44</v>
      </c>
      <c r="L189" s="8" t="s">
        <v>45</v>
      </c>
      <c r="M189" s="8" t="s">
        <v>6</v>
      </c>
      <c r="N189" s="8" t="s">
        <v>46</v>
      </c>
      <c r="O189" s="8" t="s">
        <v>905</v>
      </c>
      <c r="P189" s="8" t="s">
        <v>906</v>
      </c>
      <c r="Q189" s="8" t="s">
        <v>59</v>
      </c>
      <c r="R189" s="8" t="s">
        <v>50</v>
      </c>
    </row>
    <row r="190" customFormat="false" ht="43.25" hidden="false" customHeight="false" outlineLevel="0" collapsed="false">
      <c r="A190" s="8" t="s">
        <v>902</v>
      </c>
      <c r="B190" s="8" t="s">
        <v>813</v>
      </c>
      <c r="C190" s="8" t="s">
        <v>907</v>
      </c>
      <c r="D190" s="8" t="s">
        <v>820</v>
      </c>
      <c r="E190" s="9" t="n">
        <v>540000</v>
      </c>
      <c r="F190" s="9" t="n">
        <v>540001</v>
      </c>
      <c r="G190" s="9" t="n">
        <f aca="false">IF(AND(ISNUMBER(E190),ISNUMBER(F190)),E190-F190,"No disponible")</f>
        <v>-1</v>
      </c>
      <c r="H190" s="8" t="s">
        <v>908</v>
      </c>
      <c r="I190" s="8" t="s">
        <v>56</v>
      </c>
      <c r="J190" s="8" t="s">
        <v>43</v>
      </c>
      <c r="K190" s="8" t="s">
        <v>81</v>
      </c>
      <c r="L190" s="8" t="s">
        <v>45</v>
      </c>
      <c r="M190" s="8" t="s">
        <v>82</v>
      </c>
      <c r="N190" s="8" t="s">
        <v>46</v>
      </c>
      <c r="O190" s="8" t="s">
        <v>909</v>
      </c>
      <c r="P190" s="8" t="s">
        <v>910</v>
      </c>
      <c r="Q190" s="8" t="s">
        <v>59</v>
      </c>
      <c r="R190" s="8" t="s">
        <v>50</v>
      </c>
    </row>
    <row r="191" customFormat="false" ht="32.8" hidden="false" customHeight="false" outlineLevel="0" collapsed="false">
      <c r="A191" s="8" t="s">
        <v>902</v>
      </c>
      <c r="B191" s="8" t="s">
        <v>813</v>
      </c>
      <c r="C191" s="8" t="s">
        <v>911</v>
      </c>
      <c r="D191" s="8" t="s">
        <v>93</v>
      </c>
      <c r="E191" s="9" t="n">
        <v>453780</v>
      </c>
      <c r="F191" s="9" t="n">
        <v>453780</v>
      </c>
      <c r="G191" s="9" t="n">
        <f aca="false">IF(AND(ISNUMBER(E191),ISNUMBER(F191)),E191-F191,"No disponible")</f>
        <v>0</v>
      </c>
      <c r="H191" s="8" t="s">
        <v>904</v>
      </c>
      <c r="I191" s="8" t="s">
        <v>65</v>
      </c>
      <c r="J191" s="8" t="s">
        <v>43</v>
      </c>
      <c r="K191" s="8" t="s">
        <v>190</v>
      </c>
      <c r="L191" s="8" t="s">
        <v>45</v>
      </c>
      <c r="M191" s="8" t="s">
        <v>6</v>
      </c>
      <c r="N191" s="8" t="s">
        <v>46</v>
      </c>
      <c r="O191" s="8" t="s">
        <v>912</v>
      </c>
      <c r="P191" s="8" t="s">
        <v>913</v>
      </c>
      <c r="Q191" s="8" t="s">
        <v>193</v>
      </c>
      <c r="R191" s="8" t="s">
        <v>50</v>
      </c>
    </row>
    <row r="192" customFormat="false" ht="43.25" hidden="false" customHeight="false" outlineLevel="0" collapsed="false">
      <c r="A192" s="8" t="s">
        <v>914</v>
      </c>
      <c r="B192" s="8" t="s">
        <v>915</v>
      </c>
      <c r="C192" s="8" t="s">
        <v>916</v>
      </c>
      <c r="D192" s="8" t="s">
        <v>127</v>
      </c>
      <c r="E192" s="9" t="n">
        <v>39000</v>
      </c>
      <c r="F192" s="9" t="n">
        <v>39000</v>
      </c>
      <c r="G192" s="9" t="n">
        <f aca="false">IF(AND(ISNUMBER(E192),ISNUMBER(F192)),E192-F192,"No disponible")</f>
        <v>0</v>
      </c>
      <c r="H192" s="8" t="s">
        <v>64</v>
      </c>
      <c r="I192" s="8" t="s">
        <v>42</v>
      </c>
      <c r="J192" s="8" t="s">
        <v>43</v>
      </c>
      <c r="K192" s="8" t="s">
        <v>44</v>
      </c>
      <c r="L192" s="8" t="s">
        <v>45</v>
      </c>
      <c r="M192" s="8" t="s">
        <v>6</v>
      </c>
      <c r="N192" s="8" t="s">
        <v>46</v>
      </c>
      <c r="O192" s="8" t="s">
        <v>917</v>
      </c>
      <c r="P192" s="8" t="s">
        <v>918</v>
      </c>
      <c r="Q192" s="8" t="s">
        <v>49</v>
      </c>
      <c r="R192" s="8" t="s">
        <v>50</v>
      </c>
    </row>
    <row r="193" customFormat="false" ht="43.25" hidden="false" customHeight="false" outlineLevel="0" collapsed="false">
      <c r="A193" s="8" t="s">
        <v>914</v>
      </c>
      <c r="B193" s="8" t="s">
        <v>915</v>
      </c>
      <c r="C193" s="8" t="s">
        <v>919</v>
      </c>
      <c r="D193" s="8" t="s">
        <v>127</v>
      </c>
      <c r="E193" s="9" t="n">
        <v>19500</v>
      </c>
      <c r="F193" s="9" t="n">
        <v>19500</v>
      </c>
      <c r="G193" s="9" t="n">
        <f aca="false">IF(AND(ISNUMBER(E193),ISNUMBER(F193)),E193-F193,"No disponible")</f>
        <v>0</v>
      </c>
      <c r="H193" s="8" t="s">
        <v>64</v>
      </c>
      <c r="I193" s="8" t="s">
        <v>42</v>
      </c>
      <c r="J193" s="8" t="s">
        <v>43</v>
      </c>
      <c r="K193" s="8" t="s">
        <v>44</v>
      </c>
      <c r="L193" s="8" t="s">
        <v>45</v>
      </c>
      <c r="M193" s="8" t="s">
        <v>6</v>
      </c>
      <c r="N193" s="8" t="s">
        <v>46</v>
      </c>
      <c r="O193" s="8" t="s">
        <v>920</v>
      </c>
      <c r="P193" s="8" t="s">
        <v>921</v>
      </c>
      <c r="Q193" s="8" t="s">
        <v>49</v>
      </c>
      <c r="R193" s="8" t="s">
        <v>50</v>
      </c>
    </row>
    <row r="194" customFormat="false" ht="32.8" hidden="false" customHeight="false" outlineLevel="0" collapsed="false">
      <c r="A194" s="8" t="s">
        <v>922</v>
      </c>
      <c r="B194" s="8" t="s">
        <v>923</v>
      </c>
      <c r="C194" s="8" t="s">
        <v>924</v>
      </c>
      <c r="D194" s="8" t="s">
        <v>925</v>
      </c>
      <c r="E194" s="9" t="n">
        <v>3200000</v>
      </c>
      <c r="F194" s="9" t="n">
        <v>3200000</v>
      </c>
      <c r="G194" s="9" t="n">
        <f aca="false">IF(AND(ISNUMBER(E194),ISNUMBER(F194)),E194-F194,"No disponible")</f>
        <v>0</v>
      </c>
      <c r="H194" s="8" t="s">
        <v>926</v>
      </c>
      <c r="I194" s="8" t="s">
        <v>56</v>
      </c>
      <c r="J194" s="8" t="s">
        <v>43</v>
      </c>
      <c r="K194" s="8" t="s">
        <v>107</v>
      </c>
      <c r="L194" s="8" t="s">
        <v>45</v>
      </c>
      <c r="M194" s="8" t="s">
        <v>108</v>
      </c>
      <c r="N194" s="8" t="s">
        <v>46</v>
      </c>
      <c r="O194" s="8" t="s">
        <v>927</v>
      </c>
      <c r="P194" s="8" t="s">
        <v>928</v>
      </c>
      <c r="Q194" s="8" t="s">
        <v>59</v>
      </c>
      <c r="R194" s="8" t="s">
        <v>111</v>
      </c>
    </row>
    <row r="195" customFormat="false" ht="22.35" hidden="false" customHeight="false" outlineLevel="0" collapsed="false">
      <c r="A195" s="8" t="s">
        <v>929</v>
      </c>
      <c r="B195" s="8" t="s">
        <v>930</v>
      </c>
      <c r="C195" s="8" t="s">
        <v>931</v>
      </c>
      <c r="D195" s="8" t="s">
        <v>86</v>
      </c>
      <c r="E195" s="9" t="n">
        <v>20000</v>
      </c>
      <c r="F195" s="9" t="s">
        <v>87</v>
      </c>
      <c r="G195" s="9" t="str">
        <f aca="false">IF(AND(ISNUMBER(E195),ISNUMBER(F195)),E195-F195,"No disponible")</f>
        <v>No disponible</v>
      </c>
      <c r="H195" s="8" t="s">
        <v>86</v>
      </c>
      <c r="I195" s="8" t="s">
        <v>56</v>
      </c>
      <c r="J195" s="8" t="s">
        <v>87</v>
      </c>
      <c r="K195" s="8" t="s">
        <v>140</v>
      </c>
      <c r="L195" s="8" t="s">
        <v>141</v>
      </c>
      <c r="M195" s="8" t="s">
        <v>82</v>
      </c>
      <c r="N195" s="8" t="s">
        <v>46</v>
      </c>
      <c r="O195" s="8" t="s">
        <v>87</v>
      </c>
      <c r="P195" s="8"/>
      <c r="Q195" s="8" t="s">
        <v>87</v>
      </c>
      <c r="R195" s="8" t="s">
        <v>86</v>
      </c>
    </row>
    <row r="196" customFormat="false" ht="22.35" hidden="false" customHeight="false" outlineLevel="0" collapsed="false">
      <c r="A196" s="8" t="s">
        <v>929</v>
      </c>
      <c r="B196" s="8" t="s">
        <v>930</v>
      </c>
      <c r="C196" s="8" t="s">
        <v>932</v>
      </c>
      <c r="D196" s="8" t="s">
        <v>86</v>
      </c>
      <c r="E196" s="9" t="n">
        <v>20000</v>
      </c>
      <c r="F196" s="9" t="s">
        <v>87</v>
      </c>
      <c r="G196" s="9" t="str">
        <f aca="false">IF(AND(ISNUMBER(E196),ISNUMBER(F196)),E196-F196,"No disponible")</f>
        <v>No disponible</v>
      </c>
      <c r="H196" s="8" t="s">
        <v>86</v>
      </c>
      <c r="I196" s="8" t="s">
        <v>56</v>
      </c>
      <c r="J196" s="8" t="s">
        <v>87</v>
      </c>
      <c r="K196" s="8" t="s">
        <v>140</v>
      </c>
      <c r="L196" s="8" t="s">
        <v>141</v>
      </c>
      <c r="M196" s="8" t="s">
        <v>82</v>
      </c>
      <c r="N196" s="8" t="s">
        <v>46</v>
      </c>
      <c r="O196" s="8" t="s">
        <v>87</v>
      </c>
      <c r="P196" s="8"/>
      <c r="Q196" s="8" t="s">
        <v>87</v>
      </c>
      <c r="R196" s="8" t="s">
        <v>86</v>
      </c>
    </row>
    <row r="197" customFormat="false" ht="22.35" hidden="false" customHeight="false" outlineLevel="0" collapsed="false">
      <c r="A197" s="8" t="s">
        <v>929</v>
      </c>
      <c r="B197" s="8" t="s">
        <v>930</v>
      </c>
      <c r="C197" s="8" t="s">
        <v>933</v>
      </c>
      <c r="D197" s="8" t="s">
        <v>86</v>
      </c>
      <c r="E197" s="9" t="n">
        <v>20000</v>
      </c>
      <c r="F197" s="9" t="s">
        <v>87</v>
      </c>
      <c r="G197" s="9" t="str">
        <f aca="false">IF(AND(ISNUMBER(E197),ISNUMBER(F197)),E197-F197,"No disponible")</f>
        <v>No disponible</v>
      </c>
      <c r="H197" s="8" t="s">
        <v>86</v>
      </c>
      <c r="I197" s="8" t="s">
        <v>56</v>
      </c>
      <c r="J197" s="8" t="s">
        <v>87</v>
      </c>
      <c r="K197" s="8" t="s">
        <v>140</v>
      </c>
      <c r="L197" s="8" t="s">
        <v>141</v>
      </c>
      <c r="M197" s="8" t="s">
        <v>82</v>
      </c>
      <c r="N197" s="8" t="s">
        <v>46</v>
      </c>
      <c r="O197" s="8" t="s">
        <v>87</v>
      </c>
      <c r="P197" s="8"/>
      <c r="Q197" s="8" t="s">
        <v>87</v>
      </c>
      <c r="R197" s="8" t="s">
        <v>86</v>
      </c>
    </row>
    <row r="198" customFormat="false" ht="32.8" hidden="false" customHeight="false" outlineLevel="0" collapsed="false">
      <c r="A198" s="8" t="s">
        <v>934</v>
      </c>
      <c r="B198" s="8" t="s">
        <v>935</v>
      </c>
      <c r="C198" s="8" t="s">
        <v>936</v>
      </c>
      <c r="D198" s="8" t="s">
        <v>127</v>
      </c>
      <c r="E198" s="9" t="n">
        <v>180000</v>
      </c>
      <c r="F198" s="9" t="n">
        <v>180000</v>
      </c>
      <c r="G198" s="9" t="n">
        <f aca="false">IF(AND(ISNUMBER(E198),ISNUMBER(F198)),E198-F198,"No disponible")</f>
        <v>0</v>
      </c>
      <c r="H198" s="8" t="s">
        <v>64</v>
      </c>
      <c r="I198" s="8" t="s">
        <v>65</v>
      </c>
      <c r="J198" s="8" t="s">
        <v>43</v>
      </c>
      <c r="K198" s="8" t="s">
        <v>190</v>
      </c>
      <c r="L198" s="8" t="s">
        <v>45</v>
      </c>
      <c r="M198" s="8" t="s">
        <v>6</v>
      </c>
      <c r="N198" s="8" t="s">
        <v>46</v>
      </c>
      <c r="O198" s="8" t="s">
        <v>937</v>
      </c>
      <c r="P198" s="8" t="s">
        <v>938</v>
      </c>
      <c r="Q198" s="8" t="s">
        <v>193</v>
      </c>
      <c r="R198" s="8" t="s">
        <v>50</v>
      </c>
    </row>
    <row r="199" customFormat="false" ht="43.25" hidden="false" customHeight="false" outlineLevel="0" collapsed="false">
      <c r="A199" s="8" t="s">
        <v>939</v>
      </c>
      <c r="B199" s="8" t="s">
        <v>940</v>
      </c>
      <c r="C199" s="8" t="s">
        <v>941</v>
      </c>
      <c r="D199" s="8" t="s">
        <v>93</v>
      </c>
      <c r="E199" s="9" t="n">
        <v>9377</v>
      </c>
      <c r="F199" s="9" t="n">
        <v>9377</v>
      </c>
      <c r="G199" s="9" t="n">
        <f aca="false">IF(AND(ISNUMBER(E199),ISNUMBER(F199)),E199-F199,"No disponible")</f>
        <v>0</v>
      </c>
      <c r="H199" s="8" t="s">
        <v>942</v>
      </c>
      <c r="I199" s="8" t="s">
        <v>56</v>
      </c>
      <c r="J199" s="8" t="s">
        <v>43</v>
      </c>
      <c r="K199" s="8" t="s">
        <v>44</v>
      </c>
      <c r="L199" s="8" t="s">
        <v>45</v>
      </c>
      <c r="M199" s="8" t="s">
        <v>6</v>
      </c>
      <c r="N199" s="8" t="s">
        <v>46</v>
      </c>
      <c r="O199" s="8" t="s">
        <v>943</v>
      </c>
      <c r="P199" s="8" t="s">
        <v>944</v>
      </c>
      <c r="Q199" s="8" t="s">
        <v>59</v>
      </c>
      <c r="R199" s="8" t="s">
        <v>50</v>
      </c>
    </row>
    <row r="200" customFormat="false" ht="43.25" hidden="false" customHeight="false" outlineLevel="0" collapsed="false">
      <c r="A200" s="8" t="s">
        <v>945</v>
      </c>
      <c r="B200" s="8" t="s">
        <v>946</v>
      </c>
      <c r="C200" s="8" t="s">
        <v>947</v>
      </c>
      <c r="D200" s="8" t="s">
        <v>948</v>
      </c>
      <c r="E200" s="9" t="n">
        <v>206000</v>
      </c>
      <c r="F200" s="9" t="n">
        <v>206000</v>
      </c>
      <c r="G200" s="9" t="n">
        <f aca="false">IF(AND(ISNUMBER(E200),ISNUMBER(F200)),E200-F200,"No disponible")</f>
        <v>0</v>
      </c>
      <c r="H200" s="8" t="s">
        <v>949</v>
      </c>
      <c r="I200" s="8" t="s">
        <v>56</v>
      </c>
      <c r="J200" s="8" t="s">
        <v>43</v>
      </c>
      <c r="K200" s="8" t="s">
        <v>44</v>
      </c>
      <c r="L200" s="8" t="s">
        <v>45</v>
      </c>
      <c r="M200" s="8" t="s">
        <v>6</v>
      </c>
      <c r="N200" s="8" t="s">
        <v>46</v>
      </c>
      <c r="O200" s="8" t="s">
        <v>950</v>
      </c>
      <c r="P200" s="8" t="s">
        <v>951</v>
      </c>
      <c r="Q200" s="8" t="s">
        <v>59</v>
      </c>
      <c r="R200" s="8" t="s">
        <v>50</v>
      </c>
    </row>
    <row r="201" customFormat="false" ht="43.25" hidden="false" customHeight="false" outlineLevel="0" collapsed="false">
      <c r="A201" s="8" t="s">
        <v>945</v>
      </c>
      <c r="B201" s="8" t="s">
        <v>946</v>
      </c>
      <c r="C201" s="8" t="s">
        <v>952</v>
      </c>
      <c r="D201" s="8" t="s">
        <v>127</v>
      </c>
      <c r="E201" s="9" t="n">
        <v>50300</v>
      </c>
      <c r="F201" s="9" t="n">
        <v>50300</v>
      </c>
      <c r="G201" s="9" t="n">
        <f aca="false">IF(AND(ISNUMBER(E201),ISNUMBER(F201)),E201-F201,"No disponible")</f>
        <v>0</v>
      </c>
      <c r="H201" s="8" t="s">
        <v>64</v>
      </c>
      <c r="I201" s="8" t="s">
        <v>56</v>
      </c>
      <c r="J201" s="8" t="s">
        <v>43</v>
      </c>
      <c r="K201" s="8" t="s">
        <v>44</v>
      </c>
      <c r="L201" s="8" t="s">
        <v>45</v>
      </c>
      <c r="M201" s="8" t="s">
        <v>6</v>
      </c>
      <c r="N201" s="8" t="s">
        <v>46</v>
      </c>
      <c r="O201" s="8" t="s">
        <v>953</v>
      </c>
      <c r="P201" s="8" t="s">
        <v>954</v>
      </c>
      <c r="Q201" s="8" t="s">
        <v>59</v>
      </c>
      <c r="R201" s="8" t="s">
        <v>50</v>
      </c>
    </row>
    <row r="202" customFormat="false" ht="32.8" hidden="false" customHeight="false" outlineLevel="0" collapsed="false">
      <c r="A202" s="8" t="s">
        <v>945</v>
      </c>
      <c r="B202" s="8" t="s">
        <v>946</v>
      </c>
      <c r="C202" s="8" t="s">
        <v>955</v>
      </c>
      <c r="D202" s="8" t="s">
        <v>127</v>
      </c>
      <c r="E202" s="9" t="n">
        <v>46000</v>
      </c>
      <c r="F202" s="9" t="n">
        <v>46000</v>
      </c>
      <c r="G202" s="9" t="n">
        <f aca="false">IF(AND(ISNUMBER(E202),ISNUMBER(F202)),E202-F202,"No disponible")</f>
        <v>0</v>
      </c>
      <c r="H202" s="8" t="s">
        <v>64</v>
      </c>
      <c r="I202" s="8" t="s">
        <v>56</v>
      </c>
      <c r="J202" s="8" t="s">
        <v>43</v>
      </c>
      <c r="K202" s="8" t="s">
        <v>190</v>
      </c>
      <c r="L202" s="8" t="s">
        <v>45</v>
      </c>
      <c r="M202" s="8" t="s">
        <v>6</v>
      </c>
      <c r="N202" s="8" t="s">
        <v>46</v>
      </c>
      <c r="O202" s="8" t="s">
        <v>956</v>
      </c>
      <c r="P202" s="8" t="s">
        <v>957</v>
      </c>
      <c r="Q202" s="8" t="s">
        <v>193</v>
      </c>
      <c r="R202" s="8" t="s">
        <v>50</v>
      </c>
    </row>
    <row r="203" customFormat="false" ht="43.25" hidden="false" customHeight="false" outlineLevel="0" collapsed="false">
      <c r="A203" s="8" t="s">
        <v>945</v>
      </c>
      <c r="B203" s="8" t="s">
        <v>946</v>
      </c>
      <c r="C203" s="8" t="s">
        <v>958</v>
      </c>
      <c r="D203" s="8" t="s">
        <v>127</v>
      </c>
      <c r="E203" s="9" t="n">
        <v>59600</v>
      </c>
      <c r="F203" s="9" t="n">
        <v>59600</v>
      </c>
      <c r="G203" s="9" t="n">
        <f aca="false">IF(AND(ISNUMBER(E203),ISNUMBER(F203)),E203-F203,"No disponible")</f>
        <v>0</v>
      </c>
      <c r="H203" s="8" t="s">
        <v>64</v>
      </c>
      <c r="I203" s="8" t="s">
        <v>56</v>
      </c>
      <c r="J203" s="8" t="s">
        <v>43</v>
      </c>
      <c r="K203" s="8" t="s">
        <v>44</v>
      </c>
      <c r="L203" s="8" t="s">
        <v>45</v>
      </c>
      <c r="M203" s="8" t="s">
        <v>6</v>
      </c>
      <c r="N203" s="8" t="s">
        <v>46</v>
      </c>
      <c r="O203" s="8" t="s">
        <v>959</v>
      </c>
      <c r="P203" s="8" t="s">
        <v>960</v>
      </c>
      <c r="Q203" s="8" t="s">
        <v>59</v>
      </c>
      <c r="R203" s="8" t="s">
        <v>50</v>
      </c>
    </row>
    <row r="204" customFormat="false" ht="32.8" hidden="false" customHeight="false" outlineLevel="0" collapsed="false">
      <c r="A204" s="8" t="s">
        <v>945</v>
      </c>
      <c r="B204" s="8" t="s">
        <v>946</v>
      </c>
      <c r="C204" s="8" t="s">
        <v>961</v>
      </c>
      <c r="D204" s="8" t="s">
        <v>962</v>
      </c>
      <c r="E204" s="9" t="n">
        <v>59600</v>
      </c>
      <c r="F204" s="9" t="n">
        <v>119200</v>
      </c>
      <c r="G204" s="9" t="n">
        <f aca="false">IF(AND(ISNUMBER(E204),ISNUMBER(F204)),E204-F204,"No disponible")</f>
        <v>-59600</v>
      </c>
      <c r="H204" s="8" t="s">
        <v>64</v>
      </c>
      <c r="I204" s="8" t="s">
        <v>56</v>
      </c>
      <c r="J204" s="8" t="s">
        <v>43</v>
      </c>
      <c r="K204" s="8" t="s">
        <v>190</v>
      </c>
      <c r="L204" s="8" t="s">
        <v>963</v>
      </c>
      <c r="M204" s="8" t="s">
        <v>6</v>
      </c>
      <c r="N204" s="8" t="s">
        <v>46</v>
      </c>
      <c r="O204" s="8" t="s">
        <v>964</v>
      </c>
      <c r="P204" s="8" t="s">
        <v>965</v>
      </c>
      <c r="Q204" s="8" t="s">
        <v>193</v>
      </c>
      <c r="R204" s="8" t="s">
        <v>50</v>
      </c>
    </row>
    <row r="205" customFormat="false" ht="32.8" hidden="false" customHeight="false" outlineLevel="0" collapsed="false">
      <c r="A205" s="8" t="s">
        <v>945</v>
      </c>
      <c r="B205" s="8" t="s">
        <v>946</v>
      </c>
      <c r="C205" s="8" t="s">
        <v>966</v>
      </c>
      <c r="D205" s="8" t="s">
        <v>127</v>
      </c>
      <c r="E205" s="9" t="n">
        <v>63700</v>
      </c>
      <c r="F205" s="9" t="n">
        <v>63700</v>
      </c>
      <c r="G205" s="9" t="n">
        <f aca="false">IF(AND(ISNUMBER(E205),ISNUMBER(F205)),E205-F205,"No disponible")</f>
        <v>0</v>
      </c>
      <c r="H205" s="8" t="s">
        <v>64</v>
      </c>
      <c r="I205" s="8" t="s">
        <v>56</v>
      </c>
      <c r="J205" s="8" t="s">
        <v>43</v>
      </c>
      <c r="K205" s="8" t="s">
        <v>190</v>
      </c>
      <c r="L205" s="8" t="s">
        <v>45</v>
      </c>
      <c r="M205" s="8" t="s">
        <v>6</v>
      </c>
      <c r="N205" s="8" t="s">
        <v>46</v>
      </c>
      <c r="O205" s="8" t="s">
        <v>967</v>
      </c>
      <c r="P205" s="8" t="s">
        <v>968</v>
      </c>
      <c r="Q205" s="8" t="s">
        <v>193</v>
      </c>
      <c r="R205" s="8" t="s">
        <v>50</v>
      </c>
    </row>
    <row r="206" customFormat="false" ht="32.8" hidden="false" customHeight="false" outlineLevel="0" collapsed="false">
      <c r="A206" s="8" t="s">
        <v>945</v>
      </c>
      <c r="B206" s="8" t="s">
        <v>946</v>
      </c>
      <c r="C206" s="8" t="s">
        <v>969</v>
      </c>
      <c r="D206" s="8" t="s">
        <v>127</v>
      </c>
      <c r="E206" s="9" t="n">
        <v>53000</v>
      </c>
      <c r="F206" s="9" t="n">
        <v>53000</v>
      </c>
      <c r="G206" s="9" t="n">
        <f aca="false">IF(AND(ISNUMBER(E206),ISNUMBER(F206)),E206-F206,"No disponible")</f>
        <v>0</v>
      </c>
      <c r="H206" s="8" t="s">
        <v>64</v>
      </c>
      <c r="I206" s="8" t="s">
        <v>56</v>
      </c>
      <c r="J206" s="8" t="s">
        <v>43</v>
      </c>
      <c r="K206" s="8" t="s">
        <v>190</v>
      </c>
      <c r="L206" s="8" t="s">
        <v>45</v>
      </c>
      <c r="M206" s="8" t="s">
        <v>6</v>
      </c>
      <c r="N206" s="8" t="s">
        <v>46</v>
      </c>
      <c r="O206" s="8" t="s">
        <v>970</v>
      </c>
      <c r="P206" s="8" t="s">
        <v>971</v>
      </c>
      <c r="Q206" s="8" t="s">
        <v>193</v>
      </c>
      <c r="R206" s="8" t="s">
        <v>50</v>
      </c>
    </row>
    <row r="207" customFormat="false" ht="32.8" hidden="false" customHeight="false" outlineLevel="0" collapsed="false">
      <c r="A207" s="8" t="s">
        <v>945</v>
      </c>
      <c r="B207" s="8" t="s">
        <v>946</v>
      </c>
      <c r="C207" s="8" t="s">
        <v>972</v>
      </c>
      <c r="D207" s="8" t="s">
        <v>127</v>
      </c>
      <c r="E207" s="9" t="n">
        <v>50500</v>
      </c>
      <c r="F207" s="9" t="n">
        <v>50500</v>
      </c>
      <c r="G207" s="9" t="n">
        <f aca="false">IF(AND(ISNUMBER(E207),ISNUMBER(F207)),E207-F207,"No disponible")</f>
        <v>0</v>
      </c>
      <c r="H207" s="8" t="s">
        <v>64</v>
      </c>
      <c r="I207" s="8" t="s">
        <v>56</v>
      </c>
      <c r="J207" s="8" t="s">
        <v>43</v>
      </c>
      <c r="K207" s="8" t="s">
        <v>190</v>
      </c>
      <c r="L207" s="8" t="s">
        <v>45</v>
      </c>
      <c r="M207" s="8" t="s">
        <v>6</v>
      </c>
      <c r="N207" s="8" t="s">
        <v>46</v>
      </c>
      <c r="O207" s="8" t="s">
        <v>973</v>
      </c>
      <c r="P207" s="8" t="s">
        <v>974</v>
      </c>
      <c r="Q207" s="8" t="s">
        <v>193</v>
      </c>
      <c r="R207" s="8" t="s">
        <v>50</v>
      </c>
    </row>
    <row r="208" customFormat="false" ht="43.25" hidden="false" customHeight="false" outlineLevel="0" collapsed="false">
      <c r="A208" s="8" t="s">
        <v>975</v>
      </c>
      <c r="B208" s="8" t="s">
        <v>976</v>
      </c>
      <c r="C208" s="8" t="s">
        <v>977</v>
      </c>
      <c r="D208" s="8" t="s">
        <v>159</v>
      </c>
      <c r="E208" s="9" t="n">
        <v>1818000</v>
      </c>
      <c r="F208" s="9" t="n">
        <v>1818000</v>
      </c>
      <c r="G208" s="9" t="n">
        <f aca="false">IF(AND(ISNUMBER(E208),ISNUMBER(F208)),E208-F208,"No disponible")</f>
        <v>0</v>
      </c>
      <c r="H208" s="8" t="s">
        <v>978</v>
      </c>
      <c r="I208" s="8" t="s">
        <v>56</v>
      </c>
      <c r="J208" s="8" t="s">
        <v>43</v>
      </c>
      <c r="K208" s="8" t="s">
        <v>44</v>
      </c>
      <c r="L208" s="8" t="s">
        <v>45</v>
      </c>
      <c r="M208" s="8" t="s">
        <v>6</v>
      </c>
      <c r="N208" s="8" t="s">
        <v>46</v>
      </c>
      <c r="O208" s="8" t="s">
        <v>979</v>
      </c>
      <c r="P208" s="8" t="s">
        <v>980</v>
      </c>
      <c r="Q208" s="8" t="s">
        <v>59</v>
      </c>
      <c r="R208" s="8" t="s">
        <v>50</v>
      </c>
    </row>
    <row r="209" customFormat="false" ht="32.8" hidden="false" customHeight="false" outlineLevel="0" collapsed="false">
      <c r="A209" s="8" t="s">
        <v>975</v>
      </c>
      <c r="B209" s="8" t="s">
        <v>976</v>
      </c>
      <c r="C209" s="8" t="s">
        <v>981</v>
      </c>
      <c r="D209" s="8" t="s">
        <v>982</v>
      </c>
      <c r="E209" s="9" t="n">
        <v>838000</v>
      </c>
      <c r="F209" s="9" t="n">
        <v>429475</v>
      </c>
      <c r="G209" s="9" t="n">
        <f aca="false">IF(AND(ISNUMBER(E209),ISNUMBER(F209)),E209-F209,"No disponible")</f>
        <v>408525</v>
      </c>
      <c r="H209" s="8" t="s">
        <v>983</v>
      </c>
      <c r="I209" s="8" t="s">
        <v>56</v>
      </c>
      <c r="J209" s="8" t="s">
        <v>43</v>
      </c>
      <c r="K209" s="8" t="s">
        <v>81</v>
      </c>
      <c r="L209" s="8" t="s">
        <v>45</v>
      </c>
      <c r="M209" s="8" t="s">
        <v>82</v>
      </c>
      <c r="N209" s="8" t="s">
        <v>46</v>
      </c>
      <c r="O209" s="8" t="s">
        <v>984</v>
      </c>
      <c r="P209" s="8" t="s">
        <v>985</v>
      </c>
      <c r="Q209" s="8" t="s">
        <v>59</v>
      </c>
      <c r="R209" s="8" t="s">
        <v>50</v>
      </c>
    </row>
    <row r="210" customFormat="false" ht="32.8" hidden="false" customHeight="false" outlineLevel="0" collapsed="false">
      <c r="A210" s="8" t="s">
        <v>975</v>
      </c>
      <c r="B210" s="8" t="s">
        <v>976</v>
      </c>
      <c r="C210" s="8" t="s">
        <v>986</v>
      </c>
      <c r="D210" s="8" t="s">
        <v>159</v>
      </c>
      <c r="E210" s="9" t="n">
        <v>1818000</v>
      </c>
      <c r="F210" s="9" t="n">
        <v>1818000</v>
      </c>
      <c r="G210" s="9" t="n">
        <f aca="false">IF(AND(ISNUMBER(E210),ISNUMBER(F210)),E210-F210,"No disponible")</f>
        <v>0</v>
      </c>
      <c r="H210" s="8" t="s">
        <v>978</v>
      </c>
      <c r="I210" s="8" t="s">
        <v>65</v>
      </c>
      <c r="J210" s="8" t="s">
        <v>43</v>
      </c>
      <c r="K210" s="8" t="s">
        <v>190</v>
      </c>
      <c r="L210" s="8" t="s">
        <v>45</v>
      </c>
      <c r="M210" s="8" t="s">
        <v>6</v>
      </c>
      <c r="N210" s="8" t="s">
        <v>46</v>
      </c>
      <c r="O210" s="8" t="s">
        <v>987</v>
      </c>
      <c r="P210" s="8" t="s">
        <v>988</v>
      </c>
      <c r="Q210" s="8" t="s">
        <v>193</v>
      </c>
      <c r="R210" s="8" t="s">
        <v>50</v>
      </c>
    </row>
    <row r="211" customFormat="false" ht="43.25" hidden="false" customHeight="false" outlineLevel="0" collapsed="false">
      <c r="A211" s="8" t="s">
        <v>989</v>
      </c>
      <c r="B211" s="8" t="s">
        <v>990</v>
      </c>
      <c r="C211" s="8" t="s">
        <v>991</v>
      </c>
      <c r="D211" s="8" t="s">
        <v>992</v>
      </c>
      <c r="E211" s="9" t="n">
        <v>84300</v>
      </c>
      <c r="F211" s="9" t="n">
        <v>84300</v>
      </c>
      <c r="G211" s="9" t="n">
        <f aca="false">IF(AND(ISNUMBER(E211),ISNUMBER(F211)),E211-F211,"No disponible")</f>
        <v>0</v>
      </c>
      <c r="H211" s="8" t="s">
        <v>993</v>
      </c>
      <c r="I211" s="8" t="s">
        <v>56</v>
      </c>
      <c r="J211" s="8" t="s">
        <v>43</v>
      </c>
      <c r="K211" s="8" t="s">
        <v>44</v>
      </c>
      <c r="L211" s="8" t="s">
        <v>45</v>
      </c>
      <c r="M211" s="8" t="s">
        <v>6</v>
      </c>
      <c r="N211" s="8" t="s">
        <v>46</v>
      </c>
      <c r="O211" s="8" t="s">
        <v>994</v>
      </c>
      <c r="P211" s="8" t="s">
        <v>995</v>
      </c>
      <c r="Q211" s="8" t="s">
        <v>59</v>
      </c>
      <c r="R211" s="8" t="s">
        <v>50</v>
      </c>
    </row>
    <row r="212" customFormat="false" ht="22.35" hidden="false" customHeight="false" outlineLevel="0" collapsed="false">
      <c r="A212" s="8" t="s">
        <v>996</v>
      </c>
      <c r="B212" s="8" t="s">
        <v>997</v>
      </c>
      <c r="C212" s="8" t="s">
        <v>998</v>
      </c>
      <c r="D212" s="8" t="s">
        <v>86</v>
      </c>
      <c r="E212" s="9" t="n">
        <v>260000</v>
      </c>
      <c r="F212" s="9" t="s">
        <v>87</v>
      </c>
      <c r="G212" s="9" t="str">
        <f aca="false">IF(AND(ISNUMBER(E212),ISNUMBER(F212)),E212-F212,"No disponible")</f>
        <v>No disponible</v>
      </c>
      <c r="H212" s="8" t="s">
        <v>86</v>
      </c>
      <c r="I212" s="8" t="s">
        <v>56</v>
      </c>
      <c r="J212" s="8" t="s">
        <v>87</v>
      </c>
      <c r="K212" s="8" t="s">
        <v>140</v>
      </c>
      <c r="L212" s="8" t="s">
        <v>141</v>
      </c>
      <c r="M212" s="8" t="s">
        <v>82</v>
      </c>
      <c r="N212" s="8" t="s">
        <v>46</v>
      </c>
      <c r="O212" s="8" t="s">
        <v>87</v>
      </c>
      <c r="P212" s="8"/>
      <c r="Q212" s="8" t="s">
        <v>87</v>
      </c>
      <c r="R212" s="8" t="s">
        <v>86</v>
      </c>
    </row>
    <row r="213" customFormat="false" ht="43.25" hidden="false" customHeight="false" outlineLevel="0" collapsed="false">
      <c r="A213" s="8" t="s">
        <v>999</v>
      </c>
      <c r="B213" s="8" t="s">
        <v>1000</v>
      </c>
      <c r="C213" s="8" t="s">
        <v>1001</v>
      </c>
      <c r="D213" s="8" t="s">
        <v>220</v>
      </c>
      <c r="E213" s="9" t="n">
        <v>27000000</v>
      </c>
      <c r="F213" s="9" t="n">
        <v>27000000</v>
      </c>
      <c r="G213" s="9" t="n">
        <f aca="false">IF(AND(ISNUMBER(E213),ISNUMBER(F213)),E213-F213,"No disponible")</f>
        <v>0</v>
      </c>
      <c r="H213" s="8" t="s">
        <v>1002</v>
      </c>
      <c r="I213" s="8" t="s">
        <v>42</v>
      </c>
      <c r="J213" s="8" t="s">
        <v>43</v>
      </c>
      <c r="K213" s="8" t="s">
        <v>44</v>
      </c>
      <c r="L213" s="8" t="s">
        <v>45</v>
      </c>
      <c r="M213" s="8" t="s">
        <v>6</v>
      </c>
      <c r="N213" s="8" t="s">
        <v>46</v>
      </c>
      <c r="O213" s="8" t="s">
        <v>1003</v>
      </c>
      <c r="P213" s="8" t="s">
        <v>1004</v>
      </c>
      <c r="Q213" s="8" t="s">
        <v>59</v>
      </c>
      <c r="R213" s="8" t="s">
        <v>50</v>
      </c>
    </row>
    <row r="214" customFormat="false" ht="43.25" hidden="false" customHeight="false" outlineLevel="0" collapsed="false">
      <c r="A214" s="8" t="s">
        <v>1005</v>
      </c>
      <c r="B214" s="8" t="s">
        <v>1006</v>
      </c>
      <c r="C214" s="8" t="s">
        <v>1007</v>
      </c>
      <c r="D214" s="8" t="s">
        <v>127</v>
      </c>
      <c r="E214" s="9" t="n">
        <v>5800000</v>
      </c>
      <c r="F214" s="9" t="n">
        <v>5800000</v>
      </c>
      <c r="G214" s="9" t="n">
        <f aca="false">IF(AND(ISNUMBER(E214),ISNUMBER(F214)),E214-F214,"No disponible")</f>
        <v>0</v>
      </c>
      <c r="H214" s="8" t="s">
        <v>64</v>
      </c>
      <c r="I214" s="8" t="s">
        <v>42</v>
      </c>
      <c r="J214" s="8" t="s">
        <v>43</v>
      </c>
      <c r="K214" s="8" t="s">
        <v>44</v>
      </c>
      <c r="L214" s="8" t="s">
        <v>45</v>
      </c>
      <c r="M214" s="8" t="s">
        <v>6</v>
      </c>
      <c r="N214" s="8" t="s">
        <v>46</v>
      </c>
      <c r="O214" s="8" t="s">
        <v>1008</v>
      </c>
      <c r="P214" s="8" t="s">
        <v>1009</v>
      </c>
      <c r="Q214" s="8" t="s">
        <v>59</v>
      </c>
      <c r="R214" s="8" t="s">
        <v>50</v>
      </c>
    </row>
    <row r="215" customFormat="false" ht="32.8" hidden="false" customHeight="false" outlineLevel="0" collapsed="false">
      <c r="A215" s="8" t="s">
        <v>1010</v>
      </c>
      <c r="B215" s="8" t="s">
        <v>1011</v>
      </c>
      <c r="C215" s="8" t="s">
        <v>1012</v>
      </c>
      <c r="D215" s="8" t="s">
        <v>1013</v>
      </c>
      <c r="E215" s="9" t="n">
        <v>4000000</v>
      </c>
      <c r="F215" s="9" t="n">
        <v>4440000</v>
      </c>
      <c r="G215" s="9" t="n">
        <f aca="false">IF(AND(ISNUMBER(E215),ISNUMBER(F215)),E215-F215,"No disponible")</f>
        <v>-440000</v>
      </c>
      <c r="H215" s="8" t="s">
        <v>1014</v>
      </c>
      <c r="I215" s="8" t="s">
        <v>56</v>
      </c>
      <c r="J215" s="8" t="s">
        <v>43</v>
      </c>
      <c r="K215" s="8" t="s">
        <v>81</v>
      </c>
      <c r="L215" s="8" t="s">
        <v>45</v>
      </c>
      <c r="M215" s="8" t="s">
        <v>82</v>
      </c>
      <c r="N215" s="8" t="s">
        <v>46</v>
      </c>
      <c r="O215" s="8" t="s">
        <v>1015</v>
      </c>
      <c r="P215" s="8" t="s">
        <v>1016</v>
      </c>
      <c r="Q215" s="8" t="s">
        <v>59</v>
      </c>
      <c r="R215" s="8" t="s">
        <v>50</v>
      </c>
    </row>
    <row r="216" customFormat="false" ht="32.8" hidden="false" customHeight="false" outlineLevel="0" collapsed="false">
      <c r="A216" s="8" t="s">
        <v>1010</v>
      </c>
      <c r="B216" s="8" t="s">
        <v>1011</v>
      </c>
      <c r="C216" s="8" t="s">
        <v>1017</v>
      </c>
      <c r="D216" s="8" t="s">
        <v>1018</v>
      </c>
      <c r="E216" s="9" t="n">
        <v>17000000</v>
      </c>
      <c r="F216" s="9" t="n">
        <v>18870000</v>
      </c>
      <c r="G216" s="9" t="n">
        <f aca="false">IF(AND(ISNUMBER(E216),ISNUMBER(F216)),E216-F216,"No disponible")</f>
        <v>-1870000</v>
      </c>
      <c r="H216" s="8" t="s">
        <v>1019</v>
      </c>
      <c r="I216" s="8" t="s">
        <v>56</v>
      </c>
      <c r="J216" s="8" t="s">
        <v>43</v>
      </c>
      <c r="K216" s="8" t="s">
        <v>81</v>
      </c>
      <c r="L216" s="8" t="s">
        <v>45</v>
      </c>
      <c r="M216" s="8" t="s">
        <v>82</v>
      </c>
      <c r="N216" s="8" t="s">
        <v>46</v>
      </c>
      <c r="O216" s="8" t="s">
        <v>1020</v>
      </c>
      <c r="P216" s="8" t="s">
        <v>1021</v>
      </c>
      <c r="Q216" s="8" t="s">
        <v>59</v>
      </c>
      <c r="R216" s="8" t="s">
        <v>50</v>
      </c>
    </row>
    <row r="217" customFormat="false" ht="32.8" hidden="false" customHeight="false" outlineLevel="0" collapsed="false">
      <c r="A217" s="8" t="s">
        <v>1010</v>
      </c>
      <c r="B217" s="8" t="s">
        <v>1011</v>
      </c>
      <c r="C217" s="8" t="s">
        <v>1022</v>
      </c>
      <c r="D217" s="8" t="s">
        <v>1018</v>
      </c>
      <c r="E217" s="9" t="n">
        <v>2379000</v>
      </c>
      <c r="F217" s="9" t="n">
        <v>2640690</v>
      </c>
      <c r="G217" s="9" t="n">
        <f aca="false">IF(AND(ISNUMBER(E217),ISNUMBER(F217)),E217-F217,"No disponible")</f>
        <v>-261690</v>
      </c>
      <c r="H217" s="8" t="s">
        <v>1023</v>
      </c>
      <c r="I217" s="8" t="s">
        <v>56</v>
      </c>
      <c r="J217" s="8" t="s">
        <v>43</v>
      </c>
      <c r="K217" s="8" t="s">
        <v>81</v>
      </c>
      <c r="L217" s="8" t="s">
        <v>45</v>
      </c>
      <c r="M217" s="8" t="s">
        <v>82</v>
      </c>
      <c r="N217" s="8" t="s">
        <v>46</v>
      </c>
      <c r="O217" s="8" t="s">
        <v>1024</v>
      </c>
      <c r="P217" s="8" t="s">
        <v>1025</v>
      </c>
      <c r="Q217" s="8" t="s">
        <v>59</v>
      </c>
      <c r="R217" s="8" t="s">
        <v>50</v>
      </c>
    </row>
    <row r="218" customFormat="false" ht="43.25" hidden="false" customHeight="false" outlineLevel="0" collapsed="false">
      <c r="A218" s="8" t="s">
        <v>1026</v>
      </c>
      <c r="B218" s="8" t="s">
        <v>1027</v>
      </c>
      <c r="C218" s="8" t="s">
        <v>1028</v>
      </c>
      <c r="D218" s="8" t="s">
        <v>266</v>
      </c>
      <c r="E218" s="9" t="n">
        <v>332192</v>
      </c>
      <c r="F218" s="9" t="n">
        <v>332192</v>
      </c>
      <c r="G218" s="9" t="n">
        <f aca="false">IF(AND(ISNUMBER(E218),ISNUMBER(F218)),E218-F218,"No disponible")</f>
        <v>0</v>
      </c>
      <c r="H218" s="8" t="s">
        <v>1029</v>
      </c>
      <c r="I218" s="8" t="s">
        <v>56</v>
      </c>
      <c r="J218" s="8" t="s">
        <v>43</v>
      </c>
      <c r="K218" s="8" t="s">
        <v>44</v>
      </c>
      <c r="L218" s="8" t="s">
        <v>45</v>
      </c>
      <c r="M218" s="8" t="s">
        <v>6</v>
      </c>
      <c r="N218" s="8" t="s">
        <v>46</v>
      </c>
      <c r="O218" s="8" t="s">
        <v>1030</v>
      </c>
      <c r="P218" s="8" t="s">
        <v>1031</v>
      </c>
      <c r="Q218" s="8" t="s">
        <v>59</v>
      </c>
      <c r="R218" s="8" t="s">
        <v>50</v>
      </c>
    </row>
    <row r="219" customFormat="false" ht="22.35" hidden="false" customHeight="false" outlineLevel="0" collapsed="false">
      <c r="A219" s="8" t="s">
        <v>1032</v>
      </c>
      <c r="B219" s="8" t="s">
        <v>1033</v>
      </c>
      <c r="C219" s="8" t="s">
        <v>1034</v>
      </c>
      <c r="D219" s="8" t="s">
        <v>86</v>
      </c>
      <c r="E219" s="9" t="n">
        <v>179900</v>
      </c>
      <c r="F219" s="9" t="s">
        <v>87</v>
      </c>
      <c r="G219" s="9" t="str">
        <f aca="false">IF(AND(ISNUMBER(E219),ISNUMBER(F219)),E219-F219,"No disponible")</f>
        <v>No disponible</v>
      </c>
      <c r="H219" s="8" t="s">
        <v>86</v>
      </c>
      <c r="I219" s="8" t="s">
        <v>65</v>
      </c>
      <c r="J219" s="8" t="s">
        <v>87</v>
      </c>
      <c r="K219" s="8" t="s">
        <v>88</v>
      </c>
      <c r="L219" s="8" t="s">
        <v>89</v>
      </c>
      <c r="M219" s="8" t="s">
        <v>82</v>
      </c>
      <c r="N219" s="8" t="s">
        <v>46</v>
      </c>
      <c r="O219" s="8" t="s">
        <v>87</v>
      </c>
      <c r="P219" s="8"/>
      <c r="Q219" s="8" t="s">
        <v>87</v>
      </c>
      <c r="R219" s="8" t="s">
        <v>86</v>
      </c>
    </row>
    <row r="220" customFormat="false" ht="43.25" hidden="false" customHeight="false" outlineLevel="0" collapsed="false">
      <c r="A220" s="8" t="s">
        <v>1032</v>
      </c>
      <c r="B220" s="8" t="s">
        <v>1033</v>
      </c>
      <c r="C220" s="8" t="s">
        <v>1035</v>
      </c>
      <c r="D220" s="8" t="s">
        <v>1036</v>
      </c>
      <c r="E220" s="9" t="n">
        <v>2298700</v>
      </c>
      <c r="F220" s="9" t="n">
        <v>2298701</v>
      </c>
      <c r="G220" s="9" t="n">
        <f aca="false">IF(AND(ISNUMBER(E220),ISNUMBER(F220)),E220-F220,"No disponible")</f>
        <v>-1</v>
      </c>
      <c r="H220" s="8" t="s">
        <v>1037</v>
      </c>
      <c r="I220" s="8" t="s">
        <v>56</v>
      </c>
      <c r="J220" s="8" t="s">
        <v>43</v>
      </c>
      <c r="K220" s="8" t="s">
        <v>81</v>
      </c>
      <c r="L220" s="8" t="s">
        <v>45</v>
      </c>
      <c r="M220" s="8" t="s">
        <v>82</v>
      </c>
      <c r="N220" s="8" t="s">
        <v>46</v>
      </c>
      <c r="O220" s="8" t="s">
        <v>1038</v>
      </c>
      <c r="P220" s="8" t="s">
        <v>1039</v>
      </c>
      <c r="Q220" s="8" t="s">
        <v>59</v>
      </c>
      <c r="R220" s="8" t="s">
        <v>50</v>
      </c>
    </row>
    <row r="221" customFormat="false" ht="22.35" hidden="false" customHeight="false" outlineLevel="0" collapsed="false">
      <c r="A221" s="8" t="s">
        <v>1032</v>
      </c>
      <c r="B221" s="8" t="s">
        <v>1033</v>
      </c>
      <c r="C221" s="8" t="s">
        <v>1040</v>
      </c>
      <c r="D221" s="8" t="s">
        <v>86</v>
      </c>
      <c r="E221" s="9" t="n">
        <v>199900</v>
      </c>
      <c r="F221" s="9" t="s">
        <v>87</v>
      </c>
      <c r="G221" s="9" t="str">
        <f aca="false">IF(AND(ISNUMBER(E221),ISNUMBER(F221)),E221-F221,"No disponible")</f>
        <v>No disponible</v>
      </c>
      <c r="H221" s="8" t="s">
        <v>86</v>
      </c>
      <c r="I221" s="8" t="s">
        <v>56</v>
      </c>
      <c r="J221" s="8" t="s">
        <v>87</v>
      </c>
      <c r="K221" s="8" t="s">
        <v>88</v>
      </c>
      <c r="L221" s="8" t="s">
        <v>89</v>
      </c>
      <c r="M221" s="8" t="s">
        <v>82</v>
      </c>
      <c r="N221" s="8" t="s">
        <v>46</v>
      </c>
      <c r="O221" s="8" t="s">
        <v>87</v>
      </c>
      <c r="P221" s="8"/>
      <c r="Q221" s="8" t="s">
        <v>87</v>
      </c>
      <c r="R221" s="8" t="s">
        <v>86</v>
      </c>
    </row>
    <row r="222" customFormat="false" ht="22.35" hidden="false" customHeight="false" outlineLevel="0" collapsed="false">
      <c r="A222" s="8" t="s">
        <v>1041</v>
      </c>
      <c r="B222" s="8" t="s">
        <v>1042</v>
      </c>
      <c r="C222" s="8" t="s">
        <v>1043</v>
      </c>
      <c r="D222" s="8" t="s">
        <v>86</v>
      </c>
      <c r="E222" s="9" t="n">
        <v>18000</v>
      </c>
      <c r="F222" s="9" t="s">
        <v>87</v>
      </c>
      <c r="G222" s="9" t="str">
        <f aca="false">IF(AND(ISNUMBER(E222),ISNUMBER(F222)),E222-F222,"No disponible")</f>
        <v>No disponible</v>
      </c>
      <c r="H222" s="8" t="s">
        <v>86</v>
      </c>
      <c r="I222" s="8" t="s">
        <v>56</v>
      </c>
      <c r="J222" s="8" t="s">
        <v>87</v>
      </c>
      <c r="K222" s="8" t="s">
        <v>140</v>
      </c>
      <c r="L222" s="8" t="s">
        <v>141</v>
      </c>
      <c r="M222" s="8" t="s">
        <v>82</v>
      </c>
      <c r="N222" s="8" t="s">
        <v>46</v>
      </c>
      <c r="O222" s="8" t="s">
        <v>87</v>
      </c>
      <c r="P222" s="8"/>
      <c r="Q222" s="8" t="s">
        <v>87</v>
      </c>
      <c r="R222" s="8" t="s">
        <v>86</v>
      </c>
    </row>
    <row r="223" customFormat="false" ht="43.25" hidden="false" customHeight="false" outlineLevel="0" collapsed="false">
      <c r="A223" s="8" t="s">
        <v>1044</v>
      </c>
      <c r="B223" s="8" t="s">
        <v>1045</v>
      </c>
      <c r="C223" s="8" t="s">
        <v>1046</v>
      </c>
      <c r="D223" s="8" t="s">
        <v>127</v>
      </c>
      <c r="E223" s="9" t="n">
        <v>25000</v>
      </c>
      <c r="F223" s="9" t="n">
        <v>25000</v>
      </c>
      <c r="G223" s="9" t="n">
        <f aca="false">IF(AND(ISNUMBER(E223),ISNUMBER(F223)),E223-F223,"No disponible")</f>
        <v>0</v>
      </c>
      <c r="H223" s="8" t="s">
        <v>64</v>
      </c>
      <c r="I223" s="8" t="s">
        <v>56</v>
      </c>
      <c r="J223" s="8" t="s">
        <v>43</v>
      </c>
      <c r="K223" s="8" t="s">
        <v>44</v>
      </c>
      <c r="L223" s="8" t="s">
        <v>45</v>
      </c>
      <c r="M223" s="8" t="s">
        <v>6</v>
      </c>
      <c r="N223" s="8" t="s">
        <v>46</v>
      </c>
      <c r="O223" s="8" t="s">
        <v>1047</v>
      </c>
      <c r="P223" s="8" t="s">
        <v>1048</v>
      </c>
      <c r="Q223" s="8" t="s">
        <v>59</v>
      </c>
      <c r="R223" s="8" t="s">
        <v>50</v>
      </c>
    </row>
    <row r="224" customFormat="false" ht="22.35" hidden="false" customHeight="false" outlineLevel="0" collapsed="false">
      <c r="A224" s="8" t="s">
        <v>1044</v>
      </c>
      <c r="B224" s="8" t="s">
        <v>1045</v>
      </c>
      <c r="C224" s="8" t="s">
        <v>1049</v>
      </c>
      <c r="D224" s="8" t="s">
        <v>86</v>
      </c>
      <c r="E224" s="9" t="n">
        <v>15000</v>
      </c>
      <c r="F224" s="9" t="s">
        <v>87</v>
      </c>
      <c r="G224" s="9" t="str">
        <f aca="false">IF(AND(ISNUMBER(E224),ISNUMBER(F224)),E224-F224,"No disponible")</f>
        <v>No disponible</v>
      </c>
      <c r="H224" s="8" t="s">
        <v>86</v>
      </c>
      <c r="I224" s="8" t="s">
        <v>56</v>
      </c>
      <c r="J224" s="8" t="s">
        <v>87</v>
      </c>
      <c r="K224" s="8" t="s">
        <v>88</v>
      </c>
      <c r="L224" s="8" t="s">
        <v>89</v>
      </c>
      <c r="M224" s="8" t="s">
        <v>82</v>
      </c>
      <c r="N224" s="8" t="s">
        <v>46</v>
      </c>
      <c r="O224" s="8" t="s">
        <v>87</v>
      </c>
      <c r="P224" s="8"/>
      <c r="Q224" s="8" t="s">
        <v>87</v>
      </c>
      <c r="R224" s="8" t="s">
        <v>86</v>
      </c>
    </row>
    <row r="225" customFormat="false" ht="53.7" hidden="false" customHeight="false" outlineLevel="0" collapsed="false">
      <c r="A225" s="8" t="s">
        <v>1050</v>
      </c>
      <c r="B225" s="8" t="s">
        <v>1051</v>
      </c>
      <c r="C225" s="8" t="s">
        <v>1052</v>
      </c>
      <c r="D225" s="8" t="s">
        <v>1053</v>
      </c>
      <c r="E225" s="9" t="n">
        <v>2600000</v>
      </c>
      <c r="F225" s="9" t="n">
        <v>2600000</v>
      </c>
      <c r="G225" s="9" t="n">
        <f aca="false">IF(AND(ISNUMBER(E225),ISNUMBER(F225)),E225-F225,"No disponible")</f>
        <v>0</v>
      </c>
      <c r="H225" s="8" t="s">
        <v>1054</v>
      </c>
      <c r="I225" s="8" t="s">
        <v>56</v>
      </c>
      <c r="J225" s="8" t="s">
        <v>43</v>
      </c>
      <c r="K225" s="8" t="s">
        <v>107</v>
      </c>
      <c r="L225" s="8" t="s">
        <v>45</v>
      </c>
      <c r="M225" s="8" t="s">
        <v>108</v>
      </c>
      <c r="N225" s="8" t="s">
        <v>46</v>
      </c>
      <c r="O225" s="8" t="s">
        <v>1055</v>
      </c>
      <c r="P225" s="8" t="s">
        <v>1056</v>
      </c>
      <c r="Q225" s="8" t="s">
        <v>59</v>
      </c>
      <c r="R225" s="8" t="s">
        <v>111</v>
      </c>
    </row>
    <row r="226" customFormat="false" ht="53.7" hidden="false" customHeight="false" outlineLevel="0" collapsed="false">
      <c r="A226" s="8" t="s">
        <v>1050</v>
      </c>
      <c r="B226" s="8" t="s">
        <v>1051</v>
      </c>
      <c r="C226" s="8" t="s">
        <v>1057</v>
      </c>
      <c r="D226" s="8" t="s">
        <v>1053</v>
      </c>
      <c r="E226" s="9" t="n">
        <v>1540000</v>
      </c>
      <c r="F226" s="9" t="n">
        <v>1540000</v>
      </c>
      <c r="G226" s="9" t="n">
        <f aca="false">IF(AND(ISNUMBER(E226),ISNUMBER(F226)),E226-F226,"No disponible")</f>
        <v>0</v>
      </c>
      <c r="H226" s="8" t="s">
        <v>1058</v>
      </c>
      <c r="I226" s="8" t="s">
        <v>56</v>
      </c>
      <c r="J226" s="8" t="s">
        <v>43</v>
      </c>
      <c r="K226" s="8" t="s">
        <v>107</v>
      </c>
      <c r="L226" s="8" t="s">
        <v>45</v>
      </c>
      <c r="M226" s="8" t="s">
        <v>108</v>
      </c>
      <c r="N226" s="8" t="s">
        <v>46</v>
      </c>
      <c r="O226" s="8" t="s">
        <v>1059</v>
      </c>
      <c r="P226" s="8" t="s">
        <v>1060</v>
      </c>
      <c r="Q226" s="8" t="s">
        <v>59</v>
      </c>
      <c r="R226" s="8" t="s">
        <v>111</v>
      </c>
    </row>
    <row r="227" customFormat="false" ht="32.8" hidden="false" customHeight="false" outlineLevel="0" collapsed="false">
      <c r="A227" s="8" t="s">
        <v>1061</v>
      </c>
      <c r="B227" s="8" t="s">
        <v>1062</v>
      </c>
      <c r="C227" s="8" t="s">
        <v>1063</v>
      </c>
      <c r="D227" s="8" t="s">
        <v>1064</v>
      </c>
      <c r="E227" s="9" t="n">
        <v>1500000</v>
      </c>
      <c r="F227" s="9" t="n">
        <v>1428013</v>
      </c>
      <c r="G227" s="9" t="n">
        <f aca="false">IF(AND(ISNUMBER(E227),ISNUMBER(F227)),E227-F227,"No disponible")</f>
        <v>71987</v>
      </c>
      <c r="H227" s="8" t="s">
        <v>1065</v>
      </c>
      <c r="I227" s="8" t="s">
        <v>42</v>
      </c>
      <c r="J227" s="8" t="s">
        <v>43</v>
      </c>
      <c r="K227" s="8" t="s">
        <v>81</v>
      </c>
      <c r="L227" s="8" t="s">
        <v>45</v>
      </c>
      <c r="M227" s="8" t="s">
        <v>82</v>
      </c>
      <c r="N227" s="8" t="s">
        <v>46</v>
      </c>
      <c r="O227" s="8" t="s">
        <v>1066</v>
      </c>
      <c r="P227" s="8" t="s">
        <v>1067</v>
      </c>
      <c r="Q227" s="8" t="s">
        <v>59</v>
      </c>
      <c r="R227" s="8" t="s">
        <v>50</v>
      </c>
    </row>
    <row r="228" customFormat="false" ht="43.25" hidden="false" customHeight="false" outlineLevel="0" collapsed="false">
      <c r="A228" s="8" t="s">
        <v>1068</v>
      </c>
      <c r="B228" s="8" t="s">
        <v>1069</v>
      </c>
      <c r="C228" s="8" t="s">
        <v>1070</v>
      </c>
      <c r="D228" s="8" t="s">
        <v>1071</v>
      </c>
      <c r="E228" s="9" t="n">
        <v>495460</v>
      </c>
      <c r="F228" s="9" t="n">
        <v>495460</v>
      </c>
      <c r="G228" s="9" t="n">
        <f aca="false">IF(AND(ISNUMBER(E228),ISNUMBER(F228)),E228-F228,"No disponible")</f>
        <v>0</v>
      </c>
      <c r="H228" s="8" t="s">
        <v>1072</v>
      </c>
      <c r="I228" s="8" t="s">
        <v>56</v>
      </c>
      <c r="J228" s="8" t="s">
        <v>43</v>
      </c>
      <c r="K228" s="8" t="s">
        <v>44</v>
      </c>
      <c r="L228" s="8" t="s">
        <v>45</v>
      </c>
      <c r="M228" s="8" t="s">
        <v>6</v>
      </c>
      <c r="N228" s="8" t="s">
        <v>46</v>
      </c>
      <c r="O228" s="8" t="s">
        <v>1073</v>
      </c>
      <c r="P228" s="8" t="s">
        <v>1074</v>
      </c>
      <c r="Q228" s="8" t="s">
        <v>59</v>
      </c>
      <c r="R228" s="8" t="s">
        <v>50</v>
      </c>
    </row>
    <row r="229" customFormat="false" ht="43.25" hidden="false" customHeight="false" outlineLevel="0" collapsed="false">
      <c r="A229" s="8" t="s">
        <v>1075</v>
      </c>
      <c r="B229" s="8" t="s">
        <v>1076</v>
      </c>
      <c r="C229" s="8" t="s">
        <v>1077</v>
      </c>
      <c r="D229" s="8" t="s">
        <v>127</v>
      </c>
      <c r="E229" s="9" t="n">
        <v>65179</v>
      </c>
      <c r="F229" s="9" t="n">
        <v>65179</v>
      </c>
      <c r="G229" s="9" t="n">
        <f aca="false">IF(AND(ISNUMBER(E229),ISNUMBER(F229)),E229-F229,"No disponible")</f>
        <v>0</v>
      </c>
      <c r="H229" s="8" t="s">
        <v>64</v>
      </c>
      <c r="I229" s="8" t="s">
        <v>56</v>
      </c>
      <c r="J229" s="8" t="s">
        <v>43</v>
      </c>
      <c r="K229" s="8" t="s">
        <v>44</v>
      </c>
      <c r="L229" s="8" t="s">
        <v>45</v>
      </c>
      <c r="M229" s="8" t="s">
        <v>6</v>
      </c>
      <c r="N229" s="8" t="s">
        <v>46</v>
      </c>
      <c r="O229" s="8" t="s">
        <v>1078</v>
      </c>
      <c r="P229" s="8" t="s">
        <v>1079</v>
      </c>
      <c r="Q229" s="8" t="s">
        <v>59</v>
      </c>
      <c r="R229" s="8" t="s">
        <v>50</v>
      </c>
    </row>
    <row r="230" customFormat="false" ht="32.8" hidden="false" customHeight="false" outlineLevel="0" collapsed="false">
      <c r="A230" s="8" t="s">
        <v>1075</v>
      </c>
      <c r="B230" s="8" t="s">
        <v>1076</v>
      </c>
      <c r="C230" s="8" t="s">
        <v>1080</v>
      </c>
      <c r="D230" s="8" t="s">
        <v>127</v>
      </c>
      <c r="E230" s="9" t="n">
        <v>83903</v>
      </c>
      <c r="F230" s="9" t="n">
        <v>83903</v>
      </c>
      <c r="G230" s="9" t="n">
        <f aca="false">IF(AND(ISNUMBER(E230),ISNUMBER(F230)),E230-F230,"No disponible")</f>
        <v>0</v>
      </c>
      <c r="H230" s="8" t="s">
        <v>64</v>
      </c>
      <c r="I230" s="8" t="s">
        <v>56</v>
      </c>
      <c r="J230" s="8" t="s">
        <v>43</v>
      </c>
      <c r="K230" s="8" t="s">
        <v>190</v>
      </c>
      <c r="L230" s="8" t="s">
        <v>45</v>
      </c>
      <c r="M230" s="8" t="s">
        <v>6</v>
      </c>
      <c r="N230" s="8" t="s">
        <v>46</v>
      </c>
      <c r="O230" s="8" t="s">
        <v>1081</v>
      </c>
      <c r="P230" s="8" t="s">
        <v>1082</v>
      </c>
      <c r="Q230" s="8" t="s">
        <v>193</v>
      </c>
      <c r="R230" s="8" t="s">
        <v>50</v>
      </c>
    </row>
    <row r="231" customFormat="false" ht="22.35" hidden="false" customHeight="false" outlineLevel="0" collapsed="false">
      <c r="A231" s="8" t="s">
        <v>1083</v>
      </c>
      <c r="B231" s="8" t="s">
        <v>1084</v>
      </c>
      <c r="C231" s="8" t="s">
        <v>1085</v>
      </c>
      <c r="D231" s="8" t="s">
        <v>86</v>
      </c>
      <c r="E231" s="9" t="n">
        <v>19500</v>
      </c>
      <c r="F231" s="9" t="s">
        <v>87</v>
      </c>
      <c r="G231" s="9" t="str">
        <f aca="false">IF(AND(ISNUMBER(E231),ISNUMBER(F231)),E231-F231,"No disponible")</f>
        <v>No disponible</v>
      </c>
      <c r="H231" s="8" t="s">
        <v>86</v>
      </c>
      <c r="I231" s="8" t="s">
        <v>56</v>
      </c>
      <c r="J231" s="8" t="s">
        <v>87</v>
      </c>
      <c r="K231" s="8" t="s">
        <v>140</v>
      </c>
      <c r="L231" s="8" t="s">
        <v>141</v>
      </c>
      <c r="M231" s="8" t="s">
        <v>82</v>
      </c>
      <c r="N231" s="8" t="s">
        <v>46</v>
      </c>
      <c r="O231" s="8" t="s">
        <v>87</v>
      </c>
      <c r="P231" s="8"/>
      <c r="Q231" s="8" t="s">
        <v>87</v>
      </c>
      <c r="R231" s="8" t="s">
        <v>86</v>
      </c>
    </row>
    <row r="232" customFormat="false" ht="43.25" hidden="false" customHeight="false" outlineLevel="0" collapsed="false">
      <c r="A232" s="8" t="s">
        <v>1086</v>
      </c>
      <c r="B232" s="8" t="s">
        <v>1087</v>
      </c>
      <c r="C232" s="8" t="s">
        <v>1088</v>
      </c>
      <c r="D232" s="8" t="s">
        <v>266</v>
      </c>
      <c r="E232" s="9" t="n">
        <v>186009</v>
      </c>
      <c r="F232" s="9" t="n">
        <v>186009</v>
      </c>
      <c r="G232" s="9" t="n">
        <f aca="false">IF(AND(ISNUMBER(E232),ISNUMBER(F232)),E232-F232,"No disponible")</f>
        <v>0</v>
      </c>
      <c r="H232" s="8" t="s">
        <v>1089</v>
      </c>
      <c r="I232" s="8" t="s">
        <v>56</v>
      </c>
      <c r="J232" s="8" t="s">
        <v>43</v>
      </c>
      <c r="K232" s="8" t="s">
        <v>44</v>
      </c>
      <c r="L232" s="8" t="s">
        <v>45</v>
      </c>
      <c r="M232" s="8" t="s">
        <v>6</v>
      </c>
      <c r="N232" s="8" t="s">
        <v>46</v>
      </c>
      <c r="O232" s="8" t="s">
        <v>1090</v>
      </c>
      <c r="P232" s="8" t="s">
        <v>1091</v>
      </c>
      <c r="Q232" s="8" t="s">
        <v>59</v>
      </c>
      <c r="R232" s="8" t="s">
        <v>50</v>
      </c>
    </row>
    <row r="233" customFormat="false" ht="43.25" hidden="false" customHeight="false" outlineLevel="0" collapsed="false">
      <c r="A233" s="8" t="s">
        <v>1092</v>
      </c>
      <c r="B233" s="8" t="s">
        <v>1093</v>
      </c>
      <c r="C233" s="8" t="s">
        <v>1094</v>
      </c>
      <c r="D233" s="8" t="s">
        <v>127</v>
      </c>
      <c r="E233" s="9" t="n">
        <v>203000</v>
      </c>
      <c r="F233" s="9" t="n">
        <v>203000</v>
      </c>
      <c r="G233" s="9" t="n">
        <f aca="false">IF(AND(ISNUMBER(E233),ISNUMBER(F233)),E233-F233,"No disponible")</f>
        <v>0</v>
      </c>
      <c r="H233" s="8" t="s">
        <v>64</v>
      </c>
      <c r="I233" s="8" t="s">
        <v>42</v>
      </c>
      <c r="J233" s="8" t="s">
        <v>43</v>
      </c>
      <c r="K233" s="8" t="s">
        <v>44</v>
      </c>
      <c r="L233" s="8" t="s">
        <v>45</v>
      </c>
      <c r="M233" s="8" t="s">
        <v>6</v>
      </c>
      <c r="N233" s="8" t="s">
        <v>46</v>
      </c>
      <c r="O233" s="8" t="s">
        <v>1095</v>
      </c>
      <c r="P233" s="8" t="s">
        <v>1096</v>
      </c>
      <c r="Q233" s="8" t="s">
        <v>59</v>
      </c>
      <c r="R233" s="8" t="s">
        <v>50</v>
      </c>
    </row>
    <row r="234" customFormat="false" ht="43.25" hidden="false" customHeight="false" outlineLevel="0" collapsed="false">
      <c r="A234" s="8" t="s">
        <v>1097</v>
      </c>
      <c r="B234" s="8" t="s">
        <v>1098</v>
      </c>
      <c r="C234" s="8" t="s">
        <v>1099</v>
      </c>
      <c r="D234" s="8" t="s">
        <v>127</v>
      </c>
      <c r="E234" s="9" t="n">
        <v>23000</v>
      </c>
      <c r="F234" s="9" t="n">
        <v>23000</v>
      </c>
      <c r="G234" s="9" t="n">
        <f aca="false">IF(AND(ISNUMBER(E234),ISNUMBER(F234)),E234-F234,"No disponible")</f>
        <v>0</v>
      </c>
      <c r="H234" s="8" t="s">
        <v>64</v>
      </c>
      <c r="I234" s="8" t="s">
        <v>56</v>
      </c>
      <c r="J234" s="8" t="s">
        <v>43</v>
      </c>
      <c r="K234" s="8" t="s">
        <v>44</v>
      </c>
      <c r="L234" s="8" t="s">
        <v>45</v>
      </c>
      <c r="M234" s="8" t="s">
        <v>6</v>
      </c>
      <c r="N234" s="8" t="s">
        <v>46</v>
      </c>
      <c r="O234" s="8" t="s">
        <v>1100</v>
      </c>
      <c r="P234" s="8" t="s">
        <v>1101</v>
      </c>
      <c r="Q234" s="8" t="s">
        <v>59</v>
      </c>
      <c r="R234" s="8" t="s">
        <v>50</v>
      </c>
    </row>
    <row r="235" customFormat="false" ht="32.8" hidden="false" customHeight="false" outlineLevel="0" collapsed="false">
      <c r="A235" s="8" t="s">
        <v>1097</v>
      </c>
      <c r="B235" s="8" t="s">
        <v>1098</v>
      </c>
      <c r="C235" s="8" t="s">
        <v>1102</v>
      </c>
      <c r="D235" s="8" t="s">
        <v>1103</v>
      </c>
      <c r="E235" s="9" t="n">
        <v>23000</v>
      </c>
      <c r="F235" s="9" t="n">
        <v>69000</v>
      </c>
      <c r="G235" s="9" t="n">
        <f aca="false">IF(AND(ISNUMBER(E235),ISNUMBER(F235)),E235-F235,"No disponible")</f>
        <v>-46000</v>
      </c>
      <c r="H235" s="8" t="s">
        <v>64</v>
      </c>
      <c r="I235" s="8" t="s">
        <v>56</v>
      </c>
      <c r="J235" s="8" t="s">
        <v>43</v>
      </c>
      <c r="K235" s="8" t="s">
        <v>190</v>
      </c>
      <c r="L235" s="8" t="s">
        <v>1104</v>
      </c>
      <c r="M235" s="8" t="s">
        <v>6</v>
      </c>
      <c r="N235" s="8" t="s">
        <v>46</v>
      </c>
      <c r="O235" s="8" t="s">
        <v>1105</v>
      </c>
      <c r="P235" s="8" t="s">
        <v>1106</v>
      </c>
      <c r="Q235" s="8" t="s">
        <v>193</v>
      </c>
      <c r="R235" s="8" t="s">
        <v>50</v>
      </c>
    </row>
    <row r="236" customFormat="false" ht="43.25" hidden="false" customHeight="false" outlineLevel="0" collapsed="false">
      <c r="A236" s="8" t="s">
        <v>1097</v>
      </c>
      <c r="B236" s="8" t="s">
        <v>1098</v>
      </c>
      <c r="C236" s="8" t="s">
        <v>1107</v>
      </c>
      <c r="D236" s="8" t="s">
        <v>127</v>
      </c>
      <c r="E236" s="9" t="n">
        <v>33000</v>
      </c>
      <c r="F236" s="9" t="n">
        <v>33000</v>
      </c>
      <c r="G236" s="9" t="n">
        <f aca="false">IF(AND(ISNUMBER(E236),ISNUMBER(F236)),E236-F236,"No disponible")</f>
        <v>0</v>
      </c>
      <c r="H236" s="8" t="s">
        <v>64</v>
      </c>
      <c r="I236" s="8" t="s">
        <v>56</v>
      </c>
      <c r="J236" s="8" t="s">
        <v>43</v>
      </c>
      <c r="K236" s="8" t="s">
        <v>44</v>
      </c>
      <c r="L236" s="8" t="s">
        <v>45</v>
      </c>
      <c r="M236" s="8" t="s">
        <v>6</v>
      </c>
      <c r="N236" s="8" t="s">
        <v>46</v>
      </c>
      <c r="O236" s="8" t="s">
        <v>1108</v>
      </c>
      <c r="P236" s="8" t="s">
        <v>1109</v>
      </c>
      <c r="Q236" s="8" t="s">
        <v>59</v>
      </c>
      <c r="R236" s="8" t="s">
        <v>50</v>
      </c>
    </row>
    <row r="237" customFormat="false" ht="32.8" hidden="false" customHeight="false" outlineLevel="0" collapsed="false">
      <c r="A237" s="8" t="s">
        <v>1097</v>
      </c>
      <c r="B237" s="8" t="s">
        <v>1098</v>
      </c>
      <c r="C237" s="8" t="s">
        <v>1110</v>
      </c>
      <c r="D237" s="8" t="s">
        <v>127</v>
      </c>
      <c r="E237" s="9" t="n">
        <v>46000</v>
      </c>
      <c r="F237" s="9" t="n">
        <v>46000</v>
      </c>
      <c r="G237" s="9" t="n">
        <f aca="false">IF(AND(ISNUMBER(E237),ISNUMBER(F237)),E237-F237,"No disponible")</f>
        <v>0</v>
      </c>
      <c r="H237" s="8" t="s">
        <v>64</v>
      </c>
      <c r="I237" s="8" t="s">
        <v>56</v>
      </c>
      <c r="J237" s="8" t="s">
        <v>43</v>
      </c>
      <c r="K237" s="8" t="s">
        <v>190</v>
      </c>
      <c r="L237" s="8" t="s">
        <v>45</v>
      </c>
      <c r="M237" s="8" t="s">
        <v>6</v>
      </c>
      <c r="N237" s="8" t="s">
        <v>46</v>
      </c>
      <c r="O237" s="8" t="s">
        <v>1111</v>
      </c>
      <c r="P237" s="8" t="s">
        <v>1112</v>
      </c>
      <c r="Q237" s="8" t="s">
        <v>193</v>
      </c>
      <c r="R237" s="8" t="s">
        <v>50</v>
      </c>
    </row>
    <row r="238" customFormat="false" ht="22.35" hidden="false" customHeight="false" outlineLevel="0" collapsed="false">
      <c r="A238" s="8" t="s">
        <v>1097</v>
      </c>
      <c r="B238" s="8" t="s">
        <v>1098</v>
      </c>
      <c r="C238" s="8" t="s">
        <v>1113</v>
      </c>
      <c r="D238" s="8" t="s">
        <v>86</v>
      </c>
      <c r="E238" s="9" t="n">
        <v>28000</v>
      </c>
      <c r="F238" s="9" t="s">
        <v>87</v>
      </c>
      <c r="G238" s="9" t="str">
        <f aca="false">IF(AND(ISNUMBER(E238),ISNUMBER(F238)),E238-F238,"No disponible")</f>
        <v>No disponible</v>
      </c>
      <c r="H238" s="8" t="s">
        <v>86</v>
      </c>
      <c r="I238" s="8" t="s">
        <v>56</v>
      </c>
      <c r="J238" s="8" t="s">
        <v>87</v>
      </c>
      <c r="K238" s="8" t="s">
        <v>88</v>
      </c>
      <c r="L238" s="8" t="s">
        <v>89</v>
      </c>
      <c r="M238" s="8" t="s">
        <v>82</v>
      </c>
      <c r="N238" s="8" t="s">
        <v>46</v>
      </c>
      <c r="O238" s="8" t="s">
        <v>87</v>
      </c>
      <c r="P238" s="8"/>
      <c r="Q238" s="8" t="s">
        <v>87</v>
      </c>
      <c r="R238" s="8" t="s">
        <v>86</v>
      </c>
    </row>
    <row r="239" customFormat="false" ht="22.35" hidden="false" customHeight="false" outlineLevel="0" collapsed="false">
      <c r="A239" s="8" t="s">
        <v>1097</v>
      </c>
      <c r="B239" s="8" t="s">
        <v>1098</v>
      </c>
      <c r="C239" s="8" t="s">
        <v>1114</v>
      </c>
      <c r="D239" s="8" t="s">
        <v>86</v>
      </c>
      <c r="E239" s="9" t="n">
        <v>20000</v>
      </c>
      <c r="F239" s="9" t="s">
        <v>87</v>
      </c>
      <c r="G239" s="9" t="str">
        <f aca="false">IF(AND(ISNUMBER(E239),ISNUMBER(F239)),E239-F239,"No disponible")</f>
        <v>No disponible</v>
      </c>
      <c r="H239" s="8" t="s">
        <v>86</v>
      </c>
      <c r="I239" s="8" t="s">
        <v>56</v>
      </c>
      <c r="J239" s="8" t="s">
        <v>87</v>
      </c>
      <c r="K239" s="8" t="s">
        <v>88</v>
      </c>
      <c r="L239" s="8" t="s">
        <v>89</v>
      </c>
      <c r="M239" s="8" t="s">
        <v>82</v>
      </c>
      <c r="N239" s="8" t="s">
        <v>46</v>
      </c>
      <c r="O239" s="8" t="s">
        <v>87</v>
      </c>
      <c r="P239" s="8"/>
      <c r="Q239" s="8" t="s">
        <v>87</v>
      </c>
      <c r="R239" s="8" t="s">
        <v>86</v>
      </c>
    </row>
    <row r="240" customFormat="false" ht="43.25" hidden="false" customHeight="false" outlineLevel="0" collapsed="false">
      <c r="A240" s="8" t="s">
        <v>1097</v>
      </c>
      <c r="B240" s="8" t="s">
        <v>1098</v>
      </c>
      <c r="C240" s="8" t="s">
        <v>1115</v>
      </c>
      <c r="D240" s="8" t="s">
        <v>127</v>
      </c>
      <c r="E240" s="9" t="n">
        <v>26000</v>
      </c>
      <c r="F240" s="9" t="n">
        <v>26000</v>
      </c>
      <c r="G240" s="9" t="n">
        <f aca="false">IF(AND(ISNUMBER(E240),ISNUMBER(F240)),E240-F240,"No disponible")</f>
        <v>0</v>
      </c>
      <c r="H240" s="8" t="s">
        <v>64</v>
      </c>
      <c r="I240" s="8" t="s">
        <v>56</v>
      </c>
      <c r="J240" s="8" t="s">
        <v>43</v>
      </c>
      <c r="K240" s="8" t="s">
        <v>44</v>
      </c>
      <c r="L240" s="8" t="s">
        <v>45</v>
      </c>
      <c r="M240" s="8" t="s">
        <v>6</v>
      </c>
      <c r="N240" s="8" t="s">
        <v>46</v>
      </c>
      <c r="O240" s="8" t="s">
        <v>1116</v>
      </c>
      <c r="P240" s="8" t="s">
        <v>1117</v>
      </c>
      <c r="Q240" s="8" t="s">
        <v>59</v>
      </c>
      <c r="R240" s="8" t="s">
        <v>50</v>
      </c>
    </row>
    <row r="241" customFormat="false" ht="32.8" hidden="false" customHeight="false" outlineLevel="0" collapsed="false">
      <c r="A241" s="8" t="s">
        <v>1097</v>
      </c>
      <c r="B241" s="8" t="s">
        <v>1098</v>
      </c>
      <c r="C241" s="8" t="s">
        <v>1118</v>
      </c>
      <c r="D241" s="8" t="s">
        <v>1103</v>
      </c>
      <c r="E241" s="9" t="n">
        <v>23000</v>
      </c>
      <c r="F241" s="9" t="n">
        <v>69000</v>
      </c>
      <c r="G241" s="9" t="n">
        <f aca="false">IF(AND(ISNUMBER(E241),ISNUMBER(F241)),E241-F241,"No disponible")</f>
        <v>-46000</v>
      </c>
      <c r="H241" s="8" t="s">
        <v>64</v>
      </c>
      <c r="I241" s="8" t="s">
        <v>56</v>
      </c>
      <c r="J241" s="8" t="s">
        <v>43</v>
      </c>
      <c r="K241" s="8" t="s">
        <v>190</v>
      </c>
      <c r="L241" s="8" t="s">
        <v>1104</v>
      </c>
      <c r="M241" s="8" t="s">
        <v>6</v>
      </c>
      <c r="N241" s="8" t="s">
        <v>46</v>
      </c>
      <c r="O241" s="8" t="s">
        <v>1105</v>
      </c>
      <c r="P241" s="8" t="s">
        <v>1106</v>
      </c>
      <c r="Q241" s="8" t="s">
        <v>193</v>
      </c>
      <c r="R241" s="8" t="s">
        <v>50</v>
      </c>
    </row>
    <row r="242" customFormat="false" ht="43.25" hidden="false" customHeight="false" outlineLevel="0" collapsed="false">
      <c r="A242" s="8" t="s">
        <v>1097</v>
      </c>
      <c r="B242" s="8" t="s">
        <v>1098</v>
      </c>
      <c r="C242" s="8" t="s">
        <v>1119</v>
      </c>
      <c r="D242" s="8" t="s">
        <v>127</v>
      </c>
      <c r="E242" s="9" t="n">
        <v>8000</v>
      </c>
      <c r="F242" s="9" t="n">
        <v>8000</v>
      </c>
      <c r="G242" s="9" t="n">
        <f aca="false">IF(AND(ISNUMBER(E242),ISNUMBER(F242)),E242-F242,"No disponible")</f>
        <v>0</v>
      </c>
      <c r="H242" s="8" t="s">
        <v>64</v>
      </c>
      <c r="I242" s="8" t="s">
        <v>56</v>
      </c>
      <c r="J242" s="8" t="s">
        <v>43</v>
      </c>
      <c r="K242" s="8" t="s">
        <v>44</v>
      </c>
      <c r="L242" s="8" t="s">
        <v>45</v>
      </c>
      <c r="M242" s="8" t="s">
        <v>6</v>
      </c>
      <c r="N242" s="8" t="s">
        <v>46</v>
      </c>
      <c r="O242" s="8" t="s">
        <v>1120</v>
      </c>
      <c r="P242" s="8" t="s">
        <v>1121</v>
      </c>
      <c r="Q242" s="8" t="s">
        <v>59</v>
      </c>
      <c r="R242" s="8" t="s">
        <v>50</v>
      </c>
    </row>
    <row r="243" customFormat="false" ht="32.8" hidden="false" customHeight="false" outlineLevel="0" collapsed="false">
      <c r="A243" s="8" t="s">
        <v>1122</v>
      </c>
      <c r="B243" s="8" t="s">
        <v>1123</v>
      </c>
      <c r="C243" s="8" t="s">
        <v>1124</v>
      </c>
      <c r="D243" s="8" t="s">
        <v>93</v>
      </c>
      <c r="E243" s="9" t="n">
        <v>110000.03</v>
      </c>
      <c r="F243" s="9" t="n">
        <v>110000</v>
      </c>
      <c r="G243" s="9" t="n">
        <f aca="false">IF(AND(ISNUMBER(E243),ISNUMBER(F243)),E243-F243,"No disponible")</f>
        <v>0.0299999999988358</v>
      </c>
      <c r="H243" s="8" t="s">
        <v>1125</v>
      </c>
      <c r="I243" s="8" t="s">
        <v>56</v>
      </c>
      <c r="J243" s="8" t="s">
        <v>43</v>
      </c>
      <c r="K243" s="8" t="s">
        <v>81</v>
      </c>
      <c r="L243" s="8" t="s">
        <v>45</v>
      </c>
      <c r="M243" s="8" t="s">
        <v>82</v>
      </c>
      <c r="N243" s="8" t="s">
        <v>46</v>
      </c>
      <c r="O243" s="8" t="s">
        <v>1126</v>
      </c>
      <c r="P243" s="8" t="s">
        <v>1127</v>
      </c>
      <c r="Q243" s="8" t="s">
        <v>59</v>
      </c>
      <c r="R243" s="8" t="s">
        <v>50</v>
      </c>
    </row>
    <row r="244" customFormat="false" ht="53.7" hidden="false" customHeight="false" outlineLevel="0" collapsed="false">
      <c r="A244" s="8" t="s">
        <v>1128</v>
      </c>
      <c r="B244" s="8" t="s">
        <v>1129</v>
      </c>
      <c r="C244" s="8" t="s">
        <v>1130</v>
      </c>
      <c r="D244" s="8" t="s">
        <v>1131</v>
      </c>
      <c r="E244" s="9" t="n">
        <v>4760000</v>
      </c>
      <c r="F244" s="9" t="n">
        <v>4760000</v>
      </c>
      <c r="G244" s="9" t="n">
        <f aca="false">IF(AND(ISNUMBER(E244),ISNUMBER(F244)),E244-F244,"No disponible")</f>
        <v>0</v>
      </c>
      <c r="H244" s="8" t="s">
        <v>1132</v>
      </c>
      <c r="I244" s="8" t="s">
        <v>56</v>
      </c>
      <c r="J244" s="8" t="s">
        <v>43</v>
      </c>
      <c r="K244" s="8" t="s">
        <v>107</v>
      </c>
      <c r="L244" s="8" t="s">
        <v>45</v>
      </c>
      <c r="M244" s="8" t="s">
        <v>108</v>
      </c>
      <c r="N244" s="8" t="s">
        <v>46</v>
      </c>
      <c r="O244" s="8" t="s">
        <v>1133</v>
      </c>
      <c r="P244" s="8" t="s">
        <v>1134</v>
      </c>
      <c r="Q244" s="8" t="s">
        <v>59</v>
      </c>
      <c r="R244" s="8" t="s">
        <v>111</v>
      </c>
    </row>
    <row r="245" customFormat="false" ht="22.35" hidden="false" customHeight="false" outlineLevel="0" collapsed="false">
      <c r="A245" s="8" t="s">
        <v>1135</v>
      </c>
      <c r="B245" s="8" t="s">
        <v>1136</v>
      </c>
      <c r="C245" s="8" t="s">
        <v>1137</v>
      </c>
      <c r="D245" s="8" t="s">
        <v>86</v>
      </c>
      <c r="E245" s="9" t="n">
        <v>8970</v>
      </c>
      <c r="F245" s="9" t="s">
        <v>87</v>
      </c>
      <c r="G245" s="9" t="str">
        <f aca="false">IF(AND(ISNUMBER(E245),ISNUMBER(F245)),E245-F245,"No disponible")</f>
        <v>No disponible</v>
      </c>
      <c r="H245" s="8" t="s">
        <v>86</v>
      </c>
      <c r="I245" s="8" t="s">
        <v>56</v>
      </c>
      <c r="J245" s="8" t="s">
        <v>87</v>
      </c>
      <c r="K245" s="8" t="s">
        <v>88</v>
      </c>
      <c r="L245" s="8" t="s">
        <v>89</v>
      </c>
      <c r="M245" s="8" t="s">
        <v>82</v>
      </c>
      <c r="N245" s="8" t="s">
        <v>46</v>
      </c>
      <c r="O245" s="8" t="s">
        <v>87</v>
      </c>
      <c r="P245" s="8"/>
      <c r="Q245" s="8" t="s">
        <v>87</v>
      </c>
      <c r="R245" s="8" t="s">
        <v>86</v>
      </c>
    </row>
    <row r="246" customFormat="false" ht="43.25" hidden="false" customHeight="false" outlineLevel="0" collapsed="false">
      <c r="A246" s="8" t="s">
        <v>1135</v>
      </c>
      <c r="B246" s="8" t="s">
        <v>1136</v>
      </c>
      <c r="C246" s="8" t="s">
        <v>1138</v>
      </c>
      <c r="D246" s="8" t="s">
        <v>1139</v>
      </c>
      <c r="E246" s="9" t="n">
        <v>437869</v>
      </c>
      <c r="F246" s="9" t="n">
        <v>437869</v>
      </c>
      <c r="G246" s="9" t="n">
        <f aca="false">IF(AND(ISNUMBER(E246),ISNUMBER(F246)),E246-F246,"No disponible")</f>
        <v>0</v>
      </c>
      <c r="H246" s="8" t="s">
        <v>1140</v>
      </c>
      <c r="I246" s="8" t="s">
        <v>56</v>
      </c>
      <c r="J246" s="8" t="s">
        <v>43</v>
      </c>
      <c r="K246" s="8" t="s">
        <v>44</v>
      </c>
      <c r="L246" s="8" t="s">
        <v>45</v>
      </c>
      <c r="M246" s="8" t="s">
        <v>6</v>
      </c>
      <c r="N246" s="8" t="s">
        <v>46</v>
      </c>
      <c r="O246" s="8" t="s">
        <v>1141</v>
      </c>
      <c r="P246" s="8" t="s">
        <v>1142</v>
      </c>
      <c r="Q246" s="8" t="s">
        <v>59</v>
      </c>
      <c r="R246" s="8" t="s">
        <v>50</v>
      </c>
    </row>
    <row r="247" customFormat="false" ht="43.25" hidden="false" customHeight="false" outlineLevel="0" collapsed="false">
      <c r="A247" s="8" t="s">
        <v>1135</v>
      </c>
      <c r="B247" s="8" t="s">
        <v>1136</v>
      </c>
      <c r="C247" s="8" t="s">
        <v>1143</v>
      </c>
      <c r="D247" s="8" t="s">
        <v>1139</v>
      </c>
      <c r="E247" s="9" t="n">
        <v>598014</v>
      </c>
      <c r="F247" s="9" t="n">
        <v>598014</v>
      </c>
      <c r="G247" s="9" t="n">
        <f aca="false">IF(AND(ISNUMBER(E247),ISNUMBER(F247)),E247-F247,"No disponible")</f>
        <v>0</v>
      </c>
      <c r="H247" s="8" t="s">
        <v>1144</v>
      </c>
      <c r="I247" s="8" t="s">
        <v>56</v>
      </c>
      <c r="J247" s="8" t="s">
        <v>43</v>
      </c>
      <c r="K247" s="8" t="s">
        <v>44</v>
      </c>
      <c r="L247" s="8" t="s">
        <v>45</v>
      </c>
      <c r="M247" s="8" t="s">
        <v>6</v>
      </c>
      <c r="N247" s="8" t="s">
        <v>46</v>
      </c>
      <c r="O247" s="8" t="s">
        <v>1145</v>
      </c>
      <c r="P247" s="8" t="s">
        <v>1146</v>
      </c>
      <c r="Q247" s="8" t="s">
        <v>59</v>
      </c>
      <c r="R247" s="8" t="s">
        <v>50</v>
      </c>
    </row>
    <row r="248" customFormat="false" ht="43.25" hidden="false" customHeight="false" outlineLevel="0" collapsed="false">
      <c r="A248" s="8" t="s">
        <v>1147</v>
      </c>
      <c r="B248" s="8" t="s">
        <v>1148</v>
      </c>
      <c r="C248" s="8" t="s">
        <v>1149</v>
      </c>
      <c r="D248" s="8" t="s">
        <v>1150</v>
      </c>
      <c r="E248" s="9" t="n">
        <v>192600</v>
      </c>
      <c r="F248" s="9" t="n">
        <v>192600</v>
      </c>
      <c r="G248" s="9" t="n">
        <f aca="false">IF(AND(ISNUMBER(E248),ISNUMBER(F248)),E248-F248,"No disponible")</f>
        <v>0</v>
      </c>
      <c r="H248" s="8" t="s">
        <v>1151</v>
      </c>
      <c r="I248" s="8" t="s">
        <v>56</v>
      </c>
      <c r="J248" s="8" t="s">
        <v>43</v>
      </c>
      <c r="K248" s="8" t="s">
        <v>44</v>
      </c>
      <c r="L248" s="8" t="s">
        <v>45</v>
      </c>
      <c r="M248" s="8" t="s">
        <v>6</v>
      </c>
      <c r="N248" s="8" t="s">
        <v>46</v>
      </c>
      <c r="O248" s="8" t="s">
        <v>1152</v>
      </c>
      <c r="P248" s="8" t="s">
        <v>1153</v>
      </c>
      <c r="Q248" s="8" t="s">
        <v>59</v>
      </c>
      <c r="R248" s="8" t="s">
        <v>50</v>
      </c>
    </row>
    <row r="249" customFormat="false" ht="43.25" hidden="false" customHeight="false" outlineLevel="0" collapsed="false">
      <c r="A249" s="8" t="s">
        <v>1154</v>
      </c>
      <c r="B249" s="8" t="s">
        <v>1155</v>
      </c>
      <c r="C249" s="8" t="s">
        <v>1156</v>
      </c>
      <c r="D249" s="8" t="s">
        <v>1157</v>
      </c>
      <c r="E249" s="9" t="n">
        <v>928210</v>
      </c>
      <c r="F249" s="9" t="n">
        <v>928210</v>
      </c>
      <c r="G249" s="9" t="n">
        <f aca="false">IF(AND(ISNUMBER(E249),ISNUMBER(F249)),E249-F249,"No disponible")</f>
        <v>0</v>
      </c>
      <c r="H249" s="8" t="s">
        <v>1158</v>
      </c>
      <c r="I249" s="8" t="s">
        <v>56</v>
      </c>
      <c r="J249" s="8" t="s">
        <v>43</v>
      </c>
      <c r="K249" s="8" t="s">
        <v>44</v>
      </c>
      <c r="L249" s="8" t="s">
        <v>45</v>
      </c>
      <c r="M249" s="8" t="s">
        <v>6</v>
      </c>
      <c r="N249" s="8" t="s">
        <v>46</v>
      </c>
      <c r="O249" s="8" t="s">
        <v>1159</v>
      </c>
      <c r="P249" s="8" t="s">
        <v>1160</v>
      </c>
      <c r="Q249" s="8" t="s">
        <v>59</v>
      </c>
      <c r="R249" s="8" t="s">
        <v>50</v>
      </c>
    </row>
    <row r="250" customFormat="false" ht="43.25" hidden="false" customHeight="false" outlineLevel="0" collapsed="false">
      <c r="A250" s="8" t="s">
        <v>1154</v>
      </c>
      <c r="B250" s="8" t="s">
        <v>1155</v>
      </c>
      <c r="C250" s="8" t="s">
        <v>1161</v>
      </c>
      <c r="D250" s="8" t="s">
        <v>1157</v>
      </c>
      <c r="E250" s="9" t="n">
        <v>1876540</v>
      </c>
      <c r="F250" s="9" t="n">
        <v>1876540</v>
      </c>
      <c r="G250" s="9" t="n">
        <f aca="false">IF(AND(ISNUMBER(E250),ISNUMBER(F250)),E250-F250,"No disponible")</f>
        <v>0</v>
      </c>
      <c r="H250" s="8" t="s">
        <v>1158</v>
      </c>
      <c r="I250" s="8" t="s">
        <v>56</v>
      </c>
      <c r="J250" s="8" t="s">
        <v>43</v>
      </c>
      <c r="K250" s="8" t="s">
        <v>44</v>
      </c>
      <c r="L250" s="8" t="s">
        <v>45</v>
      </c>
      <c r="M250" s="8" t="s">
        <v>6</v>
      </c>
      <c r="N250" s="8" t="s">
        <v>46</v>
      </c>
      <c r="O250" s="8" t="s">
        <v>1162</v>
      </c>
      <c r="P250" s="8" t="s">
        <v>1163</v>
      </c>
      <c r="Q250" s="8" t="s">
        <v>59</v>
      </c>
      <c r="R250" s="8" t="s">
        <v>50</v>
      </c>
    </row>
    <row r="251" customFormat="false" ht="22.35" hidden="false" customHeight="false" outlineLevel="0" collapsed="false">
      <c r="A251" s="8" t="s">
        <v>1164</v>
      </c>
      <c r="B251" s="8" t="s">
        <v>1165</v>
      </c>
      <c r="C251" s="8" t="s">
        <v>1166</v>
      </c>
      <c r="D251" s="8" t="s">
        <v>86</v>
      </c>
      <c r="E251" s="9" t="n">
        <v>18000</v>
      </c>
      <c r="F251" s="9" t="s">
        <v>87</v>
      </c>
      <c r="G251" s="9" t="str">
        <f aca="false">IF(AND(ISNUMBER(E251),ISNUMBER(F251)),E251-F251,"No disponible")</f>
        <v>No disponible</v>
      </c>
      <c r="H251" s="8" t="s">
        <v>86</v>
      </c>
      <c r="I251" s="8" t="s">
        <v>56</v>
      </c>
      <c r="J251" s="8" t="s">
        <v>87</v>
      </c>
      <c r="K251" s="8" t="s">
        <v>140</v>
      </c>
      <c r="L251" s="8" t="s">
        <v>141</v>
      </c>
      <c r="M251" s="8" t="s">
        <v>82</v>
      </c>
      <c r="N251" s="8" t="s">
        <v>46</v>
      </c>
      <c r="O251" s="8" t="s">
        <v>87</v>
      </c>
      <c r="P251" s="8"/>
      <c r="Q251" s="8" t="s">
        <v>87</v>
      </c>
      <c r="R251" s="8" t="s">
        <v>86</v>
      </c>
    </row>
    <row r="252" customFormat="false" ht="22.35" hidden="false" customHeight="false" outlineLevel="0" collapsed="false">
      <c r="A252" s="8" t="s">
        <v>1164</v>
      </c>
      <c r="B252" s="8" t="s">
        <v>1165</v>
      </c>
      <c r="C252" s="8" t="s">
        <v>1167</v>
      </c>
      <c r="D252" s="8" t="s">
        <v>86</v>
      </c>
      <c r="E252" s="9" t="n">
        <v>18000</v>
      </c>
      <c r="F252" s="9" t="s">
        <v>87</v>
      </c>
      <c r="G252" s="9" t="str">
        <f aca="false">IF(AND(ISNUMBER(E252),ISNUMBER(F252)),E252-F252,"No disponible")</f>
        <v>No disponible</v>
      </c>
      <c r="H252" s="8" t="s">
        <v>86</v>
      </c>
      <c r="I252" s="8" t="s">
        <v>56</v>
      </c>
      <c r="J252" s="8" t="s">
        <v>87</v>
      </c>
      <c r="K252" s="8" t="s">
        <v>140</v>
      </c>
      <c r="L252" s="8" t="s">
        <v>141</v>
      </c>
      <c r="M252" s="8" t="s">
        <v>82</v>
      </c>
      <c r="N252" s="8" t="s">
        <v>46</v>
      </c>
      <c r="O252" s="8" t="s">
        <v>87</v>
      </c>
      <c r="P252" s="8"/>
      <c r="Q252" s="8" t="s">
        <v>87</v>
      </c>
      <c r="R252" s="8" t="s">
        <v>86</v>
      </c>
    </row>
    <row r="253" customFormat="false" ht="32.8" hidden="false" customHeight="false" outlineLevel="0" collapsed="false">
      <c r="A253" s="8" t="s">
        <v>1168</v>
      </c>
      <c r="B253" s="8" t="s">
        <v>1169</v>
      </c>
      <c r="C253" s="8" t="s">
        <v>1170</v>
      </c>
      <c r="D253" s="8" t="s">
        <v>992</v>
      </c>
      <c r="E253" s="9" t="n">
        <v>139500</v>
      </c>
      <c r="F253" s="9" t="n">
        <v>139500</v>
      </c>
      <c r="G253" s="9" t="n">
        <f aca="false">IF(AND(ISNUMBER(E253),ISNUMBER(F253)),E253-F253,"No disponible")</f>
        <v>0</v>
      </c>
      <c r="H253" s="8" t="s">
        <v>1171</v>
      </c>
      <c r="I253" s="8" t="s">
        <v>56</v>
      </c>
      <c r="J253" s="8" t="s">
        <v>43</v>
      </c>
      <c r="K253" s="8" t="s">
        <v>107</v>
      </c>
      <c r="L253" s="8" t="s">
        <v>45</v>
      </c>
      <c r="M253" s="8" t="s">
        <v>108</v>
      </c>
      <c r="N253" s="8" t="s">
        <v>46</v>
      </c>
      <c r="O253" s="8" t="s">
        <v>1172</v>
      </c>
      <c r="P253" s="8" t="s">
        <v>1173</v>
      </c>
      <c r="Q253" s="8" t="s">
        <v>59</v>
      </c>
      <c r="R253" s="8" t="s">
        <v>111</v>
      </c>
    </row>
    <row r="254" customFormat="false" ht="32.8" hidden="false" customHeight="false" outlineLevel="0" collapsed="false">
      <c r="A254" s="8" t="s">
        <v>1168</v>
      </c>
      <c r="B254" s="8" t="s">
        <v>1169</v>
      </c>
      <c r="C254" s="8" t="s">
        <v>1174</v>
      </c>
      <c r="D254" s="8" t="s">
        <v>992</v>
      </c>
      <c r="E254" s="9" t="n">
        <v>4650300</v>
      </c>
      <c r="F254" s="9" t="n">
        <v>4650300</v>
      </c>
      <c r="G254" s="9" t="n">
        <f aca="false">IF(AND(ISNUMBER(E254),ISNUMBER(F254)),E254-F254,"No disponible")</f>
        <v>0</v>
      </c>
      <c r="H254" s="8" t="s">
        <v>1175</v>
      </c>
      <c r="I254" s="8" t="s">
        <v>56</v>
      </c>
      <c r="J254" s="8" t="s">
        <v>43</v>
      </c>
      <c r="K254" s="8" t="s">
        <v>107</v>
      </c>
      <c r="L254" s="8" t="s">
        <v>45</v>
      </c>
      <c r="M254" s="8" t="s">
        <v>108</v>
      </c>
      <c r="N254" s="8" t="s">
        <v>46</v>
      </c>
      <c r="O254" s="8" t="s">
        <v>1176</v>
      </c>
      <c r="P254" s="8" t="s">
        <v>1177</v>
      </c>
      <c r="Q254" s="8" t="s">
        <v>59</v>
      </c>
      <c r="R254" s="8" t="s">
        <v>111</v>
      </c>
    </row>
    <row r="255" customFormat="false" ht="43.25" hidden="false" customHeight="false" outlineLevel="0" collapsed="false">
      <c r="A255" s="8" t="s">
        <v>1178</v>
      </c>
      <c r="B255" s="8" t="s">
        <v>1179</v>
      </c>
      <c r="C255" s="8" t="s">
        <v>1180</v>
      </c>
      <c r="D255" s="8" t="s">
        <v>127</v>
      </c>
      <c r="E255" s="9" t="n">
        <v>4500000</v>
      </c>
      <c r="F255" s="9" t="n">
        <v>4500000</v>
      </c>
      <c r="G255" s="9" t="n">
        <f aca="false">IF(AND(ISNUMBER(E255),ISNUMBER(F255)),E255-F255,"No disponible")</f>
        <v>0</v>
      </c>
      <c r="H255" s="8" t="s">
        <v>64</v>
      </c>
      <c r="I255" s="8" t="s">
        <v>42</v>
      </c>
      <c r="J255" s="8" t="s">
        <v>43</v>
      </c>
      <c r="K255" s="8" t="s">
        <v>44</v>
      </c>
      <c r="L255" s="8" t="s">
        <v>45</v>
      </c>
      <c r="M255" s="8" t="s">
        <v>6</v>
      </c>
      <c r="N255" s="8" t="s">
        <v>46</v>
      </c>
      <c r="O255" s="8" t="s">
        <v>1181</v>
      </c>
      <c r="P255" s="8" t="s">
        <v>1182</v>
      </c>
      <c r="Q255" s="8" t="s">
        <v>59</v>
      </c>
      <c r="R255" s="8" t="s">
        <v>50</v>
      </c>
    </row>
    <row r="256" customFormat="false" ht="43.25" hidden="false" customHeight="false" outlineLevel="0" collapsed="false">
      <c r="A256" s="8" t="s">
        <v>1178</v>
      </c>
      <c r="B256" s="8" t="s">
        <v>1179</v>
      </c>
      <c r="C256" s="8" t="s">
        <v>1183</v>
      </c>
      <c r="D256" s="8" t="s">
        <v>40</v>
      </c>
      <c r="E256" s="9" t="n">
        <v>210000</v>
      </c>
      <c r="F256" s="9" t="n">
        <v>210000</v>
      </c>
      <c r="G256" s="9" t="n">
        <f aca="false">IF(AND(ISNUMBER(E256),ISNUMBER(F256)),E256-F256,"No disponible")</f>
        <v>0</v>
      </c>
      <c r="H256" s="8" t="s">
        <v>466</v>
      </c>
      <c r="I256" s="8" t="s">
        <v>42</v>
      </c>
      <c r="J256" s="8" t="s">
        <v>43</v>
      </c>
      <c r="K256" s="8" t="s">
        <v>44</v>
      </c>
      <c r="L256" s="8" t="s">
        <v>45</v>
      </c>
      <c r="M256" s="8" t="s">
        <v>6</v>
      </c>
      <c r="N256" s="8" t="s">
        <v>46</v>
      </c>
      <c r="O256" s="8" t="s">
        <v>1184</v>
      </c>
      <c r="P256" s="8" t="s">
        <v>1185</v>
      </c>
      <c r="Q256" s="8" t="s">
        <v>59</v>
      </c>
      <c r="R256" s="8" t="s">
        <v>50</v>
      </c>
    </row>
    <row r="257" customFormat="false" ht="43.25" hidden="false" customHeight="false" outlineLevel="0" collapsed="false">
      <c r="A257" s="8" t="s">
        <v>1186</v>
      </c>
      <c r="B257" s="8" t="s">
        <v>1187</v>
      </c>
      <c r="C257" s="8" t="s">
        <v>1188</v>
      </c>
      <c r="D257" s="8" t="s">
        <v>1189</v>
      </c>
      <c r="E257" s="9" t="n">
        <v>2975000</v>
      </c>
      <c r="F257" s="9" t="n">
        <v>2975000</v>
      </c>
      <c r="G257" s="9" t="n">
        <f aca="false">IF(AND(ISNUMBER(E257),ISNUMBER(F257)),E257-F257,"No disponible")</f>
        <v>0</v>
      </c>
      <c r="H257" s="8" t="s">
        <v>1190</v>
      </c>
      <c r="I257" s="8" t="s">
        <v>56</v>
      </c>
      <c r="J257" s="8" t="s">
        <v>43</v>
      </c>
      <c r="K257" s="8" t="s">
        <v>107</v>
      </c>
      <c r="L257" s="8" t="s">
        <v>45</v>
      </c>
      <c r="M257" s="8" t="s">
        <v>108</v>
      </c>
      <c r="N257" s="8" t="s">
        <v>46</v>
      </c>
      <c r="O257" s="8" t="s">
        <v>1191</v>
      </c>
      <c r="P257" s="8" t="s">
        <v>1192</v>
      </c>
      <c r="Q257" s="8" t="s">
        <v>59</v>
      </c>
      <c r="R257" s="8" t="s">
        <v>111</v>
      </c>
    </row>
    <row r="258" customFormat="false" ht="43.25" hidden="false" customHeight="false" outlineLevel="0" collapsed="false">
      <c r="A258" s="8" t="s">
        <v>1193</v>
      </c>
      <c r="B258" s="8" t="s">
        <v>1194</v>
      </c>
      <c r="C258" s="8" t="s">
        <v>1195</v>
      </c>
      <c r="D258" s="8" t="s">
        <v>127</v>
      </c>
      <c r="E258" s="9" t="n">
        <v>500000</v>
      </c>
      <c r="F258" s="9" t="n">
        <v>500000</v>
      </c>
      <c r="G258" s="9" t="n">
        <f aca="false">IF(AND(ISNUMBER(E258),ISNUMBER(F258)),E258-F258,"No disponible")</f>
        <v>0</v>
      </c>
      <c r="H258" s="8" t="s">
        <v>64</v>
      </c>
      <c r="I258" s="8" t="s">
        <v>42</v>
      </c>
      <c r="J258" s="8" t="s">
        <v>43</v>
      </c>
      <c r="K258" s="8" t="s">
        <v>44</v>
      </c>
      <c r="L258" s="8" t="s">
        <v>45</v>
      </c>
      <c r="M258" s="8" t="s">
        <v>6</v>
      </c>
      <c r="N258" s="8" t="s">
        <v>46</v>
      </c>
      <c r="O258" s="8" t="s">
        <v>1196</v>
      </c>
      <c r="P258" s="8" t="s">
        <v>1197</v>
      </c>
      <c r="Q258" s="8" t="s">
        <v>59</v>
      </c>
      <c r="R258" s="8" t="s">
        <v>50</v>
      </c>
    </row>
    <row r="259" customFormat="false" ht="22.35" hidden="false" customHeight="false" outlineLevel="0" collapsed="false">
      <c r="A259" s="8" t="s">
        <v>1198</v>
      </c>
      <c r="B259" s="8" t="s">
        <v>1199</v>
      </c>
      <c r="C259" s="8" t="s">
        <v>1200</v>
      </c>
      <c r="D259" s="8" t="s">
        <v>86</v>
      </c>
      <c r="E259" s="9" t="n">
        <v>7160</v>
      </c>
      <c r="F259" s="9" t="s">
        <v>87</v>
      </c>
      <c r="G259" s="9" t="str">
        <f aca="false">IF(AND(ISNUMBER(E259),ISNUMBER(F259)),E259-F259,"No disponible")</f>
        <v>No disponible</v>
      </c>
      <c r="H259" s="8" t="s">
        <v>86</v>
      </c>
      <c r="I259" s="8" t="s">
        <v>56</v>
      </c>
      <c r="J259" s="8" t="s">
        <v>87</v>
      </c>
      <c r="K259" s="8" t="s">
        <v>88</v>
      </c>
      <c r="L259" s="8" t="s">
        <v>89</v>
      </c>
      <c r="M259" s="8" t="s">
        <v>82</v>
      </c>
      <c r="N259" s="8" t="s">
        <v>46</v>
      </c>
      <c r="O259" s="8" t="s">
        <v>87</v>
      </c>
      <c r="P259" s="8"/>
      <c r="Q259" s="8" t="s">
        <v>87</v>
      </c>
      <c r="R259" s="8" t="s">
        <v>86</v>
      </c>
    </row>
    <row r="260" customFormat="false" ht="22.35" hidden="false" customHeight="false" outlineLevel="0" collapsed="false">
      <c r="A260" s="8" t="s">
        <v>1198</v>
      </c>
      <c r="B260" s="8" t="s">
        <v>1199</v>
      </c>
      <c r="C260" s="8" t="s">
        <v>1201</v>
      </c>
      <c r="D260" s="8" t="s">
        <v>86</v>
      </c>
      <c r="E260" s="9" t="n">
        <v>5700</v>
      </c>
      <c r="F260" s="9" t="s">
        <v>87</v>
      </c>
      <c r="G260" s="9" t="str">
        <f aca="false">IF(AND(ISNUMBER(E260),ISNUMBER(F260)),E260-F260,"No disponible")</f>
        <v>No disponible</v>
      </c>
      <c r="H260" s="8" t="s">
        <v>86</v>
      </c>
      <c r="I260" s="8" t="s">
        <v>56</v>
      </c>
      <c r="J260" s="8" t="s">
        <v>87</v>
      </c>
      <c r="K260" s="8" t="s">
        <v>88</v>
      </c>
      <c r="L260" s="8" t="s">
        <v>89</v>
      </c>
      <c r="M260" s="8" t="s">
        <v>82</v>
      </c>
      <c r="N260" s="8" t="s">
        <v>46</v>
      </c>
      <c r="O260" s="8" t="s">
        <v>87</v>
      </c>
      <c r="P260" s="8"/>
      <c r="Q260" s="8" t="s">
        <v>87</v>
      </c>
      <c r="R260" s="8" t="s">
        <v>86</v>
      </c>
    </row>
    <row r="261" customFormat="false" ht="22.35" hidden="false" customHeight="false" outlineLevel="0" collapsed="false">
      <c r="A261" s="8" t="s">
        <v>1198</v>
      </c>
      <c r="B261" s="8" t="s">
        <v>1199</v>
      </c>
      <c r="C261" s="8" t="s">
        <v>1202</v>
      </c>
      <c r="D261" s="8" t="s">
        <v>86</v>
      </c>
      <c r="E261" s="9" t="n">
        <v>5700</v>
      </c>
      <c r="F261" s="9" t="s">
        <v>87</v>
      </c>
      <c r="G261" s="9" t="str">
        <f aca="false">IF(AND(ISNUMBER(E261),ISNUMBER(F261)),E261-F261,"No disponible")</f>
        <v>No disponible</v>
      </c>
      <c r="H261" s="8" t="s">
        <v>86</v>
      </c>
      <c r="I261" s="8" t="s">
        <v>56</v>
      </c>
      <c r="J261" s="8" t="s">
        <v>87</v>
      </c>
      <c r="K261" s="8" t="s">
        <v>88</v>
      </c>
      <c r="L261" s="8" t="s">
        <v>89</v>
      </c>
      <c r="M261" s="8" t="s">
        <v>82</v>
      </c>
      <c r="N261" s="8" t="s">
        <v>46</v>
      </c>
      <c r="O261" s="8" t="s">
        <v>87</v>
      </c>
      <c r="P261" s="8"/>
      <c r="Q261" s="8" t="s">
        <v>87</v>
      </c>
      <c r="R261" s="8" t="s">
        <v>86</v>
      </c>
    </row>
    <row r="262" customFormat="false" ht="22.35" hidden="false" customHeight="false" outlineLevel="0" collapsed="false">
      <c r="A262" s="8" t="s">
        <v>1198</v>
      </c>
      <c r="B262" s="8" t="s">
        <v>1199</v>
      </c>
      <c r="C262" s="8" t="s">
        <v>1203</v>
      </c>
      <c r="D262" s="8" t="s">
        <v>86</v>
      </c>
      <c r="E262" s="9" t="n">
        <v>5700</v>
      </c>
      <c r="F262" s="9" t="s">
        <v>87</v>
      </c>
      <c r="G262" s="9" t="str">
        <f aca="false">IF(AND(ISNUMBER(E262),ISNUMBER(F262)),E262-F262,"No disponible")</f>
        <v>No disponible</v>
      </c>
      <c r="H262" s="8" t="s">
        <v>86</v>
      </c>
      <c r="I262" s="8" t="s">
        <v>56</v>
      </c>
      <c r="J262" s="8" t="s">
        <v>87</v>
      </c>
      <c r="K262" s="8" t="s">
        <v>88</v>
      </c>
      <c r="L262" s="8" t="s">
        <v>89</v>
      </c>
      <c r="M262" s="8" t="s">
        <v>82</v>
      </c>
      <c r="N262" s="8" t="s">
        <v>46</v>
      </c>
      <c r="O262" s="8" t="s">
        <v>87</v>
      </c>
      <c r="P262" s="8"/>
      <c r="Q262" s="8" t="s">
        <v>87</v>
      </c>
      <c r="R262" s="8" t="s">
        <v>86</v>
      </c>
    </row>
    <row r="263" customFormat="false" ht="22.35" hidden="false" customHeight="false" outlineLevel="0" collapsed="false">
      <c r="A263" s="8" t="s">
        <v>1198</v>
      </c>
      <c r="B263" s="8" t="s">
        <v>1199</v>
      </c>
      <c r="C263" s="8" t="s">
        <v>1204</v>
      </c>
      <c r="D263" s="8" t="s">
        <v>86</v>
      </c>
      <c r="E263" s="9" t="n">
        <v>5700</v>
      </c>
      <c r="F263" s="9" t="s">
        <v>87</v>
      </c>
      <c r="G263" s="9" t="str">
        <f aca="false">IF(AND(ISNUMBER(E263),ISNUMBER(F263)),E263-F263,"No disponible")</f>
        <v>No disponible</v>
      </c>
      <c r="H263" s="8" t="s">
        <v>86</v>
      </c>
      <c r="I263" s="8" t="s">
        <v>56</v>
      </c>
      <c r="J263" s="8" t="s">
        <v>87</v>
      </c>
      <c r="K263" s="8" t="s">
        <v>88</v>
      </c>
      <c r="L263" s="8" t="s">
        <v>89</v>
      </c>
      <c r="M263" s="8" t="s">
        <v>82</v>
      </c>
      <c r="N263" s="8" t="s">
        <v>46</v>
      </c>
      <c r="O263" s="8" t="s">
        <v>87</v>
      </c>
      <c r="P263" s="8"/>
      <c r="Q263" s="8" t="s">
        <v>87</v>
      </c>
      <c r="R263" s="8" t="s">
        <v>86</v>
      </c>
    </row>
    <row r="264" customFormat="false" ht="22.35" hidden="false" customHeight="false" outlineLevel="0" collapsed="false">
      <c r="A264" s="8" t="s">
        <v>1198</v>
      </c>
      <c r="B264" s="8" t="s">
        <v>1199</v>
      </c>
      <c r="C264" s="8" t="s">
        <v>1205</v>
      </c>
      <c r="D264" s="8" t="s">
        <v>86</v>
      </c>
      <c r="E264" s="9" t="n">
        <v>5700</v>
      </c>
      <c r="F264" s="9" t="s">
        <v>87</v>
      </c>
      <c r="G264" s="9" t="str">
        <f aca="false">IF(AND(ISNUMBER(E264),ISNUMBER(F264)),E264-F264,"No disponible")</f>
        <v>No disponible</v>
      </c>
      <c r="H264" s="8" t="s">
        <v>86</v>
      </c>
      <c r="I264" s="8" t="s">
        <v>56</v>
      </c>
      <c r="J264" s="8" t="s">
        <v>87</v>
      </c>
      <c r="K264" s="8" t="s">
        <v>88</v>
      </c>
      <c r="L264" s="8" t="s">
        <v>89</v>
      </c>
      <c r="M264" s="8" t="s">
        <v>82</v>
      </c>
      <c r="N264" s="8" t="s">
        <v>46</v>
      </c>
      <c r="O264" s="8" t="s">
        <v>87</v>
      </c>
      <c r="P264" s="8"/>
      <c r="Q264" s="8" t="s">
        <v>87</v>
      </c>
      <c r="R264" s="8" t="s">
        <v>86</v>
      </c>
    </row>
    <row r="265" customFormat="false" ht="22.35" hidden="false" customHeight="false" outlineLevel="0" collapsed="false">
      <c r="A265" s="8" t="s">
        <v>1198</v>
      </c>
      <c r="B265" s="8" t="s">
        <v>1199</v>
      </c>
      <c r="C265" s="8" t="s">
        <v>1206</v>
      </c>
      <c r="D265" s="8" t="s">
        <v>86</v>
      </c>
      <c r="E265" s="9" t="n">
        <v>5700</v>
      </c>
      <c r="F265" s="9" t="s">
        <v>87</v>
      </c>
      <c r="G265" s="9" t="str">
        <f aca="false">IF(AND(ISNUMBER(E265),ISNUMBER(F265)),E265-F265,"No disponible")</f>
        <v>No disponible</v>
      </c>
      <c r="H265" s="8" t="s">
        <v>86</v>
      </c>
      <c r="I265" s="8" t="s">
        <v>56</v>
      </c>
      <c r="J265" s="8" t="s">
        <v>87</v>
      </c>
      <c r="K265" s="8" t="s">
        <v>88</v>
      </c>
      <c r="L265" s="8" t="s">
        <v>89</v>
      </c>
      <c r="M265" s="8" t="s">
        <v>82</v>
      </c>
      <c r="N265" s="8" t="s">
        <v>46</v>
      </c>
      <c r="O265" s="8" t="s">
        <v>87</v>
      </c>
      <c r="P265" s="8"/>
      <c r="Q265" s="8" t="s">
        <v>87</v>
      </c>
      <c r="R265" s="8" t="s">
        <v>86</v>
      </c>
    </row>
    <row r="266" customFormat="false" ht="22.35" hidden="false" customHeight="false" outlineLevel="0" collapsed="false">
      <c r="A266" s="8" t="s">
        <v>1198</v>
      </c>
      <c r="B266" s="8" t="s">
        <v>1199</v>
      </c>
      <c r="C266" s="8" t="s">
        <v>1207</v>
      </c>
      <c r="D266" s="8" t="s">
        <v>86</v>
      </c>
      <c r="E266" s="9" t="n">
        <v>5700</v>
      </c>
      <c r="F266" s="9" t="s">
        <v>87</v>
      </c>
      <c r="G266" s="9" t="str">
        <f aca="false">IF(AND(ISNUMBER(E266),ISNUMBER(F266)),E266-F266,"No disponible")</f>
        <v>No disponible</v>
      </c>
      <c r="H266" s="8" t="s">
        <v>86</v>
      </c>
      <c r="I266" s="8" t="s">
        <v>56</v>
      </c>
      <c r="J266" s="8" t="s">
        <v>87</v>
      </c>
      <c r="K266" s="8" t="s">
        <v>88</v>
      </c>
      <c r="L266" s="8" t="s">
        <v>89</v>
      </c>
      <c r="M266" s="8" t="s">
        <v>82</v>
      </c>
      <c r="N266" s="8" t="s">
        <v>46</v>
      </c>
      <c r="O266" s="8" t="s">
        <v>87</v>
      </c>
      <c r="P266" s="8"/>
      <c r="Q266" s="8" t="s">
        <v>87</v>
      </c>
      <c r="R266" s="8" t="s">
        <v>86</v>
      </c>
    </row>
    <row r="267" customFormat="false" ht="22.35" hidden="false" customHeight="false" outlineLevel="0" collapsed="false">
      <c r="A267" s="8" t="s">
        <v>1198</v>
      </c>
      <c r="B267" s="8" t="s">
        <v>1199</v>
      </c>
      <c r="C267" s="8" t="s">
        <v>1208</v>
      </c>
      <c r="D267" s="8" t="s">
        <v>86</v>
      </c>
      <c r="E267" s="9" t="n">
        <v>5700</v>
      </c>
      <c r="F267" s="9" t="s">
        <v>87</v>
      </c>
      <c r="G267" s="9" t="str">
        <f aca="false">IF(AND(ISNUMBER(E267),ISNUMBER(F267)),E267-F267,"No disponible")</f>
        <v>No disponible</v>
      </c>
      <c r="H267" s="8" t="s">
        <v>86</v>
      </c>
      <c r="I267" s="8" t="s">
        <v>56</v>
      </c>
      <c r="J267" s="8" t="s">
        <v>87</v>
      </c>
      <c r="K267" s="8" t="s">
        <v>88</v>
      </c>
      <c r="L267" s="8" t="s">
        <v>89</v>
      </c>
      <c r="M267" s="8" t="s">
        <v>82</v>
      </c>
      <c r="N267" s="8" t="s">
        <v>46</v>
      </c>
      <c r="O267" s="8" t="s">
        <v>87</v>
      </c>
      <c r="P267" s="8"/>
      <c r="Q267" s="8" t="s">
        <v>87</v>
      </c>
      <c r="R267" s="8" t="s">
        <v>86</v>
      </c>
    </row>
    <row r="268" customFormat="false" ht="22.35" hidden="false" customHeight="false" outlineLevel="0" collapsed="false">
      <c r="A268" s="8" t="s">
        <v>1198</v>
      </c>
      <c r="B268" s="8" t="s">
        <v>1199</v>
      </c>
      <c r="C268" s="8" t="s">
        <v>1209</v>
      </c>
      <c r="D268" s="8" t="s">
        <v>86</v>
      </c>
      <c r="E268" s="9" t="n">
        <v>13200</v>
      </c>
      <c r="F268" s="9" t="s">
        <v>87</v>
      </c>
      <c r="G268" s="9" t="str">
        <f aca="false">IF(AND(ISNUMBER(E268),ISNUMBER(F268)),E268-F268,"No disponible")</f>
        <v>No disponible</v>
      </c>
      <c r="H268" s="8" t="s">
        <v>86</v>
      </c>
      <c r="I268" s="8" t="s">
        <v>56</v>
      </c>
      <c r="J268" s="8" t="s">
        <v>87</v>
      </c>
      <c r="K268" s="8" t="s">
        <v>88</v>
      </c>
      <c r="L268" s="8" t="s">
        <v>89</v>
      </c>
      <c r="M268" s="8" t="s">
        <v>82</v>
      </c>
      <c r="N268" s="8" t="s">
        <v>46</v>
      </c>
      <c r="O268" s="8" t="s">
        <v>87</v>
      </c>
      <c r="P268" s="8"/>
      <c r="Q268" s="8" t="s">
        <v>87</v>
      </c>
      <c r="R268" s="8" t="s">
        <v>86</v>
      </c>
    </row>
    <row r="269" customFormat="false" ht="22.35" hidden="false" customHeight="false" outlineLevel="0" collapsed="false">
      <c r="A269" s="8" t="s">
        <v>1198</v>
      </c>
      <c r="B269" s="8" t="s">
        <v>1199</v>
      </c>
      <c r="C269" s="8" t="s">
        <v>1210</v>
      </c>
      <c r="D269" s="8" t="s">
        <v>86</v>
      </c>
      <c r="E269" s="9" t="n">
        <v>13200</v>
      </c>
      <c r="F269" s="9" t="s">
        <v>87</v>
      </c>
      <c r="G269" s="9" t="str">
        <f aca="false">IF(AND(ISNUMBER(E269),ISNUMBER(F269)),E269-F269,"No disponible")</f>
        <v>No disponible</v>
      </c>
      <c r="H269" s="8" t="s">
        <v>86</v>
      </c>
      <c r="I269" s="8" t="s">
        <v>56</v>
      </c>
      <c r="J269" s="8" t="s">
        <v>87</v>
      </c>
      <c r="K269" s="8" t="s">
        <v>88</v>
      </c>
      <c r="L269" s="8" t="s">
        <v>89</v>
      </c>
      <c r="M269" s="8" t="s">
        <v>82</v>
      </c>
      <c r="N269" s="8" t="s">
        <v>46</v>
      </c>
      <c r="O269" s="8" t="s">
        <v>87</v>
      </c>
      <c r="P269" s="8"/>
      <c r="Q269" s="8" t="s">
        <v>87</v>
      </c>
      <c r="R269" s="8" t="s">
        <v>86</v>
      </c>
    </row>
    <row r="270" customFormat="false" ht="22.35" hidden="false" customHeight="false" outlineLevel="0" collapsed="false">
      <c r="A270" s="8" t="s">
        <v>1198</v>
      </c>
      <c r="B270" s="8" t="s">
        <v>1199</v>
      </c>
      <c r="C270" s="8" t="s">
        <v>1211</v>
      </c>
      <c r="D270" s="8" t="s">
        <v>86</v>
      </c>
      <c r="E270" s="9" t="n">
        <v>13200</v>
      </c>
      <c r="F270" s="9" t="s">
        <v>87</v>
      </c>
      <c r="G270" s="9" t="str">
        <f aca="false">IF(AND(ISNUMBER(E270),ISNUMBER(F270)),E270-F270,"No disponible")</f>
        <v>No disponible</v>
      </c>
      <c r="H270" s="8" t="s">
        <v>86</v>
      </c>
      <c r="I270" s="8" t="s">
        <v>56</v>
      </c>
      <c r="J270" s="8" t="s">
        <v>87</v>
      </c>
      <c r="K270" s="8" t="s">
        <v>88</v>
      </c>
      <c r="L270" s="8" t="s">
        <v>89</v>
      </c>
      <c r="M270" s="8" t="s">
        <v>82</v>
      </c>
      <c r="N270" s="8" t="s">
        <v>46</v>
      </c>
      <c r="O270" s="8" t="s">
        <v>87</v>
      </c>
      <c r="P270" s="8"/>
      <c r="Q270" s="8" t="s">
        <v>87</v>
      </c>
      <c r="R270" s="8" t="s">
        <v>86</v>
      </c>
    </row>
    <row r="271" customFormat="false" ht="22.35" hidden="false" customHeight="false" outlineLevel="0" collapsed="false">
      <c r="A271" s="8" t="s">
        <v>1198</v>
      </c>
      <c r="B271" s="8" t="s">
        <v>1199</v>
      </c>
      <c r="C271" s="8" t="s">
        <v>1212</v>
      </c>
      <c r="D271" s="8" t="s">
        <v>86</v>
      </c>
      <c r="E271" s="9" t="n">
        <v>13200</v>
      </c>
      <c r="F271" s="9" t="s">
        <v>87</v>
      </c>
      <c r="G271" s="9" t="str">
        <f aca="false">IF(AND(ISNUMBER(E271),ISNUMBER(F271)),E271-F271,"No disponible")</f>
        <v>No disponible</v>
      </c>
      <c r="H271" s="8" t="s">
        <v>86</v>
      </c>
      <c r="I271" s="8" t="s">
        <v>56</v>
      </c>
      <c r="J271" s="8" t="s">
        <v>87</v>
      </c>
      <c r="K271" s="8" t="s">
        <v>88</v>
      </c>
      <c r="L271" s="8" t="s">
        <v>89</v>
      </c>
      <c r="M271" s="8" t="s">
        <v>82</v>
      </c>
      <c r="N271" s="8" t="s">
        <v>46</v>
      </c>
      <c r="O271" s="8" t="s">
        <v>87</v>
      </c>
      <c r="P271" s="8"/>
      <c r="Q271" s="8" t="s">
        <v>87</v>
      </c>
      <c r="R271" s="8" t="s">
        <v>86</v>
      </c>
    </row>
    <row r="272" customFormat="false" ht="22.35" hidden="false" customHeight="false" outlineLevel="0" collapsed="false">
      <c r="A272" s="8" t="s">
        <v>1198</v>
      </c>
      <c r="B272" s="8" t="s">
        <v>1199</v>
      </c>
      <c r="C272" s="8" t="s">
        <v>1213</v>
      </c>
      <c r="D272" s="8" t="s">
        <v>86</v>
      </c>
      <c r="E272" s="9" t="n">
        <v>13200</v>
      </c>
      <c r="F272" s="9" t="s">
        <v>87</v>
      </c>
      <c r="G272" s="9" t="str">
        <f aca="false">IF(AND(ISNUMBER(E272),ISNUMBER(F272)),E272-F272,"No disponible")</f>
        <v>No disponible</v>
      </c>
      <c r="H272" s="8" t="s">
        <v>86</v>
      </c>
      <c r="I272" s="8" t="s">
        <v>56</v>
      </c>
      <c r="J272" s="8" t="s">
        <v>87</v>
      </c>
      <c r="K272" s="8" t="s">
        <v>88</v>
      </c>
      <c r="L272" s="8" t="s">
        <v>89</v>
      </c>
      <c r="M272" s="8" t="s">
        <v>82</v>
      </c>
      <c r="N272" s="8" t="s">
        <v>46</v>
      </c>
      <c r="O272" s="8" t="s">
        <v>87</v>
      </c>
      <c r="P272" s="8"/>
      <c r="Q272" s="8" t="s">
        <v>87</v>
      </c>
      <c r="R272" s="8" t="s">
        <v>86</v>
      </c>
    </row>
    <row r="273" customFormat="false" ht="22.35" hidden="false" customHeight="false" outlineLevel="0" collapsed="false">
      <c r="A273" s="8" t="s">
        <v>1198</v>
      </c>
      <c r="B273" s="8" t="s">
        <v>1199</v>
      </c>
      <c r="C273" s="8" t="s">
        <v>1214</v>
      </c>
      <c r="D273" s="8" t="s">
        <v>86</v>
      </c>
      <c r="E273" s="9" t="n">
        <v>13200</v>
      </c>
      <c r="F273" s="9" t="s">
        <v>87</v>
      </c>
      <c r="G273" s="9" t="str">
        <f aca="false">IF(AND(ISNUMBER(E273),ISNUMBER(F273)),E273-F273,"No disponible")</f>
        <v>No disponible</v>
      </c>
      <c r="H273" s="8" t="s">
        <v>86</v>
      </c>
      <c r="I273" s="8" t="s">
        <v>56</v>
      </c>
      <c r="J273" s="8" t="s">
        <v>87</v>
      </c>
      <c r="K273" s="8" t="s">
        <v>88</v>
      </c>
      <c r="L273" s="8" t="s">
        <v>89</v>
      </c>
      <c r="M273" s="8" t="s">
        <v>82</v>
      </c>
      <c r="N273" s="8" t="s">
        <v>46</v>
      </c>
      <c r="O273" s="8" t="s">
        <v>87</v>
      </c>
      <c r="P273" s="8"/>
      <c r="Q273" s="8" t="s">
        <v>87</v>
      </c>
      <c r="R273" s="8" t="s">
        <v>86</v>
      </c>
    </row>
    <row r="274" customFormat="false" ht="22.35" hidden="false" customHeight="false" outlineLevel="0" collapsed="false">
      <c r="A274" s="8" t="s">
        <v>1198</v>
      </c>
      <c r="B274" s="8" t="s">
        <v>1199</v>
      </c>
      <c r="C274" s="8" t="s">
        <v>1215</v>
      </c>
      <c r="D274" s="8" t="s">
        <v>86</v>
      </c>
      <c r="E274" s="9" t="n">
        <v>13200</v>
      </c>
      <c r="F274" s="9" t="s">
        <v>87</v>
      </c>
      <c r="G274" s="9" t="str">
        <f aca="false">IF(AND(ISNUMBER(E274),ISNUMBER(F274)),E274-F274,"No disponible")</f>
        <v>No disponible</v>
      </c>
      <c r="H274" s="8" t="s">
        <v>86</v>
      </c>
      <c r="I274" s="8" t="s">
        <v>56</v>
      </c>
      <c r="J274" s="8" t="s">
        <v>87</v>
      </c>
      <c r="K274" s="8" t="s">
        <v>88</v>
      </c>
      <c r="L274" s="8" t="s">
        <v>89</v>
      </c>
      <c r="M274" s="8" t="s">
        <v>82</v>
      </c>
      <c r="N274" s="8" t="s">
        <v>46</v>
      </c>
      <c r="O274" s="8" t="s">
        <v>87</v>
      </c>
      <c r="P274" s="8"/>
      <c r="Q274" s="8" t="s">
        <v>87</v>
      </c>
      <c r="R274" s="8" t="s">
        <v>86</v>
      </c>
    </row>
    <row r="275" customFormat="false" ht="22.35" hidden="false" customHeight="false" outlineLevel="0" collapsed="false">
      <c r="A275" s="8" t="s">
        <v>1198</v>
      </c>
      <c r="B275" s="8" t="s">
        <v>1199</v>
      </c>
      <c r="C275" s="8" t="s">
        <v>1216</v>
      </c>
      <c r="D275" s="8" t="s">
        <v>86</v>
      </c>
      <c r="E275" s="9" t="n">
        <v>13200</v>
      </c>
      <c r="F275" s="9" t="s">
        <v>87</v>
      </c>
      <c r="G275" s="9" t="str">
        <f aca="false">IF(AND(ISNUMBER(E275),ISNUMBER(F275)),E275-F275,"No disponible")</f>
        <v>No disponible</v>
      </c>
      <c r="H275" s="8" t="s">
        <v>86</v>
      </c>
      <c r="I275" s="8" t="s">
        <v>56</v>
      </c>
      <c r="J275" s="8" t="s">
        <v>87</v>
      </c>
      <c r="K275" s="8" t="s">
        <v>88</v>
      </c>
      <c r="L275" s="8" t="s">
        <v>89</v>
      </c>
      <c r="M275" s="8" t="s">
        <v>82</v>
      </c>
      <c r="N275" s="8" t="s">
        <v>46</v>
      </c>
      <c r="O275" s="8" t="s">
        <v>87</v>
      </c>
      <c r="P275" s="8"/>
      <c r="Q275" s="8" t="s">
        <v>87</v>
      </c>
      <c r="R275" s="8" t="s">
        <v>86</v>
      </c>
    </row>
    <row r="276" customFormat="false" ht="22.35" hidden="false" customHeight="false" outlineLevel="0" collapsed="false">
      <c r="A276" s="8" t="s">
        <v>1198</v>
      </c>
      <c r="B276" s="8" t="s">
        <v>1199</v>
      </c>
      <c r="C276" s="8" t="s">
        <v>1217</v>
      </c>
      <c r="D276" s="8" t="s">
        <v>86</v>
      </c>
      <c r="E276" s="9" t="n">
        <v>13200</v>
      </c>
      <c r="F276" s="9" t="s">
        <v>87</v>
      </c>
      <c r="G276" s="9" t="str">
        <f aca="false">IF(AND(ISNUMBER(E276),ISNUMBER(F276)),E276-F276,"No disponible")</f>
        <v>No disponible</v>
      </c>
      <c r="H276" s="8" t="s">
        <v>86</v>
      </c>
      <c r="I276" s="8" t="s">
        <v>56</v>
      </c>
      <c r="J276" s="8" t="s">
        <v>87</v>
      </c>
      <c r="K276" s="8" t="s">
        <v>88</v>
      </c>
      <c r="L276" s="8" t="s">
        <v>89</v>
      </c>
      <c r="M276" s="8" t="s">
        <v>82</v>
      </c>
      <c r="N276" s="8" t="s">
        <v>46</v>
      </c>
      <c r="O276" s="8" t="s">
        <v>87</v>
      </c>
      <c r="P276" s="8"/>
      <c r="Q276" s="8" t="s">
        <v>87</v>
      </c>
      <c r="R276" s="8" t="s">
        <v>86</v>
      </c>
    </row>
    <row r="277" customFormat="false" ht="22.35" hidden="false" customHeight="false" outlineLevel="0" collapsed="false">
      <c r="A277" s="8" t="s">
        <v>1198</v>
      </c>
      <c r="B277" s="8" t="s">
        <v>1199</v>
      </c>
      <c r="C277" s="8" t="s">
        <v>1218</v>
      </c>
      <c r="D277" s="8" t="s">
        <v>86</v>
      </c>
      <c r="E277" s="9" t="n">
        <v>13200</v>
      </c>
      <c r="F277" s="9" t="s">
        <v>87</v>
      </c>
      <c r="G277" s="9" t="str">
        <f aca="false">IF(AND(ISNUMBER(E277),ISNUMBER(F277)),E277-F277,"No disponible")</f>
        <v>No disponible</v>
      </c>
      <c r="H277" s="8" t="s">
        <v>86</v>
      </c>
      <c r="I277" s="8" t="s">
        <v>56</v>
      </c>
      <c r="J277" s="8" t="s">
        <v>87</v>
      </c>
      <c r="K277" s="8" t="s">
        <v>88</v>
      </c>
      <c r="L277" s="8" t="s">
        <v>89</v>
      </c>
      <c r="M277" s="8" t="s">
        <v>82</v>
      </c>
      <c r="N277" s="8" t="s">
        <v>46</v>
      </c>
      <c r="O277" s="8" t="s">
        <v>87</v>
      </c>
      <c r="P277" s="8"/>
      <c r="Q277" s="8" t="s">
        <v>87</v>
      </c>
      <c r="R277" s="8" t="s">
        <v>86</v>
      </c>
    </row>
    <row r="278" customFormat="false" ht="22.35" hidden="false" customHeight="false" outlineLevel="0" collapsed="false">
      <c r="A278" s="8" t="s">
        <v>1198</v>
      </c>
      <c r="B278" s="8" t="s">
        <v>1199</v>
      </c>
      <c r="C278" s="8" t="s">
        <v>1219</v>
      </c>
      <c r="D278" s="8" t="s">
        <v>86</v>
      </c>
      <c r="E278" s="9" t="n">
        <v>13200</v>
      </c>
      <c r="F278" s="9" t="s">
        <v>87</v>
      </c>
      <c r="G278" s="9" t="str">
        <f aca="false">IF(AND(ISNUMBER(E278),ISNUMBER(F278)),E278-F278,"No disponible")</f>
        <v>No disponible</v>
      </c>
      <c r="H278" s="8" t="s">
        <v>86</v>
      </c>
      <c r="I278" s="8" t="s">
        <v>56</v>
      </c>
      <c r="J278" s="8" t="s">
        <v>87</v>
      </c>
      <c r="K278" s="8" t="s">
        <v>88</v>
      </c>
      <c r="L278" s="8" t="s">
        <v>89</v>
      </c>
      <c r="M278" s="8" t="s">
        <v>82</v>
      </c>
      <c r="N278" s="8" t="s">
        <v>46</v>
      </c>
      <c r="O278" s="8" t="s">
        <v>87</v>
      </c>
      <c r="P278" s="8"/>
      <c r="Q278" s="8" t="s">
        <v>87</v>
      </c>
      <c r="R278" s="8" t="s">
        <v>86</v>
      </c>
    </row>
    <row r="279" customFormat="false" ht="22.35" hidden="false" customHeight="false" outlineLevel="0" collapsed="false">
      <c r="A279" s="8" t="s">
        <v>1198</v>
      </c>
      <c r="B279" s="8" t="s">
        <v>1199</v>
      </c>
      <c r="C279" s="8" t="s">
        <v>1220</v>
      </c>
      <c r="D279" s="8" t="s">
        <v>86</v>
      </c>
      <c r="E279" s="9" t="n">
        <v>13200</v>
      </c>
      <c r="F279" s="9" t="s">
        <v>87</v>
      </c>
      <c r="G279" s="9" t="str">
        <f aca="false">IF(AND(ISNUMBER(E279),ISNUMBER(F279)),E279-F279,"No disponible")</f>
        <v>No disponible</v>
      </c>
      <c r="H279" s="8" t="s">
        <v>86</v>
      </c>
      <c r="I279" s="8" t="s">
        <v>56</v>
      </c>
      <c r="J279" s="8" t="s">
        <v>87</v>
      </c>
      <c r="K279" s="8" t="s">
        <v>88</v>
      </c>
      <c r="L279" s="8" t="s">
        <v>89</v>
      </c>
      <c r="M279" s="8" t="s">
        <v>82</v>
      </c>
      <c r="N279" s="8" t="s">
        <v>46</v>
      </c>
      <c r="O279" s="8" t="s">
        <v>87</v>
      </c>
      <c r="P279" s="8"/>
      <c r="Q279" s="8" t="s">
        <v>87</v>
      </c>
      <c r="R279" s="8" t="s">
        <v>86</v>
      </c>
    </row>
    <row r="280" customFormat="false" ht="22.35" hidden="false" customHeight="false" outlineLevel="0" collapsed="false">
      <c r="A280" s="8" t="s">
        <v>1198</v>
      </c>
      <c r="B280" s="8" t="s">
        <v>1199</v>
      </c>
      <c r="C280" s="8" t="s">
        <v>1221</v>
      </c>
      <c r="D280" s="8" t="s">
        <v>86</v>
      </c>
      <c r="E280" s="9" t="n">
        <v>13200</v>
      </c>
      <c r="F280" s="9" t="s">
        <v>87</v>
      </c>
      <c r="G280" s="9" t="str">
        <f aca="false">IF(AND(ISNUMBER(E280),ISNUMBER(F280)),E280-F280,"No disponible")</f>
        <v>No disponible</v>
      </c>
      <c r="H280" s="8" t="s">
        <v>86</v>
      </c>
      <c r="I280" s="8" t="s">
        <v>56</v>
      </c>
      <c r="J280" s="8" t="s">
        <v>87</v>
      </c>
      <c r="K280" s="8" t="s">
        <v>88</v>
      </c>
      <c r="L280" s="8" t="s">
        <v>89</v>
      </c>
      <c r="M280" s="8" t="s">
        <v>82</v>
      </c>
      <c r="N280" s="8" t="s">
        <v>46</v>
      </c>
      <c r="O280" s="8" t="s">
        <v>87</v>
      </c>
      <c r="P280" s="8"/>
      <c r="Q280" s="8" t="s">
        <v>87</v>
      </c>
      <c r="R280" s="8" t="s">
        <v>86</v>
      </c>
    </row>
    <row r="281" customFormat="false" ht="22.35" hidden="false" customHeight="false" outlineLevel="0" collapsed="false">
      <c r="A281" s="8" t="s">
        <v>1198</v>
      </c>
      <c r="B281" s="8" t="s">
        <v>1199</v>
      </c>
      <c r="C281" s="8" t="s">
        <v>1222</v>
      </c>
      <c r="D281" s="8" t="s">
        <v>86</v>
      </c>
      <c r="E281" s="9" t="n">
        <v>13200</v>
      </c>
      <c r="F281" s="9" t="s">
        <v>87</v>
      </c>
      <c r="G281" s="9" t="str">
        <f aca="false">IF(AND(ISNUMBER(E281),ISNUMBER(F281)),E281-F281,"No disponible")</f>
        <v>No disponible</v>
      </c>
      <c r="H281" s="8" t="s">
        <v>86</v>
      </c>
      <c r="I281" s="8" t="s">
        <v>56</v>
      </c>
      <c r="J281" s="8" t="s">
        <v>87</v>
      </c>
      <c r="K281" s="8" t="s">
        <v>88</v>
      </c>
      <c r="L281" s="8" t="s">
        <v>89</v>
      </c>
      <c r="M281" s="8" t="s">
        <v>82</v>
      </c>
      <c r="N281" s="8" t="s">
        <v>46</v>
      </c>
      <c r="O281" s="8" t="s">
        <v>87</v>
      </c>
      <c r="P281" s="8"/>
      <c r="Q281" s="8" t="s">
        <v>87</v>
      </c>
      <c r="R281" s="8" t="s">
        <v>86</v>
      </c>
    </row>
    <row r="282" customFormat="false" ht="22.35" hidden="false" customHeight="false" outlineLevel="0" collapsed="false">
      <c r="A282" s="8" t="s">
        <v>1198</v>
      </c>
      <c r="B282" s="8" t="s">
        <v>1199</v>
      </c>
      <c r="C282" s="8" t="s">
        <v>1223</v>
      </c>
      <c r="D282" s="8" t="s">
        <v>86</v>
      </c>
      <c r="E282" s="9" t="n">
        <v>13200</v>
      </c>
      <c r="F282" s="9" t="s">
        <v>87</v>
      </c>
      <c r="G282" s="9" t="str">
        <f aca="false">IF(AND(ISNUMBER(E282),ISNUMBER(F282)),E282-F282,"No disponible")</f>
        <v>No disponible</v>
      </c>
      <c r="H282" s="8" t="s">
        <v>86</v>
      </c>
      <c r="I282" s="8" t="s">
        <v>56</v>
      </c>
      <c r="J282" s="8" t="s">
        <v>87</v>
      </c>
      <c r="K282" s="8" t="s">
        <v>88</v>
      </c>
      <c r="L282" s="8" t="s">
        <v>89</v>
      </c>
      <c r="M282" s="8" t="s">
        <v>82</v>
      </c>
      <c r="N282" s="8" t="s">
        <v>46</v>
      </c>
      <c r="O282" s="8" t="s">
        <v>87</v>
      </c>
      <c r="P282" s="8"/>
      <c r="Q282" s="8" t="s">
        <v>87</v>
      </c>
      <c r="R282" s="8" t="s">
        <v>86</v>
      </c>
    </row>
    <row r="283" customFormat="false" ht="22.35" hidden="false" customHeight="false" outlineLevel="0" collapsed="false">
      <c r="A283" s="8" t="s">
        <v>1198</v>
      </c>
      <c r="B283" s="8" t="s">
        <v>1199</v>
      </c>
      <c r="C283" s="8" t="s">
        <v>1224</v>
      </c>
      <c r="D283" s="8" t="s">
        <v>86</v>
      </c>
      <c r="E283" s="9" t="n">
        <v>13300</v>
      </c>
      <c r="F283" s="9" t="s">
        <v>87</v>
      </c>
      <c r="G283" s="9" t="str">
        <f aca="false">IF(AND(ISNUMBER(E283),ISNUMBER(F283)),E283-F283,"No disponible")</f>
        <v>No disponible</v>
      </c>
      <c r="H283" s="8" t="s">
        <v>86</v>
      </c>
      <c r="I283" s="8" t="s">
        <v>56</v>
      </c>
      <c r="J283" s="8" t="s">
        <v>87</v>
      </c>
      <c r="K283" s="8" t="s">
        <v>88</v>
      </c>
      <c r="L283" s="8" t="s">
        <v>89</v>
      </c>
      <c r="M283" s="8" t="s">
        <v>82</v>
      </c>
      <c r="N283" s="8" t="s">
        <v>46</v>
      </c>
      <c r="O283" s="8" t="s">
        <v>87</v>
      </c>
      <c r="P283" s="8"/>
      <c r="Q283" s="8" t="s">
        <v>87</v>
      </c>
      <c r="R283" s="8" t="s">
        <v>86</v>
      </c>
    </row>
    <row r="284" customFormat="false" ht="32.8" hidden="false" customHeight="false" outlineLevel="0" collapsed="false">
      <c r="A284" s="8" t="s">
        <v>1225</v>
      </c>
      <c r="B284" s="8" t="s">
        <v>1226</v>
      </c>
      <c r="C284" s="8" t="s">
        <v>1227</v>
      </c>
      <c r="D284" s="8" t="s">
        <v>266</v>
      </c>
      <c r="E284" s="9" t="n">
        <v>308000</v>
      </c>
      <c r="F284" s="9" t="n">
        <v>308000</v>
      </c>
      <c r="G284" s="9" t="n">
        <f aca="false">IF(AND(ISNUMBER(E284),ISNUMBER(F284)),E284-F284,"No disponible")</f>
        <v>0</v>
      </c>
      <c r="H284" s="8" t="s">
        <v>1228</v>
      </c>
      <c r="I284" s="8" t="s">
        <v>56</v>
      </c>
      <c r="J284" s="8" t="s">
        <v>43</v>
      </c>
      <c r="K284" s="8" t="s">
        <v>190</v>
      </c>
      <c r="L284" s="8" t="s">
        <v>45</v>
      </c>
      <c r="M284" s="8" t="s">
        <v>6</v>
      </c>
      <c r="N284" s="8" t="s">
        <v>46</v>
      </c>
      <c r="O284" s="8" t="s">
        <v>1229</v>
      </c>
      <c r="P284" s="8" t="s">
        <v>1230</v>
      </c>
      <c r="Q284" s="8" t="s">
        <v>193</v>
      </c>
      <c r="R284" s="8" t="s">
        <v>50</v>
      </c>
    </row>
    <row r="285" customFormat="false" ht="43.25" hidden="false" customHeight="false" outlineLevel="0" collapsed="false">
      <c r="A285" s="8" t="s">
        <v>1225</v>
      </c>
      <c r="B285" s="8" t="s">
        <v>1226</v>
      </c>
      <c r="C285" s="8" t="s">
        <v>1231</v>
      </c>
      <c r="D285" s="8" t="s">
        <v>127</v>
      </c>
      <c r="E285" s="9" t="n">
        <v>3000</v>
      </c>
      <c r="F285" s="9" t="n">
        <v>3000</v>
      </c>
      <c r="G285" s="9" t="n">
        <f aca="false">IF(AND(ISNUMBER(E285),ISNUMBER(F285)),E285-F285,"No disponible")</f>
        <v>0</v>
      </c>
      <c r="H285" s="8" t="s">
        <v>64</v>
      </c>
      <c r="I285" s="8" t="s">
        <v>56</v>
      </c>
      <c r="J285" s="8" t="s">
        <v>43</v>
      </c>
      <c r="K285" s="8" t="s">
        <v>44</v>
      </c>
      <c r="L285" s="8" t="s">
        <v>45</v>
      </c>
      <c r="M285" s="8" t="s">
        <v>6</v>
      </c>
      <c r="N285" s="8" t="s">
        <v>46</v>
      </c>
      <c r="O285" s="8" t="s">
        <v>1232</v>
      </c>
      <c r="P285" s="8" t="s">
        <v>1233</v>
      </c>
      <c r="Q285" s="8" t="s">
        <v>59</v>
      </c>
      <c r="R285" s="8" t="s">
        <v>50</v>
      </c>
    </row>
    <row r="286" customFormat="false" ht="43.25" hidden="false" customHeight="false" outlineLevel="0" collapsed="false">
      <c r="A286" s="8" t="s">
        <v>1225</v>
      </c>
      <c r="B286" s="8" t="s">
        <v>1226</v>
      </c>
      <c r="C286" s="8" t="s">
        <v>1234</v>
      </c>
      <c r="D286" s="8" t="s">
        <v>266</v>
      </c>
      <c r="E286" s="9" t="n">
        <v>26400</v>
      </c>
      <c r="F286" s="9" t="n">
        <v>26400</v>
      </c>
      <c r="G286" s="9" t="n">
        <f aca="false">IF(AND(ISNUMBER(E286),ISNUMBER(F286)),E286-F286,"No disponible")</f>
        <v>0</v>
      </c>
      <c r="H286" s="8" t="s">
        <v>1235</v>
      </c>
      <c r="I286" s="8" t="s">
        <v>56</v>
      </c>
      <c r="J286" s="8" t="s">
        <v>43</v>
      </c>
      <c r="K286" s="8" t="s">
        <v>44</v>
      </c>
      <c r="L286" s="8" t="s">
        <v>45</v>
      </c>
      <c r="M286" s="8" t="s">
        <v>6</v>
      </c>
      <c r="N286" s="8" t="s">
        <v>46</v>
      </c>
      <c r="O286" s="8" t="s">
        <v>1236</v>
      </c>
      <c r="P286" s="8" t="s">
        <v>1237</v>
      </c>
      <c r="Q286" s="8" t="s">
        <v>59</v>
      </c>
      <c r="R286" s="8" t="s">
        <v>50</v>
      </c>
    </row>
    <row r="287" customFormat="false" ht="32.8" hidden="false" customHeight="false" outlineLevel="0" collapsed="false">
      <c r="A287" s="8" t="s">
        <v>1225</v>
      </c>
      <c r="B287" s="8" t="s">
        <v>1226</v>
      </c>
      <c r="C287" s="8" t="s">
        <v>1238</v>
      </c>
      <c r="D287" s="8" t="s">
        <v>266</v>
      </c>
      <c r="E287" s="9" t="n">
        <v>27670</v>
      </c>
      <c r="F287" s="9" t="n">
        <v>27670</v>
      </c>
      <c r="G287" s="9" t="n">
        <f aca="false">IF(AND(ISNUMBER(E287),ISNUMBER(F287)),E287-F287,"No disponible")</f>
        <v>0</v>
      </c>
      <c r="H287" s="8" t="s">
        <v>1239</v>
      </c>
      <c r="I287" s="8" t="s">
        <v>56</v>
      </c>
      <c r="J287" s="8" t="s">
        <v>43</v>
      </c>
      <c r="K287" s="8" t="s">
        <v>190</v>
      </c>
      <c r="L287" s="8" t="s">
        <v>45</v>
      </c>
      <c r="M287" s="8" t="s">
        <v>6</v>
      </c>
      <c r="N287" s="8" t="s">
        <v>46</v>
      </c>
      <c r="O287" s="8" t="s">
        <v>1240</v>
      </c>
      <c r="P287" s="8" t="s">
        <v>1241</v>
      </c>
      <c r="Q287" s="8" t="s">
        <v>193</v>
      </c>
      <c r="R287" s="8" t="s">
        <v>50</v>
      </c>
    </row>
    <row r="288" customFormat="false" ht="43.25" hidden="false" customHeight="false" outlineLevel="0" collapsed="false">
      <c r="A288" s="8" t="s">
        <v>1225</v>
      </c>
      <c r="B288" s="8" t="s">
        <v>1226</v>
      </c>
      <c r="C288" s="8" t="s">
        <v>1242</v>
      </c>
      <c r="D288" s="8" t="s">
        <v>266</v>
      </c>
      <c r="E288" s="9" t="n">
        <v>24150</v>
      </c>
      <c r="F288" s="9" t="n">
        <v>24150</v>
      </c>
      <c r="G288" s="9" t="n">
        <f aca="false">IF(AND(ISNUMBER(E288),ISNUMBER(F288)),E288-F288,"No disponible")</f>
        <v>0</v>
      </c>
      <c r="H288" s="8" t="s">
        <v>1243</v>
      </c>
      <c r="I288" s="8" t="s">
        <v>56</v>
      </c>
      <c r="J288" s="8" t="s">
        <v>43</v>
      </c>
      <c r="K288" s="8" t="s">
        <v>44</v>
      </c>
      <c r="L288" s="8" t="s">
        <v>45</v>
      </c>
      <c r="M288" s="8" t="s">
        <v>6</v>
      </c>
      <c r="N288" s="8" t="s">
        <v>46</v>
      </c>
      <c r="O288" s="8" t="s">
        <v>1244</v>
      </c>
      <c r="P288" s="8" t="s">
        <v>1245</v>
      </c>
      <c r="Q288" s="8" t="s">
        <v>59</v>
      </c>
      <c r="R288" s="8" t="s">
        <v>50</v>
      </c>
    </row>
    <row r="289" customFormat="false" ht="43.25" hidden="false" customHeight="false" outlineLevel="0" collapsed="false">
      <c r="A289" s="8" t="s">
        <v>1225</v>
      </c>
      <c r="B289" s="8" t="s">
        <v>1226</v>
      </c>
      <c r="C289" s="8" t="s">
        <v>1246</v>
      </c>
      <c r="D289" s="8" t="s">
        <v>266</v>
      </c>
      <c r="E289" s="9" t="n">
        <v>17850</v>
      </c>
      <c r="F289" s="9" t="n">
        <v>17850</v>
      </c>
      <c r="G289" s="9" t="n">
        <f aca="false">IF(AND(ISNUMBER(E289),ISNUMBER(F289)),E289-F289,"No disponible")</f>
        <v>0</v>
      </c>
      <c r="H289" s="8" t="s">
        <v>1247</v>
      </c>
      <c r="I289" s="8" t="s">
        <v>56</v>
      </c>
      <c r="J289" s="8" t="s">
        <v>43</v>
      </c>
      <c r="K289" s="8" t="s">
        <v>44</v>
      </c>
      <c r="L289" s="8" t="s">
        <v>45</v>
      </c>
      <c r="M289" s="8" t="s">
        <v>6</v>
      </c>
      <c r="N289" s="8" t="s">
        <v>46</v>
      </c>
      <c r="O289" s="8" t="s">
        <v>1248</v>
      </c>
      <c r="P289" s="8" t="s">
        <v>1249</v>
      </c>
      <c r="Q289" s="8" t="s">
        <v>59</v>
      </c>
      <c r="R289" s="8" t="s">
        <v>50</v>
      </c>
    </row>
    <row r="290" customFormat="false" ht="43.25" hidden="false" customHeight="false" outlineLevel="0" collapsed="false">
      <c r="A290" s="8" t="s">
        <v>1250</v>
      </c>
      <c r="B290" s="8" t="s">
        <v>1251</v>
      </c>
      <c r="C290" s="8" t="s">
        <v>1252</v>
      </c>
      <c r="D290" s="8" t="s">
        <v>127</v>
      </c>
      <c r="E290" s="9" t="n">
        <v>8000</v>
      </c>
      <c r="F290" s="9" t="n">
        <v>8000</v>
      </c>
      <c r="G290" s="9" t="n">
        <f aca="false">IF(AND(ISNUMBER(E290),ISNUMBER(F290)),E290-F290,"No disponible")</f>
        <v>0</v>
      </c>
      <c r="H290" s="8" t="s">
        <v>64</v>
      </c>
      <c r="I290" s="8" t="s">
        <v>56</v>
      </c>
      <c r="J290" s="8" t="s">
        <v>43</v>
      </c>
      <c r="K290" s="8" t="s">
        <v>44</v>
      </c>
      <c r="L290" s="8" t="s">
        <v>45</v>
      </c>
      <c r="M290" s="8" t="s">
        <v>6</v>
      </c>
      <c r="N290" s="8" t="s">
        <v>46</v>
      </c>
      <c r="O290" s="8" t="s">
        <v>1253</v>
      </c>
      <c r="P290" s="8" t="s">
        <v>1254</v>
      </c>
      <c r="Q290" s="8" t="s">
        <v>59</v>
      </c>
      <c r="R290" s="8" t="s">
        <v>50</v>
      </c>
    </row>
    <row r="291" customFormat="false" ht="43.25" hidden="false" customHeight="false" outlineLevel="0" collapsed="false">
      <c r="A291" s="8" t="s">
        <v>1255</v>
      </c>
      <c r="B291" s="8" t="s">
        <v>1256</v>
      </c>
      <c r="C291" s="8" t="s">
        <v>1257</v>
      </c>
      <c r="D291" s="8" t="s">
        <v>1258</v>
      </c>
      <c r="E291" s="9" t="n">
        <v>1773275</v>
      </c>
      <c r="F291" s="9" t="n">
        <v>1773275</v>
      </c>
      <c r="G291" s="9" t="n">
        <f aca="false">IF(AND(ISNUMBER(E291),ISNUMBER(F291)),E291-F291,"No disponible")</f>
        <v>0</v>
      </c>
      <c r="H291" s="8" t="s">
        <v>1259</v>
      </c>
      <c r="I291" s="8" t="s">
        <v>42</v>
      </c>
      <c r="J291" s="8" t="s">
        <v>43</v>
      </c>
      <c r="K291" s="8" t="s">
        <v>44</v>
      </c>
      <c r="L291" s="8" t="s">
        <v>45</v>
      </c>
      <c r="M291" s="8" t="s">
        <v>6</v>
      </c>
      <c r="N291" s="8" t="s">
        <v>46</v>
      </c>
      <c r="O291" s="8" t="s">
        <v>1260</v>
      </c>
      <c r="P291" s="8" t="s">
        <v>1261</v>
      </c>
      <c r="Q291" s="8" t="s">
        <v>59</v>
      </c>
      <c r="R291" s="8" t="s">
        <v>50</v>
      </c>
    </row>
    <row r="292" customFormat="false" ht="32.8" hidden="false" customHeight="false" outlineLevel="0" collapsed="false">
      <c r="A292" s="8" t="s">
        <v>1262</v>
      </c>
      <c r="B292" s="8" t="s">
        <v>1263</v>
      </c>
      <c r="C292" s="8" t="s">
        <v>1264</v>
      </c>
      <c r="D292" s="8" t="s">
        <v>1265</v>
      </c>
      <c r="E292" s="9" t="n">
        <v>2300000</v>
      </c>
      <c r="F292" s="9" t="n">
        <v>2300000</v>
      </c>
      <c r="G292" s="9" t="n">
        <f aca="false">IF(AND(ISNUMBER(E292),ISNUMBER(F292)),E292-F292,"No disponible")</f>
        <v>0</v>
      </c>
      <c r="H292" s="8" t="s">
        <v>1266</v>
      </c>
      <c r="I292" s="8" t="s">
        <v>42</v>
      </c>
      <c r="J292" s="8" t="s">
        <v>43</v>
      </c>
      <c r="K292" s="8" t="s">
        <v>107</v>
      </c>
      <c r="L292" s="8" t="s">
        <v>45</v>
      </c>
      <c r="M292" s="8" t="s">
        <v>108</v>
      </c>
      <c r="N292" s="8" t="s">
        <v>46</v>
      </c>
      <c r="O292" s="8" t="s">
        <v>1267</v>
      </c>
      <c r="P292" s="8" t="s">
        <v>1268</v>
      </c>
      <c r="Q292" s="8" t="s">
        <v>59</v>
      </c>
      <c r="R292" s="8" t="s">
        <v>111</v>
      </c>
    </row>
    <row r="293" customFormat="false" ht="32.8" hidden="false" customHeight="false" outlineLevel="0" collapsed="false">
      <c r="A293" s="8" t="s">
        <v>1262</v>
      </c>
      <c r="B293" s="8" t="s">
        <v>1263</v>
      </c>
      <c r="C293" s="8" t="s">
        <v>1269</v>
      </c>
      <c r="D293" s="8" t="s">
        <v>1270</v>
      </c>
      <c r="E293" s="9" t="n">
        <v>2300000</v>
      </c>
      <c r="F293" s="9" t="n">
        <v>2300000</v>
      </c>
      <c r="G293" s="9" t="n">
        <f aca="false">IF(AND(ISNUMBER(E293),ISNUMBER(F293)),E293-F293,"No disponible")</f>
        <v>0</v>
      </c>
      <c r="H293" s="8" t="s">
        <v>1266</v>
      </c>
      <c r="I293" s="8" t="s">
        <v>42</v>
      </c>
      <c r="J293" s="8" t="s">
        <v>43</v>
      </c>
      <c r="K293" s="8" t="s">
        <v>107</v>
      </c>
      <c r="L293" s="8" t="s">
        <v>45</v>
      </c>
      <c r="M293" s="8" t="s">
        <v>108</v>
      </c>
      <c r="N293" s="8" t="s">
        <v>46</v>
      </c>
      <c r="O293" s="8" t="s">
        <v>1271</v>
      </c>
      <c r="P293" s="8" t="s">
        <v>1272</v>
      </c>
      <c r="Q293" s="8" t="s">
        <v>59</v>
      </c>
      <c r="R293" s="8" t="s">
        <v>111</v>
      </c>
    </row>
    <row r="294" customFormat="false" ht="43.25" hidden="false" customHeight="false" outlineLevel="0" collapsed="false">
      <c r="A294" s="8" t="s">
        <v>1273</v>
      </c>
      <c r="B294" s="8" t="s">
        <v>1274</v>
      </c>
      <c r="C294" s="8" t="s">
        <v>1275</v>
      </c>
      <c r="D294" s="8" t="s">
        <v>127</v>
      </c>
      <c r="E294" s="9" t="n">
        <v>300000</v>
      </c>
      <c r="F294" s="9" t="n">
        <v>300000</v>
      </c>
      <c r="G294" s="9" t="n">
        <f aca="false">IF(AND(ISNUMBER(E294),ISNUMBER(F294)),E294-F294,"No disponible")</f>
        <v>0</v>
      </c>
      <c r="H294" s="8" t="s">
        <v>64</v>
      </c>
      <c r="I294" s="8" t="s">
        <v>42</v>
      </c>
      <c r="J294" s="8" t="s">
        <v>43</v>
      </c>
      <c r="K294" s="8" t="s">
        <v>44</v>
      </c>
      <c r="L294" s="8" t="s">
        <v>45</v>
      </c>
      <c r="M294" s="8" t="s">
        <v>6</v>
      </c>
      <c r="N294" s="8" t="s">
        <v>46</v>
      </c>
      <c r="O294" s="8" t="s">
        <v>1276</v>
      </c>
      <c r="P294" s="8" t="s">
        <v>1277</v>
      </c>
      <c r="Q294" s="8" t="s">
        <v>59</v>
      </c>
      <c r="R294" s="8" t="s">
        <v>50</v>
      </c>
    </row>
    <row r="295" customFormat="false" ht="32.8" hidden="false" customHeight="false" outlineLevel="0" collapsed="false">
      <c r="A295" s="8" t="s">
        <v>1278</v>
      </c>
      <c r="B295" s="8" t="s">
        <v>1279</v>
      </c>
      <c r="C295" s="8" t="s">
        <v>1280</v>
      </c>
      <c r="D295" s="8" t="s">
        <v>1265</v>
      </c>
      <c r="E295" s="9" t="n">
        <v>2000000</v>
      </c>
      <c r="F295" s="9" t="n">
        <v>2000000</v>
      </c>
      <c r="G295" s="9" t="n">
        <f aca="false">IF(AND(ISNUMBER(E295),ISNUMBER(F295)),E295-F295,"No disponible")</f>
        <v>0</v>
      </c>
      <c r="H295" s="8" t="s">
        <v>748</v>
      </c>
      <c r="I295" s="8" t="s">
        <v>42</v>
      </c>
      <c r="J295" s="8" t="s">
        <v>43</v>
      </c>
      <c r="K295" s="8" t="s">
        <v>107</v>
      </c>
      <c r="L295" s="8" t="s">
        <v>45</v>
      </c>
      <c r="M295" s="8" t="s">
        <v>108</v>
      </c>
      <c r="N295" s="8" t="s">
        <v>46</v>
      </c>
      <c r="O295" s="8" t="s">
        <v>1281</v>
      </c>
      <c r="P295" s="8" t="s">
        <v>1282</v>
      </c>
      <c r="Q295" s="8" t="s">
        <v>59</v>
      </c>
      <c r="R295" s="8" t="s">
        <v>111</v>
      </c>
    </row>
    <row r="296" customFormat="false" ht="32.8" hidden="false" customHeight="false" outlineLevel="0" collapsed="false">
      <c r="A296" s="8" t="s">
        <v>1278</v>
      </c>
      <c r="B296" s="8" t="s">
        <v>1279</v>
      </c>
      <c r="C296" s="8" t="s">
        <v>1283</v>
      </c>
      <c r="D296" s="8" t="s">
        <v>1265</v>
      </c>
      <c r="E296" s="9" t="n">
        <v>2000000</v>
      </c>
      <c r="F296" s="9" t="n">
        <v>2000000</v>
      </c>
      <c r="G296" s="9" t="n">
        <f aca="false">IF(AND(ISNUMBER(E296),ISNUMBER(F296)),E296-F296,"No disponible")</f>
        <v>0</v>
      </c>
      <c r="H296" s="8" t="s">
        <v>748</v>
      </c>
      <c r="I296" s="8" t="s">
        <v>42</v>
      </c>
      <c r="J296" s="8" t="s">
        <v>43</v>
      </c>
      <c r="K296" s="8" t="s">
        <v>107</v>
      </c>
      <c r="L296" s="8" t="s">
        <v>45</v>
      </c>
      <c r="M296" s="8" t="s">
        <v>108</v>
      </c>
      <c r="N296" s="8" t="s">
        <v>46</v>
      </c>
      <c r="O296" s="8" t="s">
        <v>1284</v>
      </c>
      <c r="P296" s="8" t="s">
        <v>1285</v>
      </c>
      <c r="Q296" s="8" t="s">
        <v>59</v>
      </c>
      <c r="R296" s="8" t="s">
        <v>111</v>
      </c>
    </row>
    <row r="297" customFormat="false" ht="53.7" hidden="false" customHeight="false" outlineLevel="0" collapsed="false">
      <c r="A297" s="8" t="s">
        <v>1286</v>
      </c>
      <c r="B297" s="8" t="s">
        <v>1287</v>
      </c>
      <c r="C297" s="8" t="s">
        <v>1288</v>
      </c>
      <c r="D297" s="8" t="s">
        <v>1289</v>
      </c>
      <c r="E297" s="9" t="n">
        <v>10005520</v>
      </c>
      <c r="F297" s="9" t="n">
        <v>10005520</v>
      </c>
      <c r="G297" s="9" t="n">
        <f aca="false">IF(AND(ISNUMBER(E297),ISNUMBER(F297)),E297-F297,"No disponible")</f>
        <v>0</v>
      </c>
      <c r="H297" s="8" t="s">
        <v>1290</v>
      </c>
      <c r="I297" s="8" t="s">
        <v>56</v>
      </c>
      <c r="J297" s="8" t="s">
        <v>43</v>
      </c>
      <c r="K297" s="8" t="s">
        <v>107</v>
      </c>
      <c r="L297" s="8" t="s">
        <v>45</v>
      </c>
      <c r="M297" s="8" t="s">
        <v>108</v>
      </c>
      <c r="N297" s="8" t="s">
        <v>46</v>
      </c>
      <c r="O297" s="8" t="s">
        <v>1291</v>
      </c>
      <c r="P297" s="8" t="s">
        <v>1292</v>
      </c>
      <c r="Q297" s="8" t="s">
        <v>59</v>
      </c>
      <c r="R297" s="8" t="s">
        <v>111</v>
      </c>
    </row>
    <row r="298" customFormat="false" ht="22.35" hidden="false" customHeight="false" outlineLevel="0" collapsed="false">
      <c r="A298" s="8" t="s">
        <v>1293</v>
      </c>
      <c r="B298" s="8" t="s">
        <v>1294</v>
      </c>
      <c r="C298" s="8" t="s">
        <v>1295</v>
      </c>
      <c r="D298" s="8" t="s">
        <v>86</v>
      </c>
      <c r="E298" s="9" t="n">
        <v>14221</v>
      </c>
      <c r="F298" s="9" t="s">
        <v>87</v>
      </c>
      <c r="G298" s="9" t="str">
        <f aca="false">IF(AND(ISNUMBER(E298),ISNUMBER(F298)),E298-F298,"No disponible")</f>
        <v>No disponible</v>
      </c>
      <c r="H298" s="8" t="s">
        <v>86</v>
      </c>
      <c r="I298" s="8" t="s">
        <v>56</v>
      </c>
      <c r="J298" s="8" t="s">
        <v>87</v>
      </c>
      <c r="K298" s="8" t="s">
        <v>140</v>
      </c>
      <c r="L298" s="8" t="s">
        <v>141</v>
      </c>
      <c r="M298" s="8" t="s">
        <v>82</v>
      </c>
      <c r="N298" s="8" t="s">
        <v>46</v>
      </c>
      <c r="O298" s="8" t="s">
        <v>87</v>
      </c>
      <c r="P298" s="8"/>
      <c r="Q298" s="8" t="s">
        <v>87</v>
      </c>
      <c r="R298" s="8" t="s">
        <v>86</v>
      </c>
    </row>
    <row r="299" customFormat="false" ht="22.35" hidden="false" customHeight="false" outlineLevel="0" collapsed="false">
      <c r="A299" s="8" t="s">
        <v>1293</v>
      </c>
      <c r="B299" s="8" t="s">
        <v>1294</v>
      </c>
      <c r="C299" s="8" t="s">
        <v>1296</v>
      </c>
      <c r="D299" s="8" t="s">
        <v>86</v>
      </c>
      <c r="E299" s="9" t="n">
        <v>10000</v>
      </c>
      <c r="F299" s="9" t="s">
        <v>87</v>
      </c>
      <c r="G299" s="9" t="str">
        <f aca="false">IF(AND(ISNUMBER(E299),ISNUMBER(F299)),E299-F299,"No disponible")</f>
        <v>No disponible</v>
      </c>
      <c r="H299" s="8" t="s">
        <v>86</v>
      </c>
      <c r="I299" s="8" t="s">
        <v>56</v>
      </c>
      <c r="J299" s="8" t="s">
        <v>87</v>
      </c>
      <c r="K299" s="8" t="s">
        <v>140</v>
      </c>
      <c r="L299" s="8" t="s">
        <v>141</v>
      </c>
      <c r="M299" s="8" t="s">
        <v>82</v>
      </c>
      <c r="N299" s="8" t="s">
        <v>46</v>
      </c>
      <c r="O299" s="8" t="s">
        <v>87</v>
      </c>
      <c r="P299" s="8"/>
      <c r="Q299" s="8" t="s">
        <v>87</v>
      </c>
      <c r="R299" s="8" t="s">
        <v>86</v>
      </c>
    </row>
    <row r="300" customFormat="false" ht="32.8" hidden="false" customHeight="false" outlineLevel="0" collapsed="false">
      <c r="A300" s="8" t="s">
        <v>1297</v>
      </c>
      <c r="B300" s="8" t="s">
        <v>1298</v>
      </c>
      <c r="C300" s="8" t="s">
        <v>1299</v>
      </c>
      <c r="D300" s="8" t="s">
        <v>546</v>
      </c>
      <c r="E300" s="9" t="n">
        <v>12666650</v>
      </c>
      <c r="F300" s="9" t="n">
        <v>12666650</v>
      </c>
      <c r="G300" s="9" t="n">
        <f aca="false">IF(AND(ISNUMBER(E300),ISNUMBER(F300)),E300-F300,"No disponible")</f>
        <v>0</v>
      </c>
      <c r="H300" s="8" t="s">
        <v>1300</v>
      </c>
      <c r="I300" s="8" t="s">
        <v>56</v>
      </c>
      <c r="J300" s="8" t="s">
        <v>43</v>
      </c>
      <c r="K300" s="8" t="s">
        <v>107</v>
      </c>
      <c r="L300" s="8" t="s">
        <v>45</v>
      </c>
      <c r="M300" s="8" t="s">
        <v>108</v>
      </c>
      <c r="N300" s="8" t="s">
        <v>46</v>
      </c>
      <c r="O300" s="8" t="s">
        <v>1301</v>
      </c>
      <c r="P300" s="8" t="s">
        <v>1302</v>
      </c>
      <c r="Q300" s="8" t="s">
        <v>59</v>
      </c>
      <c r="R300" s="8" t="s">
        <v>111</v>
      </c>
    </row>
    <row r="301" customFormat="false" ht="43.25" hidden="false" customHeight="false" outlineLevel="0" collapsed="false">
      <c r="A301" s="8" t="s">
        <v>1303</v>
      </c>
      <c r="B301" s="8" t="s">
        <v>1304</v>
      </c>
      <c r="C301" s="8" t="s">
        <v>1305</v>
      </c>
      <c r="D301" s="8" t="s">
        <v>127</v>
      </c>
      <c r="E301" s="9" t="n">
        <v>24000</v>
      </c>
      <c r="F301" s="9" t="n">
        <v>24000</v>
      </c>
      <c r="G301" s="9" t="n">
        <f aca="false">IF(AND(ISNUMBER(E301),ISNUMBER(F301)),E301-F301,"No disponible")</f>
        <v>0</v>
      </c>
      <c r="H301" s="8" t="s">
        <v>64</v>
      </c>
      <c r="I301" s="8" t="s">
        <v>42</v>
      </c>
      <c r="J301" s="8" t="s">
        <v>43</v>
      </c>
      <c r="K301" s="8" t="s">
        <v>44</v>
      </c>
      <c r="L301" s="8" t="s">
        <v>45</v>
      </c>
      <c r="M301" s="8" t="s">
        <v>6</v>
      </c>
      <c r="N301" s="8" t="s">
        <v>46</v>
      </c>
      <c r="O301" s="8" t="s">
        <v>1306</v>
      </c>
      <c r="P301" s="8" t="s">
        <v>1307</v>
      </c>
      <c r="Q301" s="8" t="s">
        <v>59</v>
      </c>
      <c r="R301" s="8" t="s">
        <v>50</v>
      </c>
    </row>
    <row r="302" customFormat="false" ht="43.25" hidden="false" customHeight="false" outlineLevel="0" collapsed="false">
      <c r="A302" s="8" t="s">
        <v>1303</v>
      </c>
      <c r="B302" s="8" t="s">
        <v>1304</v>
      </c>
      <c r="C302" s="8" t="s">
        <v>1308</v>
      </c>
      <c r="D302" s="8" t="s">
        <v>127</v>
      </c>
      <c r="E302" s="9" t="n">
        <v>24000</v>
      </c>
      <c r="F302" s="9" t="n">
        <v>24000</v>
      </c>
      <c r="G302" s="9" t="n">
        <f aca="false">IF(AND(ISNUMBER(E302),ISNUMBER(F302)),E302-F302,"No disponible")</f>
        <v>0</v>
      </c>
      <c r="H302" s="8" t="s">
        <v>64</v>
      </c>
      <c r="I302" s="8" t="s">
        <v>42</v>
      </c>
      <c r="J302" s="8" t="s">
        <v>43</v>
      </c>
      <c r="K302" s="8" t="s">
        <v>44</v>
      </c>
      <c r="L302" s="8" t="s">
        <v>45</v>
      </c>
      <c r="M302" s="8" t="s">
        <v>6</v>
      </c>
      <c r="N302" s="8" t="s">
        <v>46</v>
      </c>
      <c r="O302" s="8" t="s">
        <v>1309</v>
      </c>
      <c r="P302" s="8" t="s">
        <v>1310</v>
      </c>
      <c r="Q302" s="8" t="s">
        <v>59</v>
      </c>
      <c r="R302" s="8" t="s">
        <v>50</v>
      </c>
    </row>
    <row r="303" customFormat="false" ht="43.25" hidden="false" customHeight="false" outlineLevel="0" collapsed="false">
      <c r="A303" s="8" t="s">
        <v>1311</v>
      </c>
      <c r="B303" s="8" t="s">
        <v>1312</v>
      </c>
      <c r="C303" s="8" t="s">
        <v>1313</v>
      </c>
      <c r="D303" s="8" t="s">
        <v>1314</v>
      </c>
      <c r="E303" s="9" t="n">
        <v>708750</v>
      </c>
      <c r="F303" s="9" t="n">
        <v>708750</v>
      </c>
      <c r="G303" s="9" t="n">
        <f aca="false">IF(AND(ISNUMBER(E303),ISNUMBER(F303)),E303-F303,"No disponible")</f>
        <v>0</v>
      </c>
      <c r="H303" s="8" t="s">
        <v>1315</v>
      </c>
      <c r="I303" s="8" t="s">
        <v>56</v>
      </c>
      <c r="J303" s="8" t="s">
        <v>43</v>
      </c>
      <c r="K303" s="8" t="s">
        <v>44</v>
      </c>
      <c r="L303" s="8" t="s">
        <v>45</v>
      </c>
      <c r="M303" s="8" t="s">
        <v>6</v>
      </c>
      <c r="N303" s="8" t="s">
        <v>46</v>
      </c>
      <c r="O303" s="8" t="s">
        <v>1316</v>
      </c>
      <c r="P303" s="8" t="s">
        <v>1317</v>
      </c>
      <c r="Q303" s="8" t="s">
        <v>59</v>
      </c>
      <c r="R303" s="8" t="s">
        <v>50</v>
      </c>
    </row>
    <row r="304" customFormat="false" ht="43.25" hidden="false" customHeight="false" outlineLevel="0" collapsed="false">
      <c r="A304" s="8" t="s">
        <v>1318</v>
      </c>
      <c r="B304" s="8" t="s">
        <v>1319</v>
      </c>
      <c r="C304" s="8" t="s">
        <v>1320</v>
      </c>
      <c r="D304" s="8" t="s">
        <v>93</v>
      </c>
      <c r="E304" s="9" t="n">
        <v>296900</v>
      </c>
      <c r="F304" s="9" t="n">
        <v>296900</v>
      </c>
      <c r="G304" s="9" t="n">
        <f aca="false">IF(AND(ISNUMBER(E304),ISNUMBER(F304)),E304-F304,"No disponible")</f>
        <v>0</v>
      </c>
      <c r="H304" s="8" t="s">
        <v>1321</v>
      </c>
      <c r="I304" s="8" t="s">
        <v>56</v>
      </c>
      <c r="J304" s="8" t="s">
        <v>43</v>
      </c>
      <c r="K304" s="8" t="s">
        <v>44</v>
      </c>
      <c r="L304" s="8" t="s">
        <v>45</v>
      </c>
      <c r="M304" s="8" t="s">
        <v>6</v>
      </c>
      <c r="N304" s="8" t="s">
        <v>46</v>
      </c>
      <c r="O304" s="8" t="s">
        <v>1322</v>
      </c>
      <c r="P304" s="8" t="s">
        <v>1323</v>
      </c>
      <c r="Q304" s="8" t="s">
        <v>59</v>
      </c>
      <c r="R304" s="8" t="s">
        <v>50</v>
      </c>
    </row>
    <row r="305" customFormat="false" ht="32.8" hidden="false" customHeight="false" outlineLevel="0" collapsed="false">
      <c r="A305" s="8" t="s">
        <v>1324</v>
      </c>
      <c r="B305" s="8" t="s">
        <v>1325</v>
      </c>
      <c r="C305" s="8" t="s">
        <v>1326</v>
      </c>
      <c r="D305" s="8" t="s">
        <v>1327</v>
      </c>
      <c r="E305" s="9" t="n">
        <v>315116.34</v>
      </c>
      <c r="F305" s="9" t="n">
        <v>315117</v>
      </c>
      <c r="G305" s="9" t="n">
        <f aca="false">IF(AND(ISNUMBER(E305),ISNUMBER(F305)),E305-F305,"No disponible")</f>
        <v>-0.659999999974389</v>
      </c>
      <c r="H305" s="8" t="s">
        <v>1328</v>
      </c>
      <c r="I305" s="8" t="s">
        <v>56</v>
      </c>
      <c r="J305" s="8" t="s">
        <v>43</v>
      </c>
      <c r="K305" s="8" t="s">
        <v>114</v>
      </c>
      <c r="L305" s="8" t="s">
        <v>45</v>
      </c>
      <c r="M305" s="8" t="s">
        <v>82</v>
      </c>
      <c r="N305" s="8" t="s">
        <v>46</v>
      </c>
      <c r="O305" s="8" t="s">
        <v>1329</v>
      </c>
      <c r="P305" s="8" t="s">
        <v>1330</v>
      </c>
      <c r="Q305" s="8" t="s">
        <v>59</v>
      </c>
      <c r="R305" s="8" t="s">
        <v>111</v>
      </c>
    </row>
    <row r="306" customFormat="false" ht="43.25" hidden="false" customHeight="false" outlineLevel="0" collapsed="false">
      <c r="A306" s="8" t="s">
        <v>1331</v>
      </c>
      <c r="B306" s="8" t="s">
        <v>1332</v>
      </c>
      <c r="C306" s="8" t="s">
        <v>1333</v>
      </c>
      <c r="D306" s="8" t="s">
        <v>227</v>
      </c>
      <c r="E306" s="9" t="n">
        <v>2000</v>
      </c>
      <c r="F306" s="9" t="n">
        <v>2000</v>
      </c>
      <c r="G306" s="9" t="n">
        <f aca="false">IF(AND(ISNUMBER(E306),ISNUMBER(F306)),E306-F306,"No disponible")</f>
        <v>0</v>
      </c>
      <c r="H306" s="8" t="s">
        <v>64</v>
      </c>
      <c r="I306" s="8" t="s">
        <v>42</v>
      </c>
      <c r="J306" s="8" t="s">
        <v>43</v>
      </c>
      <c r="K306" s="8" t="s">
        <v>44</v>
      </c>
      <c r="L306" s="8" t="s">
        <v>45</v>
      </c>
      <c r="M306" s="8" t="s">
        <v>6</v>
      </c>
      <c r="N306" s="8" t="s">
        <v>46</v>
      </c>
      <c r="O306" s="8" t="s">
        <v>1334</v>
      </c>
      <c r="P306" s="8" t="s">
        <v>1335</v>
      </c>
      <c r="Q306" s="8" t="s">
        <v>49</v>
      </c>
      <c r="R306" s="8" t="s">
        <v>50</v>
      </c>
    </row>
    <row r="307" customFormat="false" ht="43.25" hidden="false" customHeight="false" outlineLevel="0" collapsed="false">
      <c r="A307" s="8" t="s">
        <v>1331</v>
      </c>
      <c r="B307" s="8" t="s">
        <v>1332</v>
      </c>
      <c r="C307" s="8" t="s">
        <v>1336</v>
      </c>
      <c r="D307" s="8" t="s">
        <v>227</v>
      </c>
      <c r="E307" s="9" t="n">
        <v>4000</v>
      </c>
      <c r="F307" s="9" t="n">
        <v>4000</v>
      </c>
      <c r="G307" s="9" t="n">
        <f aca="false">IF(AND(ISNUMBER(E307),ISNUMBER(F307)),E307-F307,"No disponible")</f>
        <v>0</v>
      </c>
      <c r="H307" s="8" t="s">
        <v>64</v>
      </c>
      <c r="I307" s="8" t="s">
        <v>42</v>
      </c>
      <c r="J307" s="8" t="s">
        <v>43</v>
      </c>
      <c r="K307" s="8" t="s">
        <v>44</v>
      </c>
      <c r="L307" s="8" t="s">
        <v>45</v>
      </c>
      <c r="M307" s="8" t="s">
        <v>6</v>
      </c>
      <c r="N307" s="8" t="s">
        <v>46</v>
      </c>
      <c r="O307" s="8" t="s">
        <v>1337</v>
      </c>
      <c r="P307" s="8" t="s">
        <v>1338</v>
      </c>
      <c r="Q307" s="8" t="s">
        <v>49</v>
      </c>
      <c r="R307" s="8" t="s">
        <v>50</v>
      </c>
    </row>
    <row r="308" customFormat="false" ht="32.8" hidden="false" customHeight="false" outlineLevel="0" collapsed="false">
      <c r="A308" s="8" t="s">
        <v>1339</v>
      </c>
      <c r="B308" s="8" t="s">
        <v>1340</v>
      </c>
      <c r="C308" s="8" t="s">
        <v>1341</v>
      </c>
      <c r="D308" s="8" t="s">
        <v>93</v>
      </c>
      <c r="E308" s="9" t="n">
        <v>40000</v>
      </c>
      <c r="F308" s="9" t="n">
        <v>39999</v>
      </c>
      <c r="G308" s="9" t="n">
        <f aca="false">IF(AND(ISNUMBER(E308),ISNUMBER(F308)),E308-F308,"No disponible")</f>
        <v>1</v>
      </c>
      <c r="H308" s="8" t="s">
        <v>1342</v>
      </c>
      <c r="I308" s="8" t="s">
        <v>56</v>
      </c>
      <c r="J308" s="8" t="s">
        <v>43</v>
      </c>
      <c r="K308" s="8" t="s">
        <v>81</v>
      </c>
      <c r="L308" s="8" t="s">
        <v>45</v>
      </c>
      <c r="M308" s="8" t="s">
        <v>82</v>
      </c>
      <c r="N308" s="8" t="s">
        <v>46</v>
      </c>
      <c r="O308" s="8" t="s">
        <v>1343</v>
      </c>
      <c r="P308" s="8" t="s">
        <v>1344</v>
      </c>
      <c r="Q308" s="8" t="s">
        <v>59</v>
      </c>
      <c r="R308" s="8" t="s">
        <v>50</v>
      </c>
    </row>
    <row r="309" customFormat="false" ht="43.25" hidden="false" customHeight="false" outlineLevel="0" collapsed="false">
      <c r="A309" s="8" t="s">
        <v>1345</v>
      </c>
      <c r="B309" s="8" t="s">
        <v>1346</v>
      </c>
      <c r="C309" s="8" t="s">
        <v>1347</v>
      </c>
      <c r="D309" s="8" t="s">
        <v>948</v>
      </c>
      <c r="E309" s="9" t="n">
        <v>195500</v>
      </c>
      <c r="F309" s="9" t="n">
        <v>195500</v>
      </c>
      <c r="G309" s="9" t="n">
        <f aca="false">IF(AND(ISNUMBER(E309),ISNUMBER(F309)),E309-F309,"No disponible")</f>
        <v>0</v>
      </c>
      <c r="H309" s="8" t="s">
        <v>1348</v>
      </c>
      <c r="I309" s="8" t="s">
        <v>56</v>
      </c>
      <c r="J309" s="8" t="s">
        <v>43</v>
      </c>
      <c r="K309" s="8" t="s">
        <v>44</v>
      </c>
      <c r="L309" s="8" t="s">
        <v>45</v>
      </c>
      <c r="M309" s="8" t="s">
        <v>6</v>
      </c>
      <c r="N309" s="8" t="s">
        <v>46</v>
      </c>
      <c r="O309" s="8" t="s">
        <v>1349</v>
      </c>
      <c r="P309" s="8" t="s">
        <v>1350</v>
      </c>
      <c r="Q309" s="8" t="s">
        <v>59</v>
      </c>
      <c r="R309" s="8" t="s">
        <v>50</v>
      </c>
    </row>
    <row r="310" customFormat="false" ht="32.8" hidden="false" customHeight="false" outlineLevel="0" collapsed="false">
      <c r="A310" s="8" t="s">
        <v>1345</v>
      </c>
      <c r="B310" s="8" t="s">
        <v>1346</v>
      </c>
      <c r="C310" s="8" t="s">
        <v>1351</v>
      </c>
      <c r="D310" s="8" t="s">
        <v>948</v>
      </c>
      <c r="E310" s="9" t="n">
        <v>49500</v>
      </c>
      <c r="F310" s="9" t="n">
        <v>49500</v>
      </c>
      <c r="G310" s="9" t="n">
        <f aca="false">IF(AND(ISNUMBER(E310),ISNUMBER(F310)),E310-F310,"No disponible")</f>
        <v>0</v>
      </c>
      <c r="H310" s="8" t="s">
        <v>1352</v>
      </c>
      <c r="I310" s="8" t="s">
        <v>56</v>
      </c>
      <c r="J310" s="8" t="s">
        <v>43</v>
      </c>
      <c r="K310" s="8" t="s">
        <v>190</v>
      </c>
      <c r="L310" s="8" t="s">
        <v>45</v>
      </c>
      <c r="M310" s="8" t="s">
        <v>6</v>
      </c>
      <c r="N310" s="8" t="s">
        <v>46</v>
      </c>
      <c r="O310" s="8" t="s">
        <v>1353</v>
      </c>
      <c r="P310" s="8" t="s">
        <v>1354</v>
      </c>
      <c r="Q310" s="8" t="s">
        <v>193</v>
      </c>
      <c r="R310" s="8" t="s">
        <v>50</v>
      </c>
    </row>
    <row r="311" customFormat="false" ht="22.35" hidden="false" customHeight="false" outlineLevel="0" collapsed="false">
      <c r="A311" s="8" t="s">
        <v>1345</v>
      </c>
      <c r="B311" s="8" t="s">
        <v>1346</v>
      </c>
      <c r="C311" s="8" t="s">
        <v>1355</v>
      </c>
      <c r="D311" s="8" t="s">
        <v>86</v>
      </c>
      <c r="E311" s="9" t="n">
        <v>20000</v>
      </c>
      <c r="F311" s="9" t="s">
        <v>87</v>
      </c>
      <c r="G311" s="9" t="str">
        <f aca="false">IF(AND(ISNUMBER(E311),ISNUMBER(F311)),E311-F311,"No disponible")</f>
        <v>No disponible</v>
      </c>
      <c r="H311" s="8" t="s">
        <v>86</v>
      </c>
      <c r="I311" s="8" t="s">
        <v>56</v>
      </c>
      <c r="J311" s="8" t="s">
        <v>87</v>
      </c>
      <c r="K311" s="8" t="s">
        <v>88</v>
      </c>
      <c r="L311" s="8" t="s">
        <v>89</v>
      </c>
      <c r="M311" s="8" t="s">
        <v>82</v>
      </c>
      <c r="N311" s="8" t="s">
        <v>46</v>
      </c>
      <c r="O311" s="8" t="s">
        <v>87</v>
      </c>
      <c r="P311" s="8"/>
      <c r="Q311" s="8" t="s">
        <v>87</v>
      </c>
      <c r="R311" s="8" t="s">
        <v>86</v>
      </c>
    </row>
    <row r="312" customFormat="false" ht="53.7" hidden="false" customHeight="false" outlineLevel="0" collapsed="false">
      <c r="A312" s="8" t="s">
        <v>1356</v>
      </c>
      <c r="B312" s="8" t="s">
        <v>1357</v>
      </c>
      <c r="C312" s="8" t="s">
        <v>1358</v>
      </c>
      <c r="D312" s="8" t="s">
        <v>1359</v>
      </c>
      <c r="E312" s="9" t="n">
        <v>1190000</v>
      </c>
      <c r="F312" s="9" t="n">
        <v>1190000</v>
      </c>
      <c r="G312" s="9" t="n">
        <f aca="false">IF(AND(ISNUMBER(E312),ISNUMBER(F312)),E312-F312,"No disponible")</f>
        <v>0</v>
      </c>
      <c r="H312" s="8" t="s">
        <v>1360</v>
      </c>
      <c r="I312" s="8" t="s">
        <v>56</v>
      </c>
      <c r="J312" s="8" t="s">
        <v>43</v>
      </c>
      <c r="K312" s="8" t="s">
        <v>44</v>
      </c>
      <c r="L312" s="8" t="s">
        <v>45</v>
      </c>
      <c r="M312" s="8" t="s">
        <v>6</v>
      </c>
      <c r="N312" s="8" t="s">
        <v>46</v>
      </c>
      <c r="O312" s="8" t="s">
        <v>1361</v>
      </c>
      <c r="P312" s="8" t="s">
        <v>1362</v>
      </c>
      <c r="Q312" s="8" t="s">
        <v>59</v>
      </c>
      <c r="R312" s="8" t="s">
        <v>50</v>
      </c>
    </row>
    <row r="313" customFormat="false" ht="43.25" hidden="false" customHeight="false" outlineLevel="0" collapsed="false">
      <c r="A313" s="8" t="s">
        <v>1363</v>
      </c>
      <c r="B313" s="8" t="s">
        <v>1364</v>
      </c>
      <c r="C313" s="8" t="s">
        <v>1365</v>
      </c>
      <c r="D313" s="8" t="s">
        <v>266</v>
      </c>
      <c r="E313" s="9" t="n">
        <v>75000</v>
      </c>
      <c r="F313" s="9" t="n">
        <v>75000</v>
      </c>
      <c r="G313" s="9" t="n">
        <f aca="false">IF(AND(ISNUMBER(E313),ISNUMBER(F313)),E313-F313,"No disponible")</f>
        <v>0</v>
      </c>
      <c r="H313" s="8" t="s">
        <v>1366</v>
      </c>
      <c r="I313" s="8" t="s">
        <v>56</v>
      </c>
      <c r="J313" s="8" t="s">
        <v>43</v>
      </c>
      <c r="K313" s="8" t="s">
        <v>44</v>
      </c>
      <c r="L313" s="8" t="s">
        <v>45</v>
      </c>
      <c r="M313" s="8" t="s">
        <v>6</v>
      </c>
      <c r="N313" s="8" t="s">
        <v>46</v>
      </c>
      <c r="O313" s="8" t="s">
        <v>1367</v>
      </c>
      <c r="P313" s="8" t="s">
        <v>1368</v>
      </c>
      <c r="Q313" s="8" t="s">
        <v>59</v>
      </c>
      <c r="R313" s="8" t="s">
        <v>50</v>
      </c>
    </row>
    <row r="314" customFormat="false" ht="22.35" hidden="false" customHeight="false" outlineLevel="0" collapsed="false">
      <c r="A314" s="8" t="s">
        <v>1369</v>
      </c>
      <c r="B314" s="8" t="s">
        <v>1370</v>
      </c>
      <c r="C314" s="8" t="s">
        <v>1371</v>
      </c>
      <c r="D314" s="8" t="s">
        <v>86</v>
      </c>
      <c r="E314" s="9" t="n">
        <v>15000</v>
      </c>
      <c r="F314" s="9" t="s">
        <v>87</v>
      </c>
      <c r="G314" s="9" t="str">
        <f aca="false">IF(AND(ISNUMBER(E314),ISNUMBER(F314)),E314-F314,"No disponible")</f>
        <v>No disponible</v>
      </c>
      <c r="H314" s="8" t="s">
        <v>86</v>
      </c>
      <c r="I314" s="8" t="s">
        <v>56</v>
      </c>
      <c r="J314" s="8" t="s">
        <v>87</v>
      </c>
      <c r="K314" s="8" t="s">
        <v>140</v>
      </c>
      <c r="L314" s="8" t="s">
        <v>141</v>
      </c>
      <c r="M314" s="8" t="s">
        <v>82</v>
      </c>
      <c r="N314" s="8" t="s">
        <v>46</v>
      </c>
      <c r="O314" s="8" t="s">
        <v>87</v>
      </c>
      <c r="P314" s="8"/>
      <c r="Q314" s="8" t="s">
        <v>87</v>
      </c>
      <c r="R314" s="8" t="s">
        <v>86</v>
      </c>
    </row>
    <row r="315" customFormat="false" ht="22.35" hidden="false" customHeight="false" outlineLevel="0" collapsed="false">
      <c r="A315" s="8" t="s">
        <v>1369</v>
      </c>
      <c r="B315" s="8" t="s">
        <v>1370</v>
      </c>
      <c r="C315" s="8" t="s">
        <v>1372</v>
      </c>
      <c r="D315" s="8" t="s">
        <v>86</v>
      </c>
      <c r="E315" s="9" t="n">
        <v>14015</v>
      </c>
      <c r="F315" s="9" t="s">
        <v>87</v>
      </c>
      <c r="G315" s="9" t="str">
        <f aca="false">IF(AND(ISNUMBER(E315),ISNUMBER(F315)),E315-F315,"No disponible")</f>
        <v>No disponible</v>
      </c>
      <c r="H315" s="8" t="s">
        <v>86</v>
      </c>
      <c r="I315" s="8" t="s">
        <v>56</v>
      </c>
      <c r="J315" s="8" t="s">
        <v>87</v>
      </c>
      <c r="K315" s="8" t="s">
        <v>140</v>
      </c>
      <c r="L315" s="8" t="s">
        <v>141</v>
      </c>
      <c r="M315" s="8" t="s">
        <v>82</v>
      </c>
      <c r="N315" s="8" t="s">
        <v>46</v>
      </c>
      <c r="O315" s="8" t="s">
        <v>87</v>
      </c>
      <c r="P315" s="8"/>
      <c r="Q315" s="8" t="s">
        <v>87</v>
      </c>
      <c r="R315" s="8" t="s">
        <v>86</v>
      </c>
    </row>
    <row r="316" customFormat="false" ht="43.25" hidden="false" customHeight="false" outlineLevel="0" collapsed="false">
      <c r="A316" s="8" t="s">
        <v>1373</v>
      </c>
      <c r="B316" s="8" t="s">
        <v>1374</v>
      </c>
      <c r="C316" s="8" t="s">
        <v>1375</v>
      </c>
      <c r="D316" s="8" t="s">
        <v>93</v>
      </c>
      <c r="E316" s="9" t="n">
        <v>398202</v>
      </c>
      <c r="F316" s="9" t="n">
        <v>398202</v>
      </c>
      <c r="G316" s="9" t="n">
        <f aca="false">IF(AND(ISNUMBER(E316),ISNUMBER(F316)),E316-F316,"No disponible")</f>
        <v>0</v>
      </c>
      <c r="H316" s="8" t="s">
        <v>1376</v>
      </c>
      <c r="I316" s="8" t="s">
        <v>56</v>
      </c>
      <c r="J316" s="8" t="s">
        <v>43</v>
      </c>
      <c r="K316" s="8" t="s">
        <v>44</v>
      </c>
      <c r="L316" s="8" t="s">
        <v>45</v>
      </c>
      <c r="M316" s="8" t="s">
        <v>6</v>
      </c>
      <c r="N316" s="8" t="s">
        <v>46</v>
      </c>
      <c r="O316" s="8" t="s">
        <v>1377</v>
      </c>
      <c r="P316" s="8" t="s">
        <v>1378</v>
      </c>
      <c r="Q316" s="8" t="s">
        <v>59</v>
      </c>
      <c r="R316" s="8" t="s">
        <v>50</v>
      </c>
    </row>
    <row r="317" customFormat="false" ht="43.25" hidden="false" customHeight="false" outlineLevel="0" collapsed="false">
      <c r="A317" s="8" t="s">
        <v>1379</v>
      </c>
      <c r="B317" s="8" t="s">
        <v>1380</v>
      </c>
      <c r="C317" s="8" t="s">
        <v>1381</v>
      </c>
      <c r="D317" s="8" t="s">
        <v>266</v>
      </c>
      <c r="E317" s="9" t="n">
        <v>421260</v>
      </c>
      <c r="F317" s="9" t="n">
        <v>421260</v>
      </c>
      <c r="G317" s="9" t="n">
        <f aca="false">IF(AND(ISNUMBER(E317),ISNUMBER(F317)),E317-F317,"No disponible")</f>
        <v>0</v>
      </c>
      <c r="H317" s="8" t="s">
        <v>1382</v>
      </c>
      <c r="I317" s="8" t="s">
        <v>56</v>
      </c>
      <c r="J317" s="8" t="s">
        <v>43</v>
      </c>
      <c r="K317" s="8" t="s">
        <v>44</v>
      </c>
      <c r="L317" s="8" t="s">
        <v>45</v>
      </c>
      <c r="M317" s="8" t="s">
        <v>6</v>
      </c>
      <c r="N317" s="8" t="s">
        <v>46</v>
      </c>
      <c r="O317" s="8" t="s">
        <v>1383</v>
      </c>
      <c r="P317" s="8" t="s">
        <v>1384</v>
      </c>
      <c r="Q317" s="8" t="s">
        <v>59</v>
      </c>
      <c r="R317" s="8" t="s">
        <v>50</v>
      </c>
    </row>
    <row r="318" customFormat="false" ht="22.35" hidden="false" customHeight="false" outlineLevel="0" collapsed="false">
      <c r="A318" s="8" t="s">
        <v>1385</v>
      </c>
      <c r="B318" s="8" t="s">
        <v>1386</v>
      </c>
      <c r="C318" s="8" t="s">
        <v>1387</v>
      </c>
      <c r="D318" s="8" t="s">
        <v>86</v>
      </c>
      <c r="E318" s="9" t="n">
        <v>1330374</v>
      </c>
      <c r="F318" s="9" t="s">
        <v>87</v>
      </c>
      <c r="G318" s="9" t="str">
        <f aca="false">IF(AND(ISNUMBER(E318),ISNUMBER(F318)),E318-F318,"No disponible")</f>
        <v>No disponible</v>
      </c>
      <c r="H318" s="8" t="s">
        <v>86</v>
      </c>
      <c r="I318" s="8" t="s">
        <v>56</v>
      </c>
      <c r="J318" s="8" t="s">
        <v>87</v>
      </c>
      <c r="K318" s="8" t="s">
        <v>140</v>
      </c>
      <c r="L318" s="8" t="s">
        <v>141</v>
      </c>
      <c r="M318" s="8" t="s">
        <v>82</v>
      </c>
      <c r="N318" s="8" t="s">
        <v>46</v>
      </c>
      <c r="O318" s="8" t="s">
        <v>87</v>
      </c>
      <c r="P318" s="8"/>
      <c r="Q318" s="8" t="s">
        <v>87</v>
      </c>
      <c r="R318" s="8" t="s">
        <v>86</v>
      </c>
    </row>
    <row r="319" customFormat="false" ht="32.8" hidden="false" customHeight="false" outlineLevel="0" collapsed="false">
      <c r="A319" s="8" t="s">
        <v>1388</v>
      </c>
      <c r="B319" s="8" t="s">
        <v>1389</v>
      </c>
      <c r="C319" s="8" t="s">
        <v>1390</v>
      </c>
      <c r="D319" s="8" t="s">
        <v>93</v>
      </c>
      <c r="E319" s="9" t="n">
        <v>8990573.76</v>
      </c>
      <c r="F319" s="9" t="n">
        <v>8990574</v>
      </c>
      <c r="G319" s="9" t="n">
        <f aca="false">IF(AND(ISNUMBER(E319),ISNUMBER(F319)),E319-F319,"No disponible")</f>
        <v>-0.240000000223517</v>
      </c>
      <c r="H319" s="8" t="s">
        <v>1391</v>
      </c>
      <c r="I319" s="8" t="s">
        <v>56</v>
      </c>
      <c r="J319" s="8" t="s">
        <v>43</v>
      </c>
      <c r="K319" s="8" t="s">
        <v>81</v>
      </c>
      <c r="L319" s="8" t="s">
        <v>45</v>
      </c>
      <c r="M319" s="8" t="s">
        <v>82</v>
      </c>
      <c r="N319" s="8" t="s">
        <v>46</v>
      </c>
      <c r="O319" s="8" t="s">
        <v>1392</v>
      </c>
      <c r="P319" s="8" t="s">
        <v>1393</v>
      </c>
      <c r="Q319" s="8" t="s">
        <v>59</v>
      </c>
      <c r="R319" s="8" t="s">
        <v>50</v>
      </c>
    </row>
    <row r="320" customFormat="false" ht="22.35" hidden="false" customHeight="false" outlineLevel="0" collapsed="false">
      <c r="A320" s="8" t="s">
        <v>1394</v>
      </c>
      <c r="B320" s="8" t="s">
        <v>1395</v>
      </c>
      <c r="C320" s="8" t="s">
        <v>1396</v>
      </c>
      <c r="D320" s="8" t="s">
        <v>86</v>
      </c>
      <c r="E320" s="9" t="n">
        <v>17783</v>
      </c>
      <c r="F320" s="9" t="s">
        <v>87</v>
      </c>
      <c r="G320" s="9" t="str">
        <f aca="false">IF(AND(ISNUMBER(E320),ISNUMBER(F320)),E320-F320,"No disponible")</f>
        <v>No disponible</v>
      </c>
      <c r="H320" s="8" t="s">
        <v>86</v>
      </c>
      <c r="I320" s="8" t="s">
        <v>56</v>
      </c>
      <c r="J320" s="8" t="s">
        <v>87</v>
      </c>
      <c r="K320" s="8" t="s">
        <v>140</v>
      </c>
      <c r="L320" s="8" t="s">
        <v>141</v>
      </c>
      <c r="M320" s="8" t="s">
        <v>82</v>
      </c>
      <c r="N320" s="8" t="s">
        <v>46</v>
      </c>
      <c r="O320" s="8" t="s">
        <v>87</v>
      </c>
      <c r="P320" s="8"/>
      <c r="Q320" s="8" t="s">
        <v>87</v>
      </c>
      <c r="R320" s="8" t="s">
        <v>86</v>
      </c>
    </row>
    <row r="321" customFormat="false" ht="22.35" hidden="false" customHeight="false" outlineLevel="0" collapsed="false">
      <c r="A321" s="8" t="s">
        <v>1394</v>
      </c>
      <c r="B321" s="8" t="s">
        <v>1395</v>
      </c>
      <c r="C321" s="8" t="s">
        <v>1397</v>
      </c>
      <c r="D321" s="8" t="s">
        <v>86</v>
      </c>
      <c r="E321" s="9" t="n">
        <v>15000</v>
      </c>
      <c r="F321" s="9" t="s">
        <v>87</v>
      </c>
      <c r="G321" s="9" t="str">
        <f aca="false">IF(AND(ISNUMBER(E321),ISNUMBER(F321)),E321-F321,"No disponible")</f>
        <v>No disponible</v>
      </c>
      <c r="H321" s="8" t="s">
        <v>86</v>
      </c>
      <c r="I321" s="8" t="s">
        <v>56</v>
      </c>
      <c r="J321" s="8" t="s">
        <v>87</v>
      </c>
      <c r="K321" s="8" t="s">
        <v>140</v>
      </c>
      <c r="L321" s="8" t="s">
        <v>141</v>
      </c>
      <c r="M321" s="8" t="s">
        <v>82</v>
      </c>
      <c r="N321" s="8" t="s">
        <v>46</v>
      </c>
      <c r="O321" s="8" t="s">
        <v>87</v>
      </c>
      <c r="P321" s="8"/>
      <c r="Q321" s="8" t="s">
        <v>87</v>
      </c>
      <c r="R321" s="8" t="s">
        <v>86</v>
      </c>
    </row>
    <row r="322" customFormat="false" ht="22.35" hidden="false" customHeight="false" outlineLevel="0" collapsed="false">
      <c r="A322" s="8" t="s">
        <v>1394</v>
      </c>
      <c r="B322" s="8" t="s">
        <v>1395</v>
      </c>
      <c r="C322" s="8" t="s">
        <v>1398</v>
      </c>
      <c r="D322" s="8" t="s">
        <v>86</v>
      </c>
      <c r="E322" s="9" t="n">
        <v>17017</v>
      </c>
      <c r="F322" s="9" t="s">
        <v>87</v>
      </c>
      <c r="G322" s="9" t="str">
        <f aca="false">IF(AND(ISNUMBER(E322),ISNUMBER(F322)),E322-F322,"No disponible")</f>
        <v>No disponible</v>
      </c>
      <c r="H322" s="8" t="s">
        <v>86</v>
      </c>
      <c r="I322" s="8" t="s">
        <v>56</v>
      </c>
      <c r="J322" s="8" t="s">
        <v>87</v>
      </c>
      <c r="K322" s="8" t="s">
        <v>140</v>
      </c>
      <c r="L322" s="8" t="s">
        <v>141</v>
      </c>
      <c r="M322" s="8" t="s">
        <v>82</v>
      </c>
      <c r="N322" s="8" t="s">
        <v>46</v>
      </c>
      <c r="O322" s="8" t="s">
        <v>87</v>
      </c>
      <c r="P322" s="8"/>
      <c r="Q322" s="8" t="s">
        <v>87</v>
      </c>
      <c r="R322" s="8" t="s">
        <v>86</v>
      </c>
    </row>
    <row r="323" customFormat="false" ht="22.35" hidden="false" customHeight="false" outlineLevel="0" collapsed="false">
      <c r="A323" s="8" t="s">
        <v>1394</v>
      </c>
      <c r="B323" s="8" t="s">
        <v>1395</v>
      </c>
      <c r="C323" s="8" t="s">
        <v>1399</v>
      </c>
      <c r="D323" s="8" t="s">
        <v>86</v>
      </c>
      <c r="E323" s="9" t="n">
        <v>14000</v>
      </c>
      <c r="F323" s="9" t="s">
        <v>87</v>
      </c>
      <c r="G323" s="9" t="str">
        <f aca="false">IF(AND(ISNUMBER(E323),ISNUMBER(F323)),E323-F323,"No disponible")</f>
        <v>No disponible</v>
      </c>
      <c r="H323" s="8" t="s">
        <v>86</v>
      </c>
      <c r="I323" s="8" t="s">
        <v>56</v>
      </c>
      <c r="J323" s="8" t="s">
        <v>87</v>
      </c>
      <c r="K323" s="8" t="s">
        <v>140</v>
      </c>
      <c r="L323" s="8" t="s">
        <v>141</v>
      </c>
      <c r="M323" s="8" t="s">
        <v>82</v>
      </c>
      <c r="N323" s="8" t="s">
        <v>46</v>
      </c>
      <c r="O323" s="8" t="s">
        <v>87</v>
      </c>
      <c r="P323" s="8"/>
      <c r="Q323" s="8" t="s">
        <v>87</v>
      </c>
      <c r="R323" s="8" t="s">
        <v>86</v>
      </c>
    </row>
    <row r="324" customFormat="false" ht="43.25" hidden="false" customHeight="false" outlineLevel="0" collapsed="false">
      <c r="A324" s="8" t="s">
        <v>1400</v>
      </c>
      <c r="B324" s="8" t="s">
        <v>1401</v>
      </c>
      <c r="C324" s="8" t="s">
        <v>1402</v>
      </c>
      <c r="D324" s="8" t="s">
        <v>93</v>
      </c>
      <c r="E324" s="9" t="n">
        <v>329535</v>
      </c>
      <c r="F324" s="9" t="n">
        <v>329535</v>
      </c>
      <c r="G324" s="9" t="n">
        <f aca="false">IF(AND(ISNUMBER(E324),ISNUMBER(F324)),E324-F324,"No disponible")</f>
        <v>0</v>
      </c>
      <c r="H324" s="8" t="s">
        <v>1403</v>
      </c>
      <c r="I324" s="8" t="s">
        <v>56</v>
      </c>
      <c r="J324" s="8" t="s">
        <v>43</v>
      </c>
      <c r="K324" s="8" t="s">
        <v>44</v>
      </c>
      <c r="L324" s="8" t="s">
        <v>45</v>
      </c>
      <c r="M324" s="8" t="s">
        <v>6</v>
      </c>
      <c r="N324" s="8" t="s">
        <v>46</v>
      </c>
      <c r="O324" s="8" t="s">
        <v>1404</v>
      </c>
      <c r="P324" s="8" t="s">
        <v>1405</v>
      </c>
      <c r="Q324" s="8" t="s">
        <v>59</v>
      </c>
      <c r="R324" s="8" t="s">
        <v>50</v>
      </c>
    </row>
    <row r="325" customFormat="false" ht="22.35" hidden="false" customHeight="false" outlineLevel="0" collapsed="false">
      <c r="A325" s="8" t="s">
        <v>1406</v>
      </c>
      <c r="B325" s="8" t="s">
        <v>1407</v>
      </c>
      <c r="C325" s="8" t="s">
        <v>1408</v>
      </c>
      <c r="D325" s="8" t="s">
        <v>86</v>
      </c>
      <c r="E325" s="9" t="n">
        <v>165920</v>
      </c>
      <c r="F325" s="9" t="s">
        <v>87</v>
      </c>
      <c r="G325" s="9" t="str">
        <f aca="false">IF(AND(ISNUMBER(E325),ISNUMBER(F325)),E325-F325,"No disponible")</f>
        <v>No disponible</v>
      </c>
      <c r="H325" s="8" t="s">
        <v>86</v>
      </c>
      <c r="I325" s="8" t="s">
        <v>56</v>
      </c>
      <c r="J325" s="8" t="s">
        <v>87</v>
      </c>
      <c r="K325" s="8" t="s">
        <v>140</v>
      </c>
      <c r="L325" s="8" t="s">
        <v>141</v>
      </c>
      <c r="M325" s="8" t="s">
        <v>82</v>
      </c>
      <c r="N325" s="8" t="s">
        <v>46</v>
      </c>
      <c r="O325" s="8" t="s">
        <v>87</v>
      </c>
      <c r="P325" s="8"/>
      <c r="Q325" s="8" t="s">
        <v>87</v>
      </c>
      <c r="R325" s="8" t="s">
        <v>86</v>
      </c>
    </row>
    <row r="326" customFormat="false" ht="43.25" hidden="false" customHeight="false" outlineLevel="0" collapsed="false">
      <c r="A326" s="8" t="s">
        <v>1409</v>
      </c>
      <c r="B326" s="8" t="s">
        <v>1410</v>
      </c>
      <c r="C326" s="8" t="s">
        <v>1411</v>
      </c>
      <c r="D326" s="8" t="s">
        <v>266</v>
      </c>
      <c r="E326" s="9" t="n">
        <v>746000</v>
      </c>
      <c r="F326" s="9" t="n">
        <v>746000</v>
      </c>
      <c r="G326" s="9" t="n">
        <f aca="false">IF(AND(ISNUMBER(E326),ISNUMBER(F326)),E326-F326,"No disponible")</f>
        <v>0</v>
      </c>
      <c r="H326" s="8" t="s">
        <v>1412</v>
      </c>
      <c r="I326" s="8" t="s">
        <v>56</v>
      </c>
      <c r="J326" s="8" t="s">
        <v>43</v>
      </c>
      <c r="K326" s="8" t="s">
        <v>44</v>
      </c>
      <c r="L326" s="8" t="s">
        <v>45</v>
      </c>
      <c r="M326" s="8" t="s">
        <v>6</v>
      </c>
      <c r="N326" s="8" t="s">
        <v>46</v>
      </c>
      <c r="O326" s="8" t="s">
        <v>1413</v>
      </c>
      <c r="P326" s="8" t="s">
        <v>1414</v>
      </c>
      <c r="Q326" s="8" t="s">
        <v>59</v>
      </c>
      <c r="R326" s="8" t="s">
        <v>50</v>
      </c>
    </row>
    <row r="327" customFormat="false" ht="43.25" hidden="false" customHeight="false" outlineLevel="0" collapsed="false">
      <c r="A327" s="8" t="s">
        <v>1415</v>
      </c>
      <c r="B327" s="8" t="s">
        <v>1416</v>
      </c>
      <c r="C327" s="8" t="s">
        <v>1417</v>
      </c>
      <c r="D327" s="8" t="s">
        <v>93</v>
      </c>
      <c r="E327" s="9" t="n">
        <v>865063</v>
      </c>
      <c r="F327" s="9" t="n">
        <v>865063</v>
      </c>
      <c r="G327" s="9" t="n">
        <f aca="false">IF(AND(ISNUMBER(E327),ISNUMBER(F327)),E327-F327,"No disponible")</f>
        <v>0</v>
      </c>
      <c r="H327" s="8" t="s">
        <v>1418</v>
      </c>
      <c r="I327" s="8" t="s">
        <v>56</v>
      </c>
      <c r="J327" s="8" t="s">
        <v>43</v>
      </c>
      <c r="K327" s="8" t="s">
        <v>44</v>
      </c>
      <c r="L327" s="8" t="s">
        <v>45</v>
      </c>
      <c r="M327" s="8" t="s">
        <v>6</v>
      </c>
      <c r="N327" s="8" t="s">
        <v>46</v>
      </c>
      <c r="O327" s="8" t="s">
        <v>1419</v>
      </c>
      <c r="P327" s="8" t="s">
        <v>1420</v>
      </c>
      <c r="Q327" s="8" t="s">
        <v>59</v>
      </c>
      <c r="R327" s="8" t="s">
        <v>50</v>
      </c>
    </row>
    <row r="328" customFormat="false" ht="43.25" hidden="false" customHeight="false" outlineLevel="0" collapsed="false">
      <c r="A328" s="8" t="s">
        <v>1415</v>
      </c>
      <c r="B328" s="8" t="s">
        <v>1416</v>
      </c>
      <c r="C328" s="8" t="s">
        <v>1421</v>
      </c>
      <c r="D328" s="8" t="s">
        <v>93</v>
      </c>
      <c r="E328" s="9" t="n">
        <v>2658597</v>
      </c>
      <c r="F328" s="9" t="n">
        <v>2658597</v>
      </c>
      <c r="G328" s="9" t="n">
        <f aca="false">IF(AND(ISNUMBER(E328),ISNUMBER(F328)),E328-F328,"No disponible")</f>
        <v>0</v>
      </c>
      <c r="H328" s="8" t="s">
        <v>1422</v>
      </c>
      <c r="I328" s="8" t="s">
        <v>56</v>
      </c>
      <c r="J328" s="8" t="s">
        <v>43</v>
      </c>
      <c r="K328" s="8" t="s">
        <v>44</v>
      </c>
      <c r="L328" s="8" t="s">
        <v>45</v>
      </c>
      <c r="M328" s="8" t="s">
        <v>6</v>
      </c>
      <c r="N328" s="8" t="s">
        <v>46</v>
      </c>
      <c r="O328" s="8" t="s">
        <v>1423</v>
      </c>
      <c r="P328" s="8" t="s">
        <v>1424</v>
      </c>
      <c r="Q328" s="8" t="s">
        <v>59</v>
      </c>
      <c r="R328" s="8" t="s">
        <v>50</v>
      </c>
    </row>
    <row r="329" customFormat="false" ht="43.25" hidden="false" customHeight="false" outlineLevel="0" collapsed="false">
      <c r="A329" s="8" t="s">
        <v>1415</v>
      </c>
      <c r="B329" s="8" t="s">
        <v>1416</v>
      </c>
      <c r="C329" s="8" t="s">
        <v>1425</v>
      </c>
      <c r="D329" s="8" t="s">
        <v>93</v>
      </c>
      <c r="E329" s="9" t="n">
        <v>143330</v>
      </c>
      <c r="F329" s="9" t="n">
        <v>143330</v>
      </c>
      <c r="G329" s="9" t="n">
        <f aca="false">IF(AND(ISNUMBER(E329),ISNUMBER(F329)),E329-F329,"No disponible")</f>
        <v>0</v>
      </c>
      <c r="H329" s="8" t="s">
        <v>1426</v>
      </c>
      <c r="I329" s="8" t="s">
        <v>56</v>
      </c>
      <c r="J329" s="8" t="s">
        <v>43</v>
      </c>
      <c r="K329" s="8" t="s">
        <v>44</v>
      </c>
      <c r="L329" s="8" t="s">
        <v>45</v>
      </c>
      <c r="M329" s="8" t="s">
        <v>6</v>
      </c>
      <c r="N329" s="8" t="s">
        <v>46</v>
      </c>
      <c r="O329" s="8" t="s">
        <v>1427</v>
      </c>
      <c r="P329" s="8" t="s">
        <v>1428</v>
      </c>
      <c r="Q329" s="8" t="s">
        <v>59</v>
      </c>
      <c r="R329" s="8" t="s">
        <v>50</v>
      </c>
    </row>
    <row r="330" customFormat="false" ht="32.8" hidden="false" customHeight="false" outlineLevel="0" collapsed="false">
      <c r="A330" s="8" t="s">
        <v>1429</v>
      </c>
      <c r="B330" s="8" t="s">
        <v>1430</v>
      </c>
      <c r="C330" s="8" t="s">
        <v>1431</v>
      </c>
      <c r="D330" s="8" t="s">
        <v>1432</v>
      </c>
      <c r="E330" s="9" t="n">
        <v>672643</v>
      </c>
      <c r="F330" s="9" t="n">
        <v>672643</v>
      </c>
      <c r="G330" s="9" t="n">
        <f aca="false">IF(AND(ISNUMBER(E330),ISNUMBER(F330)),E330-F330,"No disponible")</f>
        <v>0</v>
      </c>
      <c r="H330" s="8" t="s">
        <v>1433</v>
      </c>
      <c r="I330" s="8" t="s">
        <v>56</v>
      </c>
      <c r="J330" s="8" t="s">
        <v>43</v>
      </c>
      <c r="K330" s="8" t="s">
        <v>107</v>
      </c>
      <c r="L330" s="8" t="s">
        <v>1434</v>
      </c>
      <c r="M330" s="8" t="s">
        <v>108</v>
      </c>
      <c r="N330" s="8" t="s">
        <v>46</v>
      </c>
      <c r="O330" s="8" t="s">
        <v>1435</v>
      </c>
      <c r="P330" s="8" t="s">
        <v>1436</v>
      </c>
      <c r="Q330" s="8" t="s">
        <v>59</v>
      </c>
      <c r="R330" s="8" t="s">
        <v>111</v>
      </c>
    </row>
    <row r="331" customFormat="false" ht="32.8" hidden="false" customHeight="false" outlineLevel="0" collapsed="false">
      <c r="A331" s="8" t="s">
        <v>1429</v>
      </c>
      <c r="B331" s="8" t="s">
        <v>1430</v>
      </c>
      <c r="C331" s="8" t="s">
        <v>1437</v>
      </c>
      <c r="D331" s="8" t="s">
        <v>183</v>
      </c>
      <c r="E331" s="9" t="n">
        <v>401614</v>
      </c>
      <c r="F331" s="9" t="n">
        <v>401614</v>
      </c>
      <c r="G331" s="9" t="n">
        <f aca="false">IF(AND(ISNUMBER(E331),ISNUMBER(F331)),E331-F331,"No disponible")</f>
        <v>0</v>
      </c>
      <c r="H331" s="8" t="s">
        <v>1438</v>
      </c>
      <c r="I331" s="8" t="s">
        <v>56</v>
      </c>
      <c r="J331" s="8" t="s">
        <v>43</v>
      </c>
      <c r="K331" s="8" t="s">
        <v>107</v>
      </c>
      <c r="L331" s="8" t="s">
        <v>45</v>
      </c>
      <c r="M331" s="8" t="s">
        <v>108</v>
      </c>
      <c r="N331" s="8" t="s">
        <v>46</v>
      </c>
      <c r="O331" s="8" t="s">
        <v>1439</v>
      </c>
      <c r="P331" s="8" t="s">
        <v>1440</v>
      </c>
      <c r="Q331" s="8" t="s">
        <v>59</v>
      </c>
      <c r="R331" s="8" t="s">
        <v>111</v>
      </c>
    </row>
    <row r="332" customFormat="false" ht="32.8" hidden="false" customHeight="false" outlineLevel="0" collapsed="false">
      <c r="A332" s="8" t="s">
        <v>1429</v>
      </c>
      <c r="B332" s="8" t="s">
        <v>1430</v>
      </c>
      <c r="C332" s="8" t="s">
        <v>1441</v>
      </c>
      <c r="D332" s="8" t="s">
        <v>86</v>
      </c>
      <c r="E332" s="9" t="n">
        <v>115855</v>
      </c>
      <c r="F332" s="9" t="s">
        <v>87</v>
      </c>
      <c r="G332" s="9" t="str">
        <f aca="false">IF(AND(ISNUMBER(E332),ISNUMBER(F332)),E332-F332,"No disponible")</f>
        <v>No disponible</v>
      </c>
      <c r="H332" s="8" t="s">
        <v>86</v>
      </c>
      <c r="I332" s="8" t="s">
        <v>65</v>
      </c>
      <c r="J332" s="8" t="s">
        <v>524</v>
      </c>
      <c r="K332" s="8" t="s">
        <v>525</v>
      </c>
      <c r="L332" s="8" t="s">
        <v>1442</v>
      </c>
      <c r="M332" s="8" t="s">
        <v>82</v>
      </c>
      <c r="N332" s="8" t="s">
        <v>46</v>
      </c>
      <c r="O332" s="8" t="s">
        <v>1443</v>
      </c>
      <c r="P332" s="8"/>
      <c r="Q332" s="8" t="s">
        <v>59</v>
      </c>
      <c r="R332" s="8" t="s">
        <v>86</v>
      </c>
    </row>
    <row r="333" customFormat="false" ht="43.25" hidden="false" customHeight="false" outlineLevel="0" collapsed="false">
      <c r="A333" s="8" t="s">
        <v>1444</v>
      </c>
      <c r="B333" s="8" t="s">
        <v>1445</v>
      </c>
      <c r="C333" s="8" t="s">
        <v>1446</v>
      </c>
      <c r="D333" s="8" t="s">
        <v>266</v>
      </c>
      <c r="E333" s="9" t="n">
        <v>32400</v>
      </c>
      <c r="F333" s="9" t="n">
        <v>32400</v>
      </c>
      <c r="G333" s="9" t="n">
        <f aca="false">IF(AND(ISNUMBER(E333),ISNUMBER(F333)),E333-F333,"No disponible")</f>
        <v>0</v>
      </c>
      <c r="H333" s="8" t="s">
        <v>1447</v>
      </c>
      <c r="I333" s="8" t="s">
        <v>56</v>
      </c>
      <c r="J333" s="8" t="s">
        <v>43</v>
      </c>
      <c r="K333" s="8" t="s">
        <v>44</v>
      </c>
      <c r="L333" s="8" t="s">
        <v>45</v>
      </c>
      <c r="M333" s="8" t="s">
        <v>6</v>
      </c>
      <c r="N333" s="8" t="s">
        <v>46</v>
      </c>
      <c r="O333" s="8" t="s">
        <v>1448</v>
      </c>
      <c r="P333" s="8" t="s">
        <v>1449</v>
      </c>
      <c r="Q333" s="8" t="s">
        <v>59</v>
      </c>
      <c r="R333" s="8" t="s">
        <v>50</v>
      </c>
    </row>
    <row r="334" customFormat="false" ht="32.8" hidden="false" customHeight="false" outlineLevel="0" collapsed="false">
      <c r="A334" s="8" t="s">
        <v>1444</v>
      </c>
      <c r="B334" s="8" t="s">
        <v>1445</v>
      </c>
      <c r="C334" s="8" t="s">
        <v>1450</v>
      </c>
      <c r="D334" s="8" t="s">
        <v>266</v>
      </c>
      <c r="E334" s="9" t="n">
        <v>80300</v>
      </c>
      <c r="F334" s="9" t="n">
        <v>80300</v>
      </c>
      <c r="G334" s="9" t="n">
        <f aca="false">IF(AND(ISNUMBER(E334),ISNUMBER(F334)),E334-F334,"No disponible")</f>
        <v>0</v>
      </c>
      <c r="H334" s="8" t="s">
        <v>1451</v>
      </c>
      <c r="I334" s="8" t="s">
        <v>56</v>
      </c>
      <c r="J334" s="8" t="s">
        <v>43</v>
      </c>
      <c r="K334" s="8" t="s">
        <v>190</v>
      </c>
      <c r="L334" s="8" t="s">
        <v>45</v>
      </c>
      <c r="M334" s="8" t="s">
        <v>6</v>
      </c>
      <c r="N334" s="8" t="s">
        <v>46</v>
      </c>
      <c r="O334" s="8" t="s">
        <v>1452</v>
      </c>
      <c r="P334" s="8" t="s">
        <v>1453</v>
      </c>
      <c r="Q334" s="8" t="s">
        <v>193</v>
      </c>
      <c r="R334" s="8" t="s">
        <v>50</v>
      </c>
    </row>
    <row r="335" customFormat="false" ht="32.8" hidden="false" customHeight="false" outlineLevel="0" collapsed="false">
      <c r="A335" s="8" t="s">
        <v>1444</v>
      </c>
      <c r="B335" s="8" t="s">
        <v>1445</v>
      </c>
      <c r="C335" s="8" t="s">
        <v>1454</v>
      </c>
      <c r="D335" s="8" t="s">
        <v>266</v>
      </c>
      <c r="E335" s="9" t="n">
        <v>47800</v>
      </c>
      <c r="F335" s="9" t="n">
        <v>47800</v>
      </c>
      <c r="G335" s="9" t="n">
        <f aca="false">IF(AND(ISNUMBER(E335),ISNUMBER(F335)),E335-F335,"No disponible")</f>
        <v>0</v>
      </c>
      <c r="H335" s="8" t="s">
        <v>1455</v>
      </c>
      <c r="I335" s="8" t="s">
        <v>56</v>
      </c>
      <c r="J335" s="8" t="s">
        <v>43</v>
      </c>
      <c r="K335" s="8" t="s">
        <v>190</v>
      </c>
      <c r="L335" s="8" t="s">
        <v>45</v>
      </c>
      <c r="M335" s="8" t="s">
        <v>6</v>
      </c>
      <c r="N335" s="8" t="s">
        <v>46</v>
      </c>
      <c r="O335" s="8" t="s">
        <v>1456</v>
      </c>
      <c r="P335" s="8" t="s">
        <v>1457</v>
      </c>
      <c r="Q335" s="8" t="s">
        <v>193</v>
      </c>
      <c r="R335" s="8" t="s">
        <v>50</v>
      </c>
    </row>
    <row r="336" customFormat="false" ht="32.8" hidden="false" customHeight="false" outlineLevel="0" collapsed="false">
      <c r="A336" s="8" t="s">
        <v>1444</v>
      </c>
      <c r="B336" s="8" t="s">
        <v>1445</v>
      </c>
      <c r="C336" s="8" t="s">
        <v>1458</v>
      </c>
      <c r="D336" s="8" t="s">
        <v>266</v>
      </c>
      <c r="E336" s="9" t="n">
        <v>53400</v>
      </c>
      <c r="F336" s="9" t="n">
        <v>2407950</v>
      </c>
      <c r="G336" s="9" t="n">
        <f aca="false">IF(AND(ISNUMBER(E336),ISNUMBER(F336)),E336-F336,"No disponible")</f>
        <v>-2354550</v>
      </c>
      <c r="H336" s="8" t="s">
        <v>1459</v>
      </c>
      <c r="I336" s="8" t="s">
        <v>56</v>
      </c>
      <c r="J336" s="8" t="s">
        <v>43</v>
      </c>
      <c r="K336" s="8" t="s">
        <v>81</v>
      </c>
      <c r="L336" s="8" t="s">
        <v>45</v>
      </c>
      <c r="M336" s="8" t="s">
        <v>82</v>
      </c>
      <c r="N336" s="8" t="s">
        <v>46</v>
      </c>
      <c r="O336" s="8" t="s">
        <v>1460</v>
      </c>
      <c r="P336" s="8" t="s">
        <v>1461</v>
      </c>
      <c r="Q336" s="8" t="s">
        <v>59</v>
      </c>
      <c r="R336" s="8" t="s">
        <v>50</v>
      </c>
    </row>
    <row r="337" customFormat="false" ht="32.8" hidden="false" customHeight="false" outlineLevel="0" collapsed="false">
      <c r="A337" s="8" t="s">
        <v>1444</v>
      </c>
      <c r="B337" s="8" t="s">
        <v>1445</v>
      </c>
      <c r="C337" s="8" t="s">
        <v>1462</v>
      </c>
      <c r="D337" s="8" t="s">
        <v>266</v>
      </c>
      <c r="E337" s="9" t="n">
        <v>856500</v>
      </c>
      <c r="F337" s="9" t="n">
        <v>856500</v>
      </c>
      <c r="G337" s="9" t="n">
        <f aca="false">IF(AND(ISNUMBER(E337),ISNUMBER(F337)),E337-F337,"No disponible")</f>
        <v>0</v>
      </c>
      <c r="H337" s="8" t="s">
        <v>1463</v>
      </c>
      <c r="I337" s="8" t="s">
        <v>56</v>
      </c>
      <c r="J337" s="8" t="s">
        <v>43</v>
      </c>
      <c r="K337" s="8" t="s">
        <v>190</v>
      </c>
      <c r="L337" s="8" t="s">
        <v>45</v>
      </c>
      <c r="M337" s="8" t="s">
        <v>6</v>
      </c>
      <c r="N337" s="8" t="s">
        <v>46</v>
      </c>
      <c r="O337" s="8" t="s">
        <v>1464</v>
      </c>
      <c r="P337" s="8" t="s">
        <v>1465</v>
      </c>
      <c r="Q337" s="8" t="s">
        <v>193</v>
      </c>
      <c r="R337" s="8" t="s">
        <v>50</v>
      </c>
    </row>
    <row r="338" customFormat="false" ht="22.35" hidden="false" customHeight="false" outlineLevel="0" collapsed="false">
      <c r="A338" s="8" t="s">
        <v>1444</v>
      </c>
      <c r="B338" s="8" t="s">
        <v>1445</v>
      </c>
      <c r="C338" s="8" t="s">
        <v>1466</v>
      </c>
      <c r="D338" s="8" t="s">
        <v>86</v>
      </c>
      <c r="E338" s="9" t="n">
        <v>120600</v>
      </c>
      <c r="F338" s="9" t="s">
        <v>87</v>
      </c>
      <c r="G338" s="9" t="str">
        <f aca="false">IF(AND(ISNUMBER(E338),ISNUMBER(F338)),E338-F338,"No disponible")</f>
        <v>No disponible</v>
      </c>
      <c r="H338" s="8" t="s">
        <v>86</v>
      </c>
      <c r="I338" s="8" t="s">
        <v>56</v>
      </c>
      <c r="J338" s="8" t="s">
        <v>87</v>
      </c>
      <c r="K338" s="8" t="s">
        <v>88</v>
      </c>
      <c r="L338" s="8" t="s">
        <v>89</v>
      </c>
      <c r="M338" s="8" t="s">
        <v>82</v>
      </c>
      <c r="N338" s="8" t="s">
        <v>46</v>
      </c>
      <c r="O338" s="8" t="s">
        <v>87</v>
      </c>
      <c r="P338" s="8"/>
      <c r="Q338" s="8" t="s">
        <v>87</v>
      </c>
      <c r="R338" s="8" t="s">
        <v>86</v>
      </c>
    </row>
    <row r="339" customFormat="false" ht="32.8" hidden="false" customHeight="false" outlineLevel="0" collapsed="false">
      <c r="A339" s="8" t="s">
        <v>1444</v>
      </c>
      <c r="B339" s="8" t="s">
        <v>1445</v>
      </c>
      <c r="C339" s="8" t="s">
        <v>1467</v>
      </c>
      <c r="D339" s="8" t="s">
        <v>1468</v>
      </c>
      <c r="E339" s="9" t="n">
        <v>199900</v>
      </c>
      <c r="F339" s="9" t="n">
        <v>199900</v>
      </c>
      <c r="G339" s="9" t="n">
        <f aca="false">IF(AND(ISNUMBER(E339),ISNUMBER(F339)),E339-F339,"No disponible")</f>
        <v>0</v>
      </c>
      <c r="H339" s="8" t="s">
        <v>1469</v>
      </c>
      <c r="I339" s="8" t="s">
        <v>56</v>
      </c>
      <c r="J339" s="8" t="s">
        <v>43</v>
      </c>
      <c r="K339" s="8" t="s">
        <v>190</v>
      </c>
      <c r="L339" s="8" t="s">
        <v>1470</v>
      </c>
      <c r="M339" s="8" t="s">
        <v>6</v>
      </c>
      <c r="N339" s="8" t="s">
        <v>46</v>
      </c>
      <c r="O339" s="8" t="s">
        <v>1471</v>
      </c>
      <c r="P339" s="8" t="s">
        <v>1472</v>
      </c>
      <c r="Q339" s="8" t="s">
        <v>193</v>
      </c>
      <c r="R339" s="8" t="s">
        <v>111</v>
      </c>
    </row>
    <row r="340" customFormat="false" ht="32.8" hidden="false" customHeight="false" outlineLevel="0" collapsed="false">
      <c r="A340" s="8" t="s">
        <v>1444</v>
      </c>
      <c r="B340" s="8" t="s">
        <v>1445</v>
      </c>
      <c r="C340" s="8" t="s">
        <v>1473</v>
      </c>
      <c r="D340" s="8" t="s">
        <v>266</v>
      </c>
      <c r="E340" s="9" t="n">
        <v>90686</v>
      </c>
      <c r="F340" s="9" t="n">
        <v>90686</v>
      </c>
      <c r="G340" s="9" t="n">
        <f aca="false">IF(AND(ISNUMBER(E340),ISNUMBER(F340)),E340-F340,"No disponible")</f>
        <v>0</v>
      </c>
      <c r="H340" s="8" t="s">
        <v>1474</v>
      </c>
      <c r="I340" s="8" t="s">
        <v>56</v>
      </c>
      <c r="J340" s="8" t="s">
        <v>43</v>
      </c>
      <c r="K340" s="8" t="s">
        <v>190</v>
      </c>
      <c r="L340" s="8" t="s">
        <v>45</v>
      </c>
      <c r="M340" s="8" t="s">
        <v>6</v>
      </c>
      <c r="N340" s="8" t="s">
        <v>46</v>
      </c>
      <c r="O340" s="8" t="s">
        <v>1475</v>
      </c>
      <c r="P340" s="8" t="s">
        <v>1476</v>
      </c>
      <c r="Q340" s="8" t="s">
        <v>193</v>
      </c>
      <c r="R340" s="8" t="s">
        <v>50</v>
      </c>
    </row>
    <row r="341" customFormat="false" ht="32.8" hidden="false" customHeight="false" outlineLevel="0" collapsed="false">
      <c r="A341" s="8" t="s">
        <v>1444</v>
      </c>
      <c r="B341" s="8" t="s">
        <v>1445</v>
      </c>
      <c r="C341" s="8" t="s">
        <v>1477</v>
      </c>
      <c r="D341" s="8" t="s">
        <v>266</v>
      </c>
      <c r="E341" s="9" t="n">
        <v>294500</v>
      </c>
      <c r="F341" s="9" t="n">
        <v>294500</v>
      </c>
      <c r="G341" s="9" t="n">
        <f aca="false">IF(AND(ISNUMBER(E341),ISNUMBER(F341)),E341-F341,"No disponible")</f>
        <v>0</v>
      </c>
      <c r="H341" s="8" t="s">
        <v>1478</v>
      </c>
      <c r="I341" s="8" t="s">
        <v>56</v>
      </c>
      <c r="J341" s="8" t="s">
        <v>43</v>
      </c>
      <c r="K341" s="8" t="s">
        <v>190</v>
      </c>
      <c r="L341" s="8" t="s">
        <v>45</v>
      </c>
      <c r="M341" s="8" t="s">
        <v>6</v>
      </c>
      <c r="N341" s="8" t="s">
        <v>46</v>
      </c>
      <c r="O341" s="8" t="s">
        <v>1479</v>
      </c>
      <c r="P341" s="8" t="s">
        <v>1480</v>
      </c>
      <c r="Q341" s="8" t="s">
        <v>193</v>
      </c>
      <c r="R341" s="8" t="s">
        <v>50</v>
      </c>
    </row>
    <row r="342" customFormat="false" ht="32.8" hidden="false" customHeight="false" outlineLevel="0" collapsed="false">
      <c r="A342" s="8" t="s">
        <v>1444</v>
      </c>
      <c r="B342" s="8" t="s">
        <v>1445</v>
      </c>
      <c r="C342" s="8" t="s">
        <v>1481</v>
      </c>
      <c r="D342" s="8" t="s">
        <v>266</v>
      </c>
      <c r="E342" s="9" t="n">
        <v>93800</v>
      </c>
      <c r="F342" s="9" t="n">
        <v>93799</v>
      </c>
      <c r="G342" s="9" t="n">
        <f aca="false">IF(AND(ISNUMBER(E342),ISNUMBER(F342)),E342-F342,"No disponible")</f>
        <v>1</v>
      </c>
      <c r="H342" s="8" t="s">
        <v>1482</v>
      </c>
      <c r="I342" s="8" t="s">
        <v>56</v>
      </c>
      <c r="J342" s="8" t="s">
        <v>43</v>
      </c>
      <c r="K342" s="8" t="s">
        <v>81</v>
      </c>
      <c r="L342" s="8" t="s">
        <v>45</v>
      </c>
      <c r="M342" s="8" t="s">
        <v>82</v>
      </c>
      <c r="N342" s="8" t="s">
        <v>46</v>
      </c>
      <c r="O342" s="8" t="s">
        <v>1483</v>
      </c>
      <c r="P342" s="8" t="s">
        <v>1484</v>
      </c>
      <c r="Q342" s="8" t="s">
        <v>59</v>
      </c>
      <c r="R342" s="8" t="s">
        <v>50</v>
      </c>
    </row>
    <row r="343" customFormat="false" ht="32.8" hidden="false" customHeight="false" outlineLevel="0" collapsed="false">
      <c r="A343" s="8" t="s">
        <v>1444</v>
      </c>
      <c r="B343" s="8" t="s">
        <v>1445</v>
      </c>
      <c r="C343" s="8" t="s">
        <v>1485</v>
      </c>
      <c r="D343" s="8" t="s">
        <v>266</v>
      </c>
      <c r="E343" s="9" t="n">
        <v>894950</v>
      </c>
      <c r="F343" s="9" t="n">
        <v>894950</v>
      </c>
      <c r="G343" s="9" t="n">
        <f aca="false">IF(AND(ISNUMBER(E343),ISNUMBER(F343)),E343-F343,"No disponible")</f>
        <v>0</v>
      </c>
      <c r="H343" s="8" t="s">
        <v>1486</v>
      </c>
      <c r="I343" s="8" t="s">
        <v>56</v>
      </c>
      <c r="J343" s="8" t="s">
        <v>43</v>
      </c>
      <c r="K343" s="8" t="s">
        <v>190</v>
      </c>
      <c r="L343" s="8" t="s">
        <v>45</v>
      </c>
      <c r="M343" s="8" t="s">
        <v>6</v>
      </c>
      <c r="N343" s="8" t="s">
        <v>46</v>
      </c>
      <c r="O343" s="8" t="s">
        <v>1487</v>
      </c>
      <c r="P343" s="8" t="s">
        <v>1488</v>
      </c>
      <c r="Q343" s="8" t="s">
        <v>193</v>
      </c>
      <c r="R343" s="8" t="s">
        <v>50</v>
      </c>
    </row>
    <row r="344" customFormat="false" ht="32.8" hidden="false" customHeight="false" outlineLevel="0" collapsed="false">
      <c r="A344" s="8" t="s">
        <v>1444</v>
      </c>
      <c r="B344" s="8" t="s">
        <v>1445</v>
      </c>
      <c r="C344" s="8" t="s">
        <v>1489</v>
      </c>
      <c r="D344" s="8" t="s">
        <v>266</v>
      </c>
      <c r="E344" s="9" t="n">
        <v>292400</v>
      </c>
      <c r="F344" s="9" t="n">
        <v>292400</v>
      </c>
      <c r="G344" s="9" t="n">
        <f aca="false">IF(AND(ISNUMBER(E344),ISNUMBER(F344)),E344-F344,"No disponible")</f>
        <v>0</v>
      </c>
      <c r="H344" s="8" t="s">
        <v>1490</v>
      </c>
      <c r="I344" s="8" t="s">
        <v>56</v>
      </c>
      <c r="J344" s="8" t="s">
        <v>43</v>
      </c>
      <c r="K344" s="8" t="s">
        <v>190</v>
      </c>
      <c r="L344" s="8" t="s">
        <v>45</v>
      </c>
      <c r="M344" s="8" t="s">
        <v>6</v>
      </c>
      <c r="N344" s="8" t="s">
        <v>46</v>
      </c>
      <c r="O344" s="8" t="s">
        <v>1491</v>
      </c>
      <c r="P344" s="8" t="s">
        <v>1492</v>
      </c>
      <c r="Q344" s="8" t="s">
        <v>193</v>
      </c>
      <c r="R344" s="8" t="s">
        <v>50</v>
      </c>
    </row>
    <row r="345" customFormat="false" ht="32.8" hidden="false" customHeight="false" outlineLevel="0" collapsed="false">
      <c r="A345" s="8" t="s">
        <v>1444</v>
      </c>
      <c r="B345" s="8" t="s">
        <v>1445</v>
      </c>
      <c r="C345" s="8" t="s">
        <v>1493</v>
      </c>
      <c r="D345" s="8" t="s">
        <v>266</v>
      </c>
      <c r="E345" s="9" t="n">
        <v>15900</v>
      </c>
      <c r="F345" s="9" t="n">
        <v>15900</v>
      </c>
      <c r="G345" s="9" t="n">
        <f aca="false">IF(AND(ISNUMBER(E345),ISNUMBER(F345)),E345-F345,"No disponible")</f>
        <v>0</v>
      </c>
      <c r="H345" s="8" t="s">
        <v>1494</v>
      </c>
      <c r="I345" s="8" t="s">
        <v>56</v>
      </c>
      <c r="J345" s="8" t="s">
        <v>43</v>
      </c>
      <c r="K345" s="8" t="s">
        <v>190</v>
      </c>
      <c r="L345" s="8" t="s">
        <v>45</v>
      </c>
      <c r="M345" s="8" t="s">
        <v>6</v>
      </c>
      <c r="N345" s="8" t="s">
        <v>46</v>
      </c>
      <c r="O345" s="8" t="s">
        <v>1495</v>
      </c>
      <c r="P345" s="8" t="s">
        <v>1496</v>
      </c>
      <c r="Q345" s="8" t="s">
        <v>193</v>
      </c>
      <c r="R345" s="8" t="s">
        <v>50</v>
      </c>
    </row>
    <row r="346" customFormat="false" ht="32.8" hidden="false" customHeight="false" outlineLevel="0" collapsed="false">
      <c r="A346" s="8" t="s">
        <v>1444</v>
      </c>
      <c r="B346" s="8" t="s">
        <v>1445</v>
      </c>
      <c r="C346" s="8" t="s">
        <v>1497</v>
      </c>
      <c r="D346" s="8" t="s">
        <v>266</v>
      </c>
      <c r="E346" s="9" t="n">
        <v>391600</v>
      </c>
      <c r="F346" s="9" t="n">
        <v>391600</v>
      </c>
      <c r="G346" s="9" t="n">
        <f aca="false">IF(AND(ISNUMBER(E346),ISNUMBER(F346)),E346-F346,"No disponible")</f>
        <v>0</v>
      </c>
      <c r="H346" s="8" t="s">
        <v>1498</v>
      </c>
      <c r="I346" s="8" t="s">
        <v>56</v>
      </c>
      <c r="J346" s="8" t="s">
        <v>43</v>
      </c>
      <c r="K346" s="8" t="s">
        <v>190</v>
      </c>
      <c r="L346" s="8" t="s">
        <v>45</v>
      </c>
      <c r="M346" s="8" t="s">
        <v>6</v>
      </c>
      <c r="N346" s="8" t="s">
        <v>46</v>
      </c>
      <c r="O346" s="8" t="s">
        <v>1499</v>
      </c>
      <c r="P346" s="8" t="s">
        <v>1500</v>
      </c>
      <c r="Q346" s="8" t="s">
        <v>193</v>
      </c>
      <c r="R346" s="8" t="s">
        <v>50</v>
      </c>
    </row>
    <row r="347" customFormat="false" ht="32.8" hidden="false" customHeight="false" outlineLevel="0" collapsed="false">
      <c r="A347" s="8" t="s">
        <v>1444</v>
      </c>
      <c r="B347" s="8" t="s">
        <v>1445</v>
      </c>
      <c r="C347" s="8" t="s">
        <v>1501</v>
      </c>
      <c r="D347" s="8" t="s">
        <v>266</v>
      </c>
      <c r="E347" s="9" t="n">
        <v>2407950</v>
      </c>
      <c r="F347" s="9" t="n">
        <v>2407950</v>
      </c>
      <c r="G347" s="9" t="n">
        <f aca="false">IF(AND(ISNUMBER(E347),ISNUMBER(F347)),E347-F347,"No disponible")</f>
        <v>0</v>
      </c>
      <c r="H347" s="8" t="s">
        <v>1459</v>
      </c>
      <c r="I347" s="8" t="s">
        <v>56</v>
      </c>
      <c r="J347" s="8" t="s">
        <v>43</v>
      </c>
      <c r="K347" s="8" t="s">
        <v>190</v>
      </c>
      <c r="L347" s="8" t="s">
        <v>45</v>
      </c>
      <c r="M347" s="8" t="s">
        <v>6</v>
      </c>
      <c r="N347" s="8" t="s">
        <v>46</v>
      </c>
      <c r="O347" s="8" t="s">
        <v>1460</v>
      </c>
      <c r="P347" s="8" t="s">
        <v>1461</v>
      </c>
      <c r="Q347" s="8" t="s">
        <v>193</v>
      </c>
      <c r="R347" s="8" t="s">
        <v>50</v>
      </c>
    </row>
    <row r="348" customFormat="false" ht="43.25" hidden="false" customHeight="false" outlineLevel="0" collapsed="false">
      <c r="A348" s="8" t="s">
        <v>1444</v>
      </c>
      <c r="B348" s="8" t="s">
        <v>1445</v>
      </c>
      <c r="C348" s="8" t="s">
        <v>1502</v>
      </c>
      <c r="D348" s="8" t="s">
        <v>266</v>
      </c>
      <c r="E348" s="9" t="n">
        <v>252700</v>
      </c>
      <c r="F348" s="9" t="n">
        <v>252700</v>
      </c>
      <c r="G348" s="9" t="n">
        <f aca="false">IF(AND(ISNUMBER(E348),ISNUMBER(F348)),E348-F348,"No disponible")</f>
        <v>0</v>
      </c>
      <c r="H348" s="8" t="s">
        <v>1503</v>
      </c>
      <c r="I348" s="8" t="s">
        <v>56</v>
      </c>
      <c r="J348" s="8" t="s">
        <v>43</v>
      </c>
      <c r="K348" s="8" t="s">
        <v>44</v>
      </c>
      <c r="L348" s="8" t="s">
        <v>45</v>
      </c>
      <c r="M348" s="8" t="s">
        <v>6</v>
      </c>
      <c r="N348" s="8" t="s">
        <v>46</v>
      </c>
      <c r="O348" s="8" t="s">
        <v>1504</v>
      </c>
      <c r="P348" s="8" t="s">
        <v>1505</v>
      </c>
      <c r="Q348" s="8" t="s">
        <v>59</v>
      </c>
      <c r="R348" s="8" t="s">
        <v>50</v>
      </c>
    </row>
    <row r="349" customFormat="false" ht="22.35" hidden="false" customHeight="false" outlineLevel="0" collapsed="false">
      <c r="A349" s="8" t="s">
        <v>1444</v>
      </c>
      <c r="B349" s="8" t="s">
        <v>1445</v>
      </c>
      <c r="C349" s="8" t="s">
        <v>1506</v>
      </c>
      <c r="D349" s="8" t="s">
        <v>86</v>
      </c>
      <c r="E349" s="9" t="n">
        <v>391600</v>
      </c>
      <c r="F349" s="9" t="s">
        <v>87</v>
      </c>
      <c r="G349" s="9" t="str">
        <f aca="false">IF(AND(ISNUMBER(E349),ISNUMBER(F349)),E349-F349,"No disponible")</f>
        <v>No disponible</v>
      </c>
      <c r="H349" s="8" t="s">
        <v>86</v>
      </c>
      <c r="I349" s="8" t="s">
        <v>65</v>
      </c>
      <c r="J349" s="8" t="s">
        <v>87</v>
      </c>
      <c r="K349" s="8" t="s">
        <v>88</v>
      </c>
      <c r="L349" s="8" t="s">
        <v>89</v>
      </c>
      <c r="M349" s="8" t="s">
        <v>82</v>
      </c>
      <c r="N349" s="8" t="s">
        <v>46</v>
      </c>
      <c r="O349" s="8" t="s">
        <v>87</v>
      </c>
      <c r="P349" s="8"/>
      <c r="Q349" s="8" t="s">
        <v>87</v>
      </c>
      <c r="R349" s="8" t="s">
        <v>86</v>
      </c>
    </row>
    <row r="350" customFormat="false" ht="22.35" hidden="false" customHeight="false" outlineLevel="0" collapsed="false">
      <c r="A350" s="8" t="s">
        <v>1444</v>
      </c>
      <c r="B350" s="8" t="s">
        <v>1445</v>
      </c>
      <c r="C350" s="8" t="s">
        <v>1507</v>
      </c>
      <c r="D350" s="8" t="s">
        <v>86</v>
      </c>
      <c r="E350" s="9" t="n">
        <v>104700</v>
      </c>
      <c r="F350" s="9" t="s">
        <v>87</v>
      </c>
      <c r="G350" s="9" t="str">
        <f aca="false">IF(AND(ISNUMBER(E350),ISNUMBER(F350)),E350-F350,"No disponible")</f>
        <v>No disponible</v>
      </c>
      <c r="H350" s="8" t="s">
        <v>86</v>
      </c>
      <c r="I350" s="8" t="s">
        <v>65</v>
      </c>
      <c r="J350" s="8" t="s">
        <v>87</v>
      </c>
      <c r="K350" s="8" t="s">
        <v>88</v>
      </c>
      <c r="L350" s="8" t="s">
        <v>89</v>
      </c>
      <c r="M350" s="8" t="s">
        <v>82</v>
      </c>
      <c r="N350" s="8" t="s">
        <v>46</v>
      </c>
      <c r="O350" s="8" t="s">
        <v>87</v>
      </c>
      <c r="P350" s="8"/>
      <c r="Q350" s="8" t="s">
        <v>87</v>
      </c>
      <c r="R350" s="8" t="s">
        <v>86</v>
      </c>
    </row>
    <row r="351" customFormat="false" ht="22.35" hidden="false" customHeight="false" outlineLevel="0" collapsed="false">
      <c r="A351" s="8" t="s">
        <v>1444</v>
      </c>
      <c r="B351" s="8" t="s">
        <v>1445</v>
      </c>
      <c r="C351" s="8" t="s">
        <v>1508</v>
      </c>
      <c r="D351" s="8" t="s">
        <v>86</v>
      </c>
      <c r="E351" s="9" t="n">
        <v>39900</v>
      </c>
      <c r="F351" s="9" t="s">
        <v>87</v>
      </c>
      <c r="G351" s="9" t="str">
        <f aca="false">IF(AND(ISNUMBER(E351),ISNUMBER(F351)),E351-F351,"No disponible")</f>
        <v>No disponible</v>
      </c>
      <c r="H351" s="8" t="s">
        <v>86</v>
      </c>
      <c r="I351" s="8" t="s">
        <v>65</v>
      </c>
      <c r="J351" s="8" t="s">
        <v>87</v>
      </c>
      <c r="K351" s="8" t="s">
        <v>88</v>
      </c>
      <c r="L351" s="8" t="s">
        <v>89</v>
      </c>
      <c r="M351" s="8" t="s">
        <v>82</v>
      </c>
      <c r="N351" s="8" t="s">
        <v>46</v>
      </c>
      <c r="O351" s="8" t="s">
        <v>87</v>
      </c>
      <c r="P351" s="8"/>
      <c r="Q351" s="8" t="s">
        <v>87</v>
      </c>
      <c r="R351" s="8" t="s">
        <v>86</v>
      </c>
    </row>
    <row r="352" customFormat="false" ht="85.05" hidden="false" customHeight="false" outlineLevel="0" collapsed="false">
      <c r="A352" s="8" t="s">
        <v>1509</v>
      </c>
      <c r="B352" s="8" t="s">
        <v>1510</v>
      </c>
      <c r="C352" s="8" t="s">
        <v>1511</v>
      </c>
      <c r="D352" s="8" t="s">
        <v>1512</v>
      </c>
      <c r="E352" s="9" t="n">
        <v>14542891.05</v>
      </c>
      <c r="F352" s="9" t="n">
        <v>14542891</v>
      </c>
      <c r="G352" s="9" t="n">
        <f aca="false">IF(AND(ISNUMBER(E352),ISNUMBER(F352)),E352-F352,"No disponible")</f>
        <v>0.0500000007450581</v>
      </c>
      <c r="H352" s="8" t="s">
        <v>1513</v>
      </c>
      <c r="I352" s="8" t="s">
        <v>56</v>
      </c>
      <c r="J352" s="8" t="s">
        <v>43</v>
      </c>
      <c r="K352" s="8" t="s">
        <v>114</v>
      </c>
      <c r="L352" s="8" t="s">
        <v>1514</v>
      </c>
      <c r="M352" s="8" t="s">
        <v>82</v>
      </c>
      <c r="N352" s="8" t="s">
        <v>46</v>
      </c>
      <c r="O352" s="8" t="s">
        <v>1515</v>
      </c>
      <c r="P352" s="8" t="s">
        <v>1516</v>
      </c>
      <c r="Q352" s="8" t="s">
        <v>59</v>
      </c>
      <c r="R352" s="8" t="s">
        <v>111</v>
      </c>
    </row>
    <row r="353" customFormat="false" ht="85.05" hidden="false" customHeight="false" outlineLevel="0" collapsed="false">
      <c r="A353" s="8" t="s">
        <v>1509</v>
      </c>
      <c r="B353" s="8" t="s">
        <v>1510</v>
      </c>
      <c r="C353" s="8" t="s">
        <v>1517</v>
      </c>
      <c r="D353" s="8" t="s">
        <v>1512</v>
      </c>
      <c r="E353" s="9" t="n">
        <v>8656670.82</v>
      </c>
      <c r="F353" s="9" t="n">
        <v>8656671</v>
      </c>
      <c r="G353" s="9" t="n">
        <f aca="false">IF(AND(ISNUMBER(E353),ISNUMBER(F353)),E353-F353,"No disponible")</f>
        <v>-0.179999999701977</v>
      </c>
      <c r="H353" s="8" t="s">
        <v>1518</v>
      </c>
      <c r="I353" s="8" t="s">
        <v>56</v>
      </c>
      <c r="J353" s="8" t="s">
        <v>43</v>
      </c>
      <c r="K353" s="8" t="s">
        <v>114</v>
      </c>
      <c r="L353" s="8" t="s">
        <v>1519</v>
      </c>
      <c r="M353" s="8" t="s">
        <v>82</v>
      </c>
      <c r="N353" s="8" t="s">
        <v>46</v>
      </c>
      <c r="O353" s="8" t="s">
        <v>1520</v>
      </c>
      <c r="P353" s="8" t="s">
        <v>1521</v>
      </c>
      <c r="Q353" s="8" t="s">
        <v>59</v>
      </c>
      <c r="R353" s="8" t="s">
        <v>111</v>
      </c>
    </row>
    <row r="354" customFormat="false" ht="43.25" hidden="false" customHeight="false" outlineLevel="0" collapsed="false">
      <c r="A354" s="8" t="s">
        <v>1522</v>
      </c>
      <c r="B354" s="8" t="s">
        <v>1523</v>
      </c>
      <c r="C354" s="8" t="s">
        <v>1524</v>
      </c>
      <c r="D354" s="8" t="s">
        <v>1036</v>
      </c>
      <c r="E354" s="9" t="n">
        <v>560799</v>
      </c>
      <c r="F354" s="9" t="n">
        <v>560799</v>
      </c>
      <c r="G354" s="9" t="n">
        <f aca="false">IF(AND(ISNUMBER(E354),ISNUMBER(F354)),E354-F354,"No disponible")</f>
        <v>0</v>
      </c>
      <c r="H354" s="8" t="s">
        <v>1525</v>
      </c>
      <c r="I354" s="8" t="s">
        <v>56</v>
      </c>
      <c r="J354" s="8" t="s">
        <v>43</v>
      </c>
      <c r="K354" s="8" t="s">
        <v>190</v>
      </c>
      <c r="L354" s="8" t="s">
        <v>45</v>
      </c>
      <c r="M354" s="8" t="s">
        <v>6</v>
      </c>
      <c r="N354" s="8" t="s">
        <v>46</v>
      </c>
      <c r="O354" s="8" t="s">
        <v>1526</v>
      </c>
      <c r="P354" s="8" t="s">
        <v>1527</v>
      </c>
      <c r="Q354" s="8" t="s">
        <v>193</v>
      </c>
      <c r="R354" s="8" t="s">
        <v>111</v>
      </c>
    </row>
    <row r="355" customFormat="false" ht="32.8" hidden="false" customHeight="false" outlineLevel="0" collapsed="false">
      <c r="A355" s="8" t="s">
        <v>1528</v>
      </c>
      <c r="B355" s="8" t="s">
        <v>1529</v>
      </c>
      <c r="C355" s="8" t="s">
        <v>1530</v>
      </c>
      <c r="D355" s="8" t="s">
        <v>1265</v>
      </c>
      <c r="E355" s="9" t="n">
        <v>1626400</v>
      </c>
      <c r="F355" s="9" t="n">
        <v>1626400</v>
      </c>
      <c r="G355" s="9" t="n">
        <f aca="false">IF(AND(ISNUMBER(E355),ISNUMBER(F355)),E355-F355,"No disponible")</f>
        <v>0</v>
      </c>
      <c r="H355" s="8" t="s">
        <v>1531</v>
      </c>
      <c r="I355" s="8" t="s">
        <v>42</v>
      </c>
      <c r="J355" s="8" t="s">
        <v>43</v>
      </c>
      <c r="K355" s="8" t="s">
        <v>107</v>
      </c>
      <c r="L355" s="8" t="s">
        <v>45</v>
      </c>
      <c r="M355" s="8" t="s">
        <v>108</v>
      </c>
      <c r="N355" s="8" t="s">
        <v>46</v>
      </c>
      <c r="O355" s="8" t="s">
        <v>1532</v>
      </c>
      <c r="P355" s="8" t="s">
        <v>1533</v>
      </c>
      <c r="Q355" s="8" t="s">
        <v>49</v>
      </c>
      <c r="R355" s="8" t="s">
        <v>111</v>
      </c>
    </row>
    <row r="356" customFormat="false" ht="43.25" hidden="false" customHeight="false" outlineLevel="0" collapsed="false">
      <c r="A356" s="8" t="s">
        <v>1534</v>
      </c>
      <c r="B356" s="8" t="s">
        <v>1535</v>
      </c>
      <c r="C356" s="8" t="s">
        <v>1536</v>
      </c>
      <c r="D356" s="8" t="s">
        <v>127</v>
      </c>
      <c r="E356" s="9" t="n">
        <v>66000</v>
      </c>
      <c r="F356" s="9" t="n">
        <v>66000</v>
      </c>
      <c r="G356" s="9" t="n">
        <f aca="false">IF(AND(ISNUMBER(E356),ISNUMBER(F356)),E356-F356,"No disponible")</f>
        <v>0</v>
      </c>
      <c r="H356" s="8" t="s">
        <v>64</v>
      </c>
      <c r="I356" s="8" t="s">
        <v>56</v>
      </c>
      <c r="J356" s="8" t="s">
        <v>43</v>
      </c>
      <c r="K356" s="8" t="s">
        <v>44</v>
      </c>
      <c r="L356" s="8" t="s">
        <v>45</v>
      </c>
      <c r="M356" s="8" t="s">
        <v>6</v>
      </c>
      <c r="N356" s="8" t="s">
        <v>46</v>
      </c>
      <c r="O356" s="8" t="s">
        <v>1537</v>
      </c>
      <c r="P356" s="8" t="s">
        <v>1538</v>
      </c>
      <c r="Q356" s="8" t="s">
        <v>59</v>
      </c>
      <c r="R356" s="8" t="s">
        <v>50</v>
      </c>
    </row>
    <row r="357" customFormat="false" ht="43.25" hidden="false" customHeight="false" outlineLevel="0" collapsed="false">
      <c r="A357" s="8" t="s">
        <v>1534</v>
      </c>
      <c r="B357" s="8" t="s">
        <v>1535</v>
      </c>
      <c r="C357" s="8" t="s">
        <v>1539</v>
      </c>
      <c r="D357" s="8" t="s">
        <v>127</v>
      </c>
      <c r="E357" s="9" t="n">
        <v>20000</v>
      </c>
      <c r="F357" s="9" t="n">
        <v>20000</v>
      </c>
      <c r="G357" s="9" t="n">
        <f aca="false">IF(AND(ISNUMBER(E357),ISNUMBER(F357)),E357-F357,"No disponible")</f>
        <v>0</v>
      </c>
      <c r="H357" s="8" t="s">
        <v>64</v>
      </c>
      <c r="I357" s="8" t="s">
        <v>56</v>
      </c>
      <c r="J357" s="8" t="s">
        <v>43</v>
      </c>
      <c r="K357" s="8" t="s">
        <v>44</v>
      </c>
      <c r="L357" s="8" t="s">
        <v>45</v>
      </c>
      <c r="M357" s="8" t="s">
        <v>6</v>
      </c>
      <c r="N357" s="8" t="s">
        <v>46</v>
      </c>
      <c r="O357" s="8" t="s">
        <v>1540</v>
      </c>
      <c r="P357" s="8" t="s">
        <v>1541</v>
      </c>
      <c r="Q357" s="8" t="s">
        <v>59</v>
      </c>
      <c r="R357" s="8" t="s">
        <v>50</v>
      </c>
    </row>
    <row r="358" customFormat="false" ht="32.8" hidden="false" customHeight="false" outlineLevel="0" collapsed="false">
      <c r="A358" s="8" t="s">
        <v>1542</v>
      </c>
      <c r="B358" s="8" t="s">
        <v>1543</v>
      </c>
      <c r="C358" s="8" t="s">
        <v>1544</v>
      </c>
      <c r="D358" s="8" t="s">
        <v>127</v>
      </c>
      <c r="E358" s="9" t="n">
        <v>43820</v>
      </c>
      <c r="F358" s="9" t="n">
        <v>43820</v>
      </c>
      <c r="G358" s="9" t="n">
        <f aca="false">IF(AND(ISNUMBER(E358),ISNUMBER(F358)),E358-F358,"No disponible")</f>
        <v>0</v>
      </c>
      <c r="H358" s="8" t="s">
        <v>64</v>
      </c>
      <c r="I358" s="8" t="s">
        <v>56</v>
      </c>
      <c r="J358" s="8" t="s">
        <v>43</v>
      </c>
      <c r="K358" s="8" t="s">
        <v>190</v>
      </c>
      <c r="L358" s="8" t="s">
        <v>45</v>
      </c>
      <c r="M358" s="8" t="s">
        <v>6</v>
      </c>
      <c r="N358" s="8" t="s">
        <v>46</v>
      </c>
      <c r="O358" s="8" t="s">
        <v>1545</v>
      </c>
      <c r="P358" s="8" t="s">
        <v>1546</v>
      </c>
      <c r="Q358" s="8" t="s">
        <v>193</v>
      </c>
      <c r="R358" s="8" t="s">
        <v>50</v>
      </c>
    </row>
    <row r="359" customFormat="false" ht="32.8" hidden="false" customHeight="false" outlineLevel="0" collapsed="false">
      <c r="A359" s="8" t="s">
        <v>1542</v>
      </c>
      <c r="B359" s="8" t="s">
        <v>1543</v>
      </c>
      <c r="C359" s="8" t="s">
        <v>1547</v>
      </c>
      <c r="D359" s="8" t="s">
        <v>127</v>
      </c>
      <c r="E359" s="9" t="n">
        <v>639660</v>
      </c>
      <c r="F359" s="9" t="n">
        <v>639660</v>
      </c>
      <c r="G359" s="9" t="n">
        <f aca="false">IF(AND(ISNUMBER(E359),ISNUMBER(F359)),E359-F359,"No disponible")</f>
        <v>0</v>
      </c>
      <c r="H359" s="8" t="s">
        <v>64</v>
      </c>
      <c r="I359" s="8" t="s">
        <v>56</v>
      </c>
      <c r="J359" s="8" t="s">
        <v>43</v>
      </c>
      <c r="K359" s="8" t="s">
        <v>190</v>
      </c>
      <c r="L359" s="8" t="s">
        <v>45</v>
      </c>
      <c r="M359" s="8" t="s">
        <v>6</v>
      </c>
      <c r="N359" s="8" t="s">
        <v>46</v>
      </c>
      <c r="O359" s="8" t="s">
        <v>1548</v>
      </c>
      <c r="P359" s="8" t="s">
        <v>1549</v>
      </c>
      <c r="Q359" s="8" t="s">
        <v>193</v>
      </c>
      <c r="R359" s="8" t="s">
        <v>50</v>
      </c>
    </row>
    <row r="360" customFormat="false" ht="43.25" hidden="false" customHeight="false" outlineLevel="0" collapsed="false">
      <c r="A360" s="8" t="s">
        <v>1550</v>
      </c>
      <c r="B360" s="8" t="s">
        <v>1551</v>
      </c>
      <c r="C360" s="8" t="s">
        <v>1552</v>
      </c>
      <c r="D360" s="8" t="s">
        <v>266</v>
      </c>
      <c r="E360" s="9" t="n">
        <v>50000</v>
      </c>
      <c r="F360" s="9" t="n">
        <v>50000</v>
      </c>
      <c r="G360" s="9" t="n">
        <f aca="false">IF(AND(ISNUMBER(E360),ISNUMBER(F360)),E360-F360,"No disponible")</f>
        <v>0</v>
      </c>
      <c r="H360" s="8" t="s">
        <v>1553</v>
      </c>
      <c r="I360" s="8" t="s">
        <v>56</v>
      </c>
      <c r="J360" s="8" t="s">
        <v>43</v>
      </c>
      <c r="K360" s="8" t="s">
        <v>44</v>
      </c>
      <c r="L360" s="8" t="s">
        <v>45</v>
      </c>
      <c r="M360" s="8" t="s">
        <v>6</v>
      </c>
      <c r="N360" s="8" t="s">
        <v>46</v>
      </c>
      <c r="O360" s="8" t="s">
        <v>1554</v>
      </c>
      <c r="P360" s="8" t="s">
        <v>1555</v>
      </c>
      <c r="Q360" s="8" t="s">
        <v>59</v>
      </c>
      <c r="R360" s="8" t="s">
        <v>50</v>
      </c>
    </row>
    <row r="361" customFormat="false" ht="43.25" hidden="false" customHeight="false" outlineLevel="0" collapsed="false">
      <c r="A361" s="8" t="s">
        <v>1550</v>
      </c>
      <c r="B361" s="8" t="s">
        <v>1551</v>
      </c>
      <c r="C361" s="8" t="s">
        <v>1556</v>
      </c>
      <c r="D361" s="8" t="s">
        <v>266</v>
      </c>
      <c r="E361" s="9" t="n">
        <v>35000</v>
      </c>
      <c r="F361" s="9" t="n">
        <v>35000</v>
      </c>
      <c r="G361" s="9" t="n">
        <f aca="false">IF(AND(ISNUMBER(E361),ISNUMBER(F361)),E361-F361,"No disponible")</f>
        <v>0</v>
      </c>
      <c r="H361" s="8" t="s">
        <v>1557</v>
      </c>
      <c r="I361" s="8" t="s">
        <v>56</v>
      </c>
      <c r="J361" s="8" t="s">
        <v>43</v>
      </c>
      <c r="K361" s="8" t="s">
        <v>44</v>
      </c>
      <c r="L361" s="8" t="s">
        <v>45</v>
      </c>
      <c r="M361" s="8" t="s">
        <v>6</v>
      </c>
      <c r="N361" s="8" t="s">
        <v>46</v>
      </c>
      <c r="O361" s="8" t="s">
        <v>1558</v>
      </c>
      <c r="P361" s="8" t="s">
        <v>1559</v>
      </c>
      <c r="Q361" s="8" t="s">
        <v>59</v>
      </c>
      <c r="R361" s="8" t="s">
        <v>50</v>
      </c>
    </row>
    <row r="362" customFormat="false" ht="43.25" hidden="false" customHeight="false" outlineLevel="0" collapsed="false">
      <c r="A362" s="8" t="s">
        <v>1550</v>
      </c>
      <c r="B362" s="8" t="s">
        <v>1551</v>
      </c>
      <c r="C362" s="8" t="s">
        <v>1560</v>
      </c>
      <c r="D362" s="8" t="s">
        <v>266</v>
      </c>
      <c r="E362" s="9" t="n">
        <v>89000</v>
      </c>
      <c r="F362" s="9" t="n">
        <v>89000</v>
      </c>
      <c r="G362" s="9" t="n">
        <f aca="false">IF(AND(ISNUMBER(E362),ISNUMBER(F362)),E362-F362,"No disponible")</f>
        <v>0</v>
      </c>
      <c r="H362" s="8" t="s">
        <v>1561</v>
      </c>
      <c r="I362" s="8" t="s">
        <v>56</v>
      </c>
      <c r="J362" s="8" t="s">
        <v>43</v>
      </c>
      <c r="K362" s="8" t="s">
        <v>44</v>
      </c>
      <c r="L362" s="8" t="s">
        <v>45</v>
      </c>
      <c r="M362" s="8" t="s">
        <v>6</v>
      </c>
      <c r="N362" s="8" t="s">
        <v>46</v>
      </c>
      <c r="O362" s="8" t="s">
        <v>1562</v>
      </c>
      <c r="P362" s="8" t="s">
        <v>1563</v>
      </c>
      <c r="Q362" s="8" t="s">
        <v>59</v>
      </c>
      <c r="R362" s="8" t="s">
        <v>50</v>
      </c>
    </row>
    <row r="363" customFormat="false" ht="43.25" hidden="false" customHeight="false" outlineLevel="0" collapsed="false">
      <c r="A363" s="8" t="s">
        <v>1564</v>
      </c>
      <c r="B363" s="8" t="s">
        <v>1565</v>
      </c>
      <c r="C363" s="8" t="s">
        <v>1566</v>
      </c>
      <c r="D363" s="8" t="s">
        <v>63</v>
      </c>
      <c r="E363" s="9" t="n">
        <v>806247</v>
      </c>
      <c r="F363" s="9" t="n">
        <v>806247</v>
      </c>
      <c r="G363" s="9" t="n">
        <f aca="false">IF(AND(ISNUMBER(E363),ISNUMBER(F363)),E363-F363,"No disponible")</f>
        <v>0</v>
      </c>
      <c r="H363" s="8" t="s">
        <v>64</v>
      </c>
      <c r="I363" s="8" t="s">
        <v>56</v>
      </c>
      <c r="J363" s="8" t="s">
        <v>43</v>
      </c>
      <c r="K363" s="8" t="s">
        <v>44</v>
      </c>
      <c r="L363" s="8" t="s">
        <v>45</v>
      </c>
      <c r="M363" s="8" t="s">
        <v>6</v>
      </c>
      <c r="N363" s="8" t="s">
        <v>46</v>
      </c>
      <c r="O363" s="8" t="s">
        <v>1567</v>
      </c>
      <c r="P363" s="8" t="s">
        <v>1568</v>
      </c>
      <c r="Q363" s="8" t="s">
        <v>59</v>
      </c>
      <c r="R363" s="8" t="s">
        <v>50</v>
      </c>
    </row>
    <row r="364" customFormat="false" ht="43.25" hidden="false" customHeight="false" outlineLevel="0" collapsed="false">
      <c r="A364" s="8" t="s">
        <v>1564</v>
      </c>
      <c r="B364" s="8" t="s">
        <v>1565</v>
      </c>
      <c r="C364" s="8" t="s">
        <v>1569</v>
      </c>
      <c r="D364" s="8" t="s">
        <v>63</v>
      </c>
      <c r="E364" s="9" t="n">
        <v>725860</v>
      </c>
      <c r="F364" s="9" t="n">
        <v>725860</v>
      </c>
      <c r="G364" s="9" t="n">
        <f aca="false">IF(AND(ISNUMBER(E364),ISNUMBER(F364)),E364-F364,"No disponible")</f>
        <v>0</v>
      </c>
      <c r="H364" s="8" t="s">
        <v>64</v>
      </c>
      <c r="I364" s="8" t="s">
        <v>56</v>
      </c>
      <c r="J364" s="8" t="s">
        <v>43</v>
      </c>
      <c r="K364" s="8" t="s">
        <v>44</v>
      </c>
      <c r="L364" s="8" t="s">
        <v>45</v>
      </c>
      <c r="M364" s="8" t="s">
        <v>6</v>
      </c>
      <c r="N364" s="8" t="s">
        <v>46</v>
      </c>
      <c r="O364" s="8" t="s">
        <v>1570</v>
      </c>
      <c r="P364" s="8" t="s">
        <v>1571</v>
      </c>
      <c r="Q364" s="8" t="s">
        <v>59</v>
      </c>
      <c r="R364" s="8" t="s">
        <v>50</v>
      </c>
    </row>
    <row r="365" customFormat="false" ht="43.25" hidden="false" customHeight="false" outlineLevel="0" collapsed="false">
      <c r="A365" s="8" t="s">
        <v>1564</v>
      </c>
      <c r="B365" s="8" t="s">
        <v>1565</v>
      </c>
      <c r="C365" s="8" t="s">
        <v>1572</v>
      </c>
      <c r="D365" s="8" t="s">
        <v>63</v>
      </c>
      <c r="E365" s="9" t="n">
        <v>444843</v>
      </c>
      <c r="F365" s="9" t="n">
        <v>444843</v>
      </c>
      <c r="G365" s="9" t="n">
        <f aca="false">IF(AND(ISNUMBER(E365),ISNUMBER(F365)),E365-F365,"No disponible")</f>
        <v>0</v>
      </c>
      <c r="H365" s="8" t="s">
        <v>64</v>
      </c>
      <c r="I365" s="8" t="s">
        <v>56</v>
      </c>
      <c r="J365" s="8" t="s">
        <v>43</v>
      </c>
      <c r="K365" s="8" t="s">
        <v>44</v>
      </c>
      <c r="L365" s="8" t="s">
        <v>45</v>
      </c>
      <c r="M365" s="8" t="s">
        <v>6</v>
      </c>
      <c r="N365" s="8" t="s">
        <v>46</v>
      </c>
      <c r="O365" s="8" t="s">
        <v>1573</v>
      </c>
      <c r="P365" s="8" t="s">
        <v>1574</v>
      </c>
      <c r="Q365" s="8" t="s">
        <v>59</v>
      </c>
      <c r="R365" s="8" t="s">
        <v>50</v>
      </c>
    </row>
    <row r="366" customFormat="false" ht="43.25" hidden="false" customHeight="false" outlineLevel="0" collapsed="false">
      <c r="A366" s="8" t="s">
        <v>1564</v>
      </c>
      <c r="B366" s="8" t="s">
        <v>1565</v>
      </c>
      <c r="C366" s="8" t="s">
        <v>1575</v>
      </c>
      <c r="D366" s="8" t="s">
        <v>63</v>
      </c>
      <c r="E366" s="9" t="n">
        <v>483640</v>
      </c>
      <c r="F366" s="9" t="n">
        <v>483640</v>
      </c>
      <c r="G366" s="9" t="n">
        <f aca="false">IF(AND(ISNUMBER(E366),ISNUMBER(F366)),E366-F366,"No disponible")</f>
        <v>0</v>
      </c>
      <c r="H366" s="8" t="s">
        <v>64</v>
      </c>
      <c r="I366" s="8" t="s">
        <v>56</v>
      </c>
      <c r="J366" s="8" t="s">
        <v>43</v>
      </c>
      <c r="K366" s="8" t="s">
        <v>44</v>
      </c>
      <c r="L366" s="8" t="s">
        <v>45</v>
      </c>
      <c r="M366" s="8" t="s">
        <v>6</v>
      </c>
      <c r="N366" s="8" t="s">
        <v>46</v>
      </c>
      <c r="O366" s="8" t="s">
        <v>1576</v>
      </c>
      <c r="P366" s="8" t="s">
        <v>1577</v>
      </c>
      <c r="Q366" s="8" t="s">
        <v>59</v>
      </c>
      <c r="R366" s="8" t="s">
        <v>50</v>
      </c>
    </row>
    <row r="367" customFormat="false" ht="22.35" hidden="false" customHeight="false" outlineLevel="0" collapsed="false">
      <c r="A367" s="8" t="s">
        <v>1578</v>
      </c>
      <c r="B367" s="8" t="s">
        <v>1579</v>
      </c>
      <c r="C367" s="8" t="s">
        <v>1580</v>
      </c>
      <c r="D367" s="8" t="s">
        <v>86</v>
      </c>
      <c r="E367" s="9" t="n">
        <v>2800.07</v>
      </c>
      <c r="F367" s="9" t="s">
        <v>87</v>
      </c>
      <c r="G367" s="9" t="str">
        <f aca="false">IF(AND(ISNUMBER(E367),ISNUMBER(F367)),E367-F367,"No disponible")</f>
        <v>No disponible</v>
      </c>
      <c r="H367" s="8" t="s">
        <v>86</v>
      </c>
      <c r="I367" s="8" t="s">
        <v>56</v>
      </c>
      <c r="J367" s="8" t="s">
        <v>87</v>
      </c>
      <c r="K367" s="8" t="s">
        <v>88</v>
      </c>
      <c r="L367" s="8" t="s">
        <v>89</v>
      </c>
      <c r="M367" s="8" t="s">
        <v>82</v>
      </c>
      <c r="N367" s="8" t="s">
        <v>46</v>
      </c>
      <c r="O367" s="8" t="s">
        <v>87</v>
      </c>
      <c r="P367" s="8"/>
      <c r="Q367" s="8" t="s">
        <v>87</v>
      </c>
      <c r="R367" s="8" t="s">
        <v>86</v>
      </c>
    </row>
    <row r="368" customFormat="false" ht="43.25" hidden="false" customHeight="false" outlineLevel="0" collapsed="false">
      <c r="A368" s="8" t="s">
        <v>1581</v>
      </c>
      <c r="B368" s="8" t="s">
        <v>1582</v>
      </c>
      <c r="C368" s="8" t="s">
        <v>1583</v>
      </c>
      <c r="D368" s="8" t="s">
        <v>1584</v>
      </c>
      <c r="E368" s="9" t="n">
        <v>7500000</v>
      </c>
      <c r="F368" s="9" t="n">
        <v>7500000</v>
      </c>
      <c r="G368" s="9" t="n">
        <f aca="false">IF(AND(ISNUMBER(E368),ISNUMBER(F368)),E368-F368,"No disponible")</f>
        <v>0</v>
      </c>
      <c r="H368" s="8" t="s">
        <v>1585</v>
      </c>
      <c r="I368" s="8" t="s">
        <v>56</v>
      </c>
      <c r="J368" s="8" t="s">
        <v>43</v>
      </c>
      <c r="K368" s="8" t="s">
        <v>44</v>
      </c>
      <c r="L368" s="8" t="s">
        <v>45</v>
      </c>
      <c r="M368" s="8" t="s">
        <v>6</v>
      </c>
      <c r="N368" s="8" t="s">
        <v>46</v>
      </c>
      <c r="O368" s="8" t="s">
        <v>1586</v>
      </c>
      <c r="P368" s="8" t="s">
        <v>1587</v>
      </c>
      <c r="Q368" s="8" t="s">
        <v>59</v>
      </c>
      <c r="R368" s="8" t="s">
        <v>50</v>
      </c>
    </row>
    <row r="369" customFormat="false" ht="53.7" hidden="false" customHeight="false" outlineLevel="0" collapsed="false">
      <c r="A369" s="8" t="s">
        <v>1588</v>
      </c>
      <c r="B369" s="8" t="s">
        <v>1589</v>
      </c>
      <c r="C369" s="8" t="s">
        <v>1590</v>
      </c>
      <c r="D369" s="8" t="s">
        <v>1591</v>
      </c>
      <c r="E369" s="9" t="n">
        <v>690000</v>
      </c>
      <c r="F369" s="9" t="n">
        <v>690000</v>
      </c>
      <c r="G369" s="9" t="n">
        <f aca="false">IF(AND(ISNUMBER(E369),ISNUMBER(F369)),E369-F369,"No disponible")</f>
        <v>0</v>
      </c>
      <c r="H369" s="8" t="s">
        <v>1592</v>
      </c>
      <c r="I369" s="8" t="s">
        <v>56</v>
      </c>
      <c r="J369" s="8" t="s">
        <v>43</v>
      </c>
      <c r="K369" s="8" t="s">
        <v>44</v>
      </c>
      <c r="L369" s="8" t="s">
        <v>45</v>
      </c>
      <c r="M369" s="8" t="s">
        <v>6</v>
      </c>
      <c r="N369" s="8" t="s">
        <v>46</v>
      </c>
      <c r="O369" s="8" t="s">
        <v>1593</v>
      </c>
      <c r="P369" s="8" t="s">
        <v>1594</v>
      </c>
      <c r="Q369" s="8" t="s">
        <v>59</v>
      </c>
      <c r="R369" s="8" t="s">
        <v>50</v>
      </c>
    </row>
    <row r="370" customFormat="false" ht="43.25" hidden="false" customHeight="false" outlineLevel="0" collapsed="false">
      <c r="A370" s="8" t="s">
        <v>1588</v>
      </c>
      <c r="B370" s="8" t="s">
        <v>1589</v>
      </c>
      <c r="C370" s="8" t="s">
        <v>1595</v>
      </c>
      <c r="D370" s="8" t="s">
        <v>127</v>
      </c>
      <c r="E370" s="9" t="n">
        <v>303000</v>
      </c>
      <c r="F370" s="9" t="n">
        <v>303000</v>
      </c>
      <c r="G370" s="9" t="n">
        <f aca="false">IF(AND(ISNUMBER(E370),ISNUMBER(F370)),E370-F370,"No disponible")</f>
        <v>0</v>
      </c>
      <c r="H370" s="8" t="s">
        <v>64</v>
      </c>
      <c r="I370" s="8" t="s">
        <v>56</v>
      </c>
      <c r="J370" s="8" t="s">
        <v>43</v>
      </c>
      <c r="K370" s="8" t="s">
        <v>44</v>
      </c>
      <c r="L370" s="8" t="s">
        <v>45</v>
      </c>
      <c r="M370" s="8" t="s">
        <v>6</v>
      </c>
      <c r="N370" s="8" t="s">
        <v>46</v>
      </c>
      <c r="O370" s="8" t="s">
        <v>1596</v>
      </c>
      <c r="P370" s="8" t="s">
        <v>1597</v>
      </c>
      <c r="Q370" s="8" t="s">
        <v>59</v>
      </c>
      <c r="R370" s="8" t="s">
        <v>50</v>
      </c>
    </row>
    <row r="371" customFormat="false" ht="53.7" hidden="false" customHeight="false" outlineLevel="0" collapsed="false">
      <c r="A371" s="8" t="s">
        <v>1598</v>
      </c>
      <c r="B371" s="8" t="s">
        <v>1599</v>
      </c>
      <c r="C371" s="8" t="s">
        <v>1600</v>
      </c>
      <c r="D371" s="8" t="s">
        <v>428</v>
      </c>
      <c r="E371" s="9" t="n">
        <v>2241960</v>
      </c>
      <c r="F371" s="9" t="n">
        <v>2241960</v>
      </c>
      <c r="G371" s="9" t="n">
        <f aca="false">IF(AND(ISNUMBER(E371),ISNUMBER(F371)),E371-F371,"No disponible")</f>
        <v>0</v>
      </c>
      <c r="H371" s="8" t="s">
        <v>1601</v>
      </c>
      <c r="I371" s="8" t="s">
        <v>56</v>
      </c>
      <c r="J371" s="8" t="s">
        <v>43</v>
      </c>
      <c r="K371" s="8" t="s">
        <v>44</v>
      </c>
      <c r="L371" s="8" t="s">
        <v>45</v>
      </c>
      <c r="M371" s="8" t="s">
        <v>6</v>
      </c>
      <c r="N371" s="8" t="s">
        <v>46</v>
      </c>
      <c r="O371" s="8" t="s">
        <v>1602</v>
      </c>
      <c r="P371" s="8" t="s">
        <v>1603</v>
      </c>
      <c r="Q371" s="8" t="s">
        <v>59</v>
      </c>
      <c r="R371" s="8" t="s">
        <v>50</v>
      </c>
    </row>
    <row r="372" customFormat="false" ht="43.25" hidden="false" customHeight="false" outlineLevel="0" collapsed="false">
      <c r="A372" s="8" t="s">
        <v>1604</v>
      </c>
      <c r="B372" s="8" t="s">
        <v>1605</v>
      </c>
      <c r="C372" s="8" t="s">
        <v>1606</v>
      </c>
      <c r="D372" s="8" t="s">
        <v>127</v>
      </c>
      <c r="E372" s="9" t="n">
        <v>1735000</v>
      </c>
      <c r="F372" s="9" t="n">
        <v>1735000</v>
      </c>
      <c r="G372" s="9" t="n">
        <f aca="false">IF(AND(ISNUMBER(E372),ISNUMBER(F372)),E372-F372,"No disponible")</f>
        <v>0</v>
      </c>
      <c r="H372" s="8" t="s">
        <v>64</v>
      </c>
      <c r="I372" s="8" t="s">
        <v>42</v>
      </c>
      <c r="J372" s="8" t="s">
        <v>43</v>
      </c>
      <c r="K372" s="8" t="s">
        <v>44</v>
      </c>
      <c r="L372" s="8" t="s">
        <v>45</v>
      </c>
      <c r="M372" s="8" t="s">
        <v>6</v>
      </c>
      <c r="N372" s="8" t="s">
        <v>46</v>
      </c>
      <c r="O372" s="8" t="s">
        <v>1607</v>
      </c>
      <c r="P372" s="8" t="s">
        <v>1608</v>
      </c>
      <c r="Q372" s="8" t="s">
        <v>49</v>
      </c>
      <c r="R372" s="8" t="s">
        <v>50</v>
      </c>
    </row>
    <row r="373" customFormat="false" ht="43.25" hidden="false" customHeight="false" outlineLevel="0" collapsed="false">
      <c r="A373" s="8" t="s">
        <v>1604</v>
      </c>
      <c r="B373" s="8" t="s">
        <v>1605</v>
      </c>
      <c r="C373" s="8" t="s">
        <v>1609</v>
      </c>
      <c r="D373" s="8" t="s">
        <v>127</v>
      </c>
      <c r="E373" s="9" t="n">
        <v>1725000</v>
      </c>
      <c r="F373" s="9" t="n">
        <v>1725000</v>
      </c>
      <c r="G373" s="9" t="n">
        <f aca="false">IF(AND(ISNUMBER(E373),ISNUMBER(F373)),E373-F373,"No disponible")</f>
        <v>0</v>
      </c>
      <c r="H373" s="8" t="s">
        <v>64</v>
      </c>
      <c r="I373" s="8" t="s">
        <v>42</v>
      </c>
      <c r="J373" s="8" t="s">
        <v>43</v>
      </c>
      <c r="K373" s="8" t="s">
        <v>44</v>
      </c>
      <c r="L373" s="8" t="s">
        <v>45</v>
      </c>
      <c r="M373" s="8" t="s">
        <v>6</v>
      </c>
      <c r="N373" s="8" t="s">
        <v>46</v>
      </c>
      <c r="O373" s="8" t="s">
        <v>1610</v>
      </c>
      <c r="P373" s="8" t="s">
        <v>1611</v>
      </c>
      <c r="Q373" s="8" t="s">
        <v>59</v>
      </c>
      <c r="R373" s="8" t="s">
        <v>50</v>
      </c>
    </row>
    <row r="374" customFormat="false" ht="43.25" hidden="false" customHeight="false" outlineLevel="0" collapsed="false">
      <c r="A374" s="8" t="s">
        <v>1612</v>
      </c>
      <c r="B374" s="8" t="s">
        <v>1613</v>
      </c>
      <c r="C374" s="8" t="s">
        <v>1614</v>
      </c>
      <c r="D374" s="8" t="s">
        <v>127</v>
      </c>
      <c r="E374" s="9" t="n">
        <v>704700</v>
      </c>
      <c r="F374" s="9" t="n">
        <v>704700</v>
      </c>
      <c r="G374" s="9" t="n">
        <f aca="false">IF(AND(ISNUMBER(E374),ISNUMBER(F374)),E374-F374,"No disponible")</f>
        <v>0</v>
      </c>
      <c r="H374" s="8" t="s">
        <v>64</v>
      </c>
      <c r="I374" s="8" t="s">
        <v>56</v>
      </c>
      <c r="J374" s="8" t="s">
        <v>43</v>
      </c>
      <c r="K374" s="8" t="s">
        <v>44</v>
      </c>
      <c r="L374" s="8" t="s">
        <v>45</v>
      </c>
      <c r="M374" s="8" t="s">
        <v>6</v>
      </c>
      <c r="N374" s="8" t="s">
        <v>46</v>
      </c>
      <c r="O374" s="8" t="s">
        <v>1615</v>
      </c>
      <c r="P374" s="8" t="s">
        <v>1616</v>
      </c>
      <c r="Q374" s="8" t="s">
        <v>59</v>
      </c>
      <c r="R374" s="8" t="s">
        <v>50</v>
      </c>
    </row>
    <row r="375" customFormat="false" ht="32.8" hidden="false" customHeight="false" outlineLevel="0" collapsed="false">
      <c r="A375" s="8" t="s">
        <v>1617</v>
      </c>
      <c r="B375" s="8" t="s">
        <v>1618</v>
      </c>
      <c r="C375" s="8" t="s">
        <v>87</v>
      </c>
      <c r="D375" s="8" t="s">
        <v>1619</v>
      </c>
      <c r="E375" s="9" t="s">
        <v>87</v>
      </c>
      <c r="F375" s="9" t="n">
        <v>2988700.11</v>
      </c>
      <c r="G375" s="9" t="str">
        <f aca="false">IF(AND(ISNUMBER(E375),ISNUMBER(F375)),E375-F375,"No disponible")</f>
        <v>No disponible</v>
      </c>
      <c r="H375" s="8" t="s">
        <v>64</v>
      </c>
      <c r="I375" s="8" t="s">
        <v>87</v>
      </c>
      <c r="J375" s="8" t="s">
        <v>43</v>
      </c>
      <c r="K375" s="8" t="s">
        <v>1620</v>
      </c>
      <c r="L375" s="8" t="s">
        <v>1621</v>
      </c>
      <c r="M375" s="8" t="s">
        <v>82</v>
      </c>
      <c r="N375" s="8" t="s">
        <v>1622</v>
      </c>
      <c r="O375" s="8" t="s">
        <v>1623</v>
      </c>
      <c r="P375" s="8" t="s">
        <v>1624</v>
      </c>
      <c r="Q375" s="8" t="s">
        <v>86</v>
      </c>
      <c r="R375" s="8" t="s">
        <v>50</v>
      </c>
    </row>
    <row r="376" customFormat="false" ht="32.8" hidden="false" customHeight="false" outlineLevel="0" collapsed="false">
      <c r="A376" s="8" t="s">
        <v>1625</v>
      </c>
      <c r="B376" s="8" t="s">
        <v>1626</v>
      </c>
      <c r="C376" s="8" t="s">
        <v>87</v>
      </c>
      <c r="D376" s="8" t="s">
        <v>266</v>
      </c>
      <c r="E376" s="9" t="s">
        <v>87</v>
      </c>
      <c r="F376" s="9" t="n">
        <v>804628</v>
      </c>
      <c r="G376" s="9" t="str">
        <f aca="false">IF(AND(ISNUMBER(E376),ISNUMBER(F376)),E376-F376,"No disponible")</f>
        <v>No disponible</v>
      </c>
      <c r="H376" s="8" t="s">
        <v>1627</v>
      </c>
      <c r="I376" s="8" t="s">
        <v>87</v>
      </c>
      <c r="J376" s="8" t="s">
        <v>43</v>
      </c>
      <c r="K376" s="8" t="s">
        <v>1628</v>
      </c>
      <c r="L376" s="8" t="s">
        <v>1629</v>
      </c>
      <c r="M376" s="8" t="s">
        <v>82</v>
      </c>
      <c r="N376" s="8" t="s">
        <v>1622</v>
      </c>
      <c r="O376" s="8" t="s">
        <v>1630</v>
      </c>
      <c r="P376" s="8" t="s">
        <v>1631</v>
      </c>
      <c r="Q376" s="8" t="s">
        <v>86</v>
      </c>
      <c r="R376" s="8" t="s">
        <v>50</v>
      </c>
    </row>
    <row r="377" customFormat="false" ht="32.8" hidden="false" customHeight="false" outlineLevel="0" collapsed="false">
      <c r="A377" s="8" t="s">
        <v>1625</v>
      </c>
      <c r="B377" s="8" t="s">
        <v>1626</v>
      </c>
      <c r="C377" s="8" t="s">
        <v>87</v>
      </c>
      <c r="D377" s="8" t="s">
        <v>266</v>
      </c>
      <c r="E377" s="9" t="s">
        <v>87</v>
      </c>
      <c r="F377" s="9" t="n">
        <v>676158</v>
      </c>
      <c r="G377" s="9" t="str">
        <f aca="false">IF(AND(ISNUMBER(E377),ISNUMBER(F377)),E377-F377,"No disponible")</f>
        <v>No disponible</v>
      </c>
      <c r="H377" s="8" t="s">
        <v>1632</v>
      </c>
      <c r="I377" s="8" t="s">
        <v>87</v>
      </c>
      <c r="J377" s="8" t="s">
        <v>43</v>
      </c>
      <c r="K377" s="8" t="s">
        <v>1628</v>
      </c>
      <c r="L377" s="8" t="s">
        <v>1633</v>
      </c>
      <c r="M377" s="8" t="s">
        <v>82</v>
      </c>
      <c r="N377" s="8" t="s">
        <v>1622</v>
      </c>
      <c r="O377" s="8" t="s">
        <v>1634</v>
      </c>
      <c r="P377" s="8" t="s">
        <v>1635</v>
      </c>
      <c r="Q377" s="8" t="s">
        <v>86</v>
      </c>
      <c r="R377" s="8" t="s">
        <v>50</v>
      </c>
    </row>
    <row r="378" customFormat="false" ht="32.8" hidden="false" customHeight="false" outlineLevel="0" collapsed="false">
      <c r="A378" s="8" t="s">
        <v>1636</v>
      </c>
      <c r="B378" s="8" t="s">
        <v>1637</v>
      </c>
      <c r="C378" s="8" t="s">
        <v>87</v>
      </c>
      <c r="D378" s="8" t="s">
        <v>1638</v>
      </c>
      <c r="E378" s="9" t="s">
        <v>87</v>
      </c>
      <c r="F378" s="9" t="n">
        <v>66208</v>
      </c>
      <c r="G378" s="9" t="str">
        <f aca="false">IF(AND(ISNUMBER(E378),ISNUMBER(F378)),E378-F378,"No disponible")</f>
        <v>No disponible</v>
      </c>
      <c r="H378" s="8" t="s">
        <v>1639</v>
      </c>
      <c r="I378" s="8" t="s">
        <v>87</v>
      </c>
      <c r="J378" s="8" t="s">
        <v>43</v>
      </c>
      <c r="K378" s="8" t="s">
        <v>1628</v>
      </c>
      <c r="L378" s="8" t="s">
        <v>1640</v>
      </c>
      <c r="M378" s="8" t="s">
        <v>82</v>
      </c>
      <c r="N378" s="8" t="s">
        <v>1622</v>
      </c>
      <c r="O378" s="8" t="s">
        <v>1641</v>
      </c>
      <c r="P378" s="8" t="s">
        <v>1642</v>
      </c>
      <c r="Q378" s="8" t="s">
        <v>86</v>
      </c>
      <c r="R378" s="8" t="s">
        <v>50</v>
      </c>
    </row>
    <row r="379" customFormat="false" ht="32.8" hidden="false" customHeight="false" outlineLevel="0" collapsed="false">
      <c r="A379" s="8" t="s">
        <v>130</v>
      </c>
      <c r="B379" s="8" t="s">
        <v>131</v>
      </c>
      <c r="C379" s="8" t="s">
        <v>87</v>
      </c>
      <c r="D379" s="8" t="s">
        <v>133</v>
      </c>
      <c r="E379" s="9" t="s">
        <v>87</v>
      </c>
      <c r="F379" s="9" t="n">
        <v>1850000</v>
      </c>
      <c r="G379" s="9" t="str">
        <f aca="false">IF(AND(ISNUMBER(E379),ISNUMBER(F379)),E379-F379,"No disponible")</f>
        <v>No disponible</v>
      </c>
      <c r="H379" s="8" t="s">
        <v>134</v>
      </c>
      <c r="I379" s="8" t="s">
        <v>87</v>
      </c>
      <c r="J379" s="8" t="s">
        <v>43</v>
      </c>
      <c r="K379" s="8" t="s">
        <v>1628</v>
      </c>
      <c r="L379" s="8" t="s">
        <v>1643</v>
      </c>
      <c r="M379" s="8" t="s">
        <v>82</v>
      </c>
      <c r="N379" s="8" t="s">
        <v>1622</v>
      </c>
      <c r="O379" s="8" t="s">
        <v>1644</v>
      </c>
      <c r="P379" s="8" t="s">
        <v>1645</v>
      </c>
      <c r="Q379" s="8" t="s">
        <v>86</v>
      </c>
      <c r="R379" s="8" t="s">
        <v>111</v>
      </c>
    </row>
    <row r="380" customFormat="false" ht="32.8" hidden="false" customHeight="false" outlineLevel="0" collapsed="false">
      <c r="A380" s="8" t="s">
        <v>130</v>
      </c>
      <c r="B380" s="8" t="s">
        <v>131</v>
      </c>
      <c r="C380" s="8" t="s">
        <v>87</v>
      </c>
      <c r="D380" s="8" t="s">
        <v>133</v>
      </c>
      <c r="E380" s="9" t="s">
        <v>87</v>
      </c>
      <c r="F380" s="9" t="n">
        <v>1850000</v>
      </c>
      <c r="G380" s="9" t="str">
        <f aca="false">IF(AND(ISNUMBER(E380),ISNUMBER(F380)),E380-F380,"No disponible")</f>
        <v>No disponible</v>
      </c>
      <c r="H380" s="8" t="s">
        <v>134</v>
      </c>
      <c r="I380" s="8" t="s">
        <v>87</v>
      </c>
      <c r="J380" s="8" t="s">
        <v>43</v>
      </c>
      <c r="K380" s="8" t="s">
        <v>1628</v>
      </c>
      <c r="L380" s="8" t="s">
        <v>1643</v>
      </c>
      <c r="M380" s="8" t="s">
        <v>82</v>
      </c>
      <c r="N380" s="8" t="s">
        <v>1622</v>
      </c>
      <c r="O380" s="8" t="s">
        <v>1646</v>
      </c>
      <c r="P380" s="8" t="s">
        <v>1647</v>
      </c>
      <c r="Q380" s="8" t="s">
        <v>86</v>
      </c>
      <c r="R380" s="8" t="s">
        <v>111</v>
      </c>
    </row>
    <row r="381" customFormat="false" ht="32.8" hidden="false" customHeight="false" outlineLevel="0" collapsed="false">
      <c r="A381" s="8" t="s">
        <v>1648</v>
      </c>
      <c r="B381" s="8" t="s">
        <v>1649</v>
      </c>
      <c r="C381" s="8" t="s">
        <v>87</v>
      </c>
      <c r="D381" s="8" t="s">
        <v>1619</v>
      </c>
      <c r="E381" s="9" t="s">
        <v>87</v>
      </c>
      <c r="F381" s="9" t="n">
        <v>2000</v>
      </c>
      <c r="G381" s="9" t="str">
        <f aca="false">IF(AND(ISNUMBER(E381),ISNUMBER(F381)),E381-F381,"No disponible")</f>
        <v>No disponible</v>
      </c>
      <c r="H381" s="8" t="s">
        <v>64</v>
      </c>
      <c r="I381" s="8" t="s">
        <v>87</v>
      </c>
      <c r="J381" s="8" t="s">
        <v>43</v>
      </c>
      <c r="K381" s="8" t="s">
        <v>1620</v>
      </c>
      <c r="L381" s="8" t="s">
        <v>1621</v>
      </c>
      <c r="M381" s="8" t="s">
        <v>82</v>
      </c>
      <c r="N381" s="8" t="s">
        <v>1622</v>
      </c>
      <c r="O381" s="8" t="s">
        <v>1623</v>
      </c>
      <c r="P381" s="8" t="s">
        <v>1650</v>
      </c>
      <c r="Q381" s="8" t="s">
        <v>86</v>
      </c>
      <c r="R381" s="8" t="s">
        <v>50</v>
      </c>
    </row>
    <row r="382" customFormat="false" ht="32.8" hidden="false" customHeight="false" outlineLevel="0" collapsed="false">
      <c r="A382" s="8" t="s">
        <v>1648</v>
      </c>
      <c r="B382" s="8" t="s">
        <v>1649</v>
      </c>
      <c r="C382" s="8" t="s">
        <v>87</v>
      </c>
      <c r="D382" s="8" t="s">
        <v>1619</v>
      </c>
      <c r="E382" s="9" t="s">
        <v>87</v>
      </c>
      <c r="F382" s="9" t="n">
        <v>154679</v>
      </c>
      <c r="G382" s="9" t="str">
        <f aca="false">IF(AND(ISNUMBER(E382),ISNUMBER(F382)),E382-F382,"No disponible")</f>
        <v>No disponible</v>
      </c>
      <c r="H382" s="8" t="s">
        <v>64</v>
      </c>
      <c r="I382" s="8" t="s">
        <v>87</v>
      </c>
      <c r="J382" s="8" t="s">
        <v>43</v>
      </c>
      <c r="K382" s="8" t="s">
        <v>1628</v>
      </c>
      <c r="L382" s="8" t="s">
        <v>1651</v>
      </c>
      <c r="M382" s="8" t="s">
        <v>82</v>
      </c>
      <c r="N382" s="8" t="s">
        <v>1622</v>
      </c>
      <c r="O382" s="8" t="s">
        <v>1652</v>
      </c>
      <c r="P382" s="8" t="s">
        <v>1653</v>
      </c>
      <c r="Q382" s="8" t="s">
        <v>86</v>
      </c>
      <c r="R382" s="8" t="s">
        <v>50</v>
      </c>
    </row>
    <row r="383" customFormat="false" ht="32.8" hidden="false" customHeight="false" outlineLevel="0" collapsed="false">
      <c r="A383" s="8" t="s">
        <v>1654</v>
      </c>
      <c r="B383" s="8" t="s">
        <v>181</v>
      </c>
      <c r="C383" s="8" t="s">
        <v>87</v>
      </c>
      <c r="D383" s="8" t="s">
        <v>183</v>
      </c>
      <c r="E383" s="9" t="s">
        <v>87</v>
      </c>
      <c r="F383" s="9" t="n">
        <v>275000</v>
      </c>
      <c r="G383" s="9" t="str">
        <f aca="false">IF(AND(ISNUMBER(E383),ISNUMBER(F383)),E383-F383,"No disponible")</f>
        <v>No disponible</v>
      </c>
      <c r="H383" s="8" t="s">
        <v>184</v>
      </c>
      <c r="I383" s="8" t="s">
        <v>87</v>
      </c>
      <c r="J383" s="8" t="s">
        <v>43</v>
      </c>
      <c r="K383" s="8" t="s">
        <v>1628</v>
      </c>
      <c r="L383" s="8" t="s">
        <v>1655</v>
      </c>
      <c r="M383" s="8" t="s">
        <v>82</v>
      </c>
      <c r="N383" s="8" t="s">
        <v>1622</v>
      </c>
      <c r="O383" s="8" t="s">
        <v>1656</v>
      </c>
      <c r="P383" s="8" t="s">
        <v>1657</v>
      </c>
      <c r="Q383" s="8" t="s">
        <v>86</v>
      </c>
      <c r="R383" s="8" t="s">
        <v>111</v>
      </c>
    </row>
    <row r="384" customFormat="false" ht="32.8" hidden="false" customHeight="false" outlineLevel="0" collapsed="false">
      <c r="A384" s="8" t="s">
        <v>1654</v>
      </c>
      <c r="B384" s="8" t="s">
        <v>181</v>
      </c>
      <c r="C384" s="8" t="s">
        <v>87</v>
      </c>
      <c r="D384" s="8" t="s">
        <v>183</v>
      </c>
      <c r="E384" s="9" t="s">
        <v>87</v>
      </c>
      <c r="F384" s="9" t="n">
        <v>275000</v>
      </c>
      <c r="G384" s="9" t="str">
        <f aca="false">IF(AND(ISNUMBER(E384),ISNUMBER(F384)),E384-F384,"No disponible")</f>
        <v>No disponible</v>
      </c>
      <c r="H384" s="8" t="s">
        <v>184</v>
      </c>
      <c r="I384" s="8" t="s">
        <v>87</v>
      </c>
      <c r="J384" s="8" t="s">
        <v>43</v>
      </c>
      <c r="K384" s="8" t="s">
        <v>1628</v>
      </c>
      <c r="L384" s="8" t="s">
        <v>1658</v>
      </c>
      <c r="M384" s="8" t="s">
        <v>82</v>
      </c>
      <c r="N384" s="8" t="s">
        <v>1622</v>
      </c>
      <c r="O384" s="8" t="s">
        <v>1659</v>
      </c>
      <c r="P384" s="8" t="s">
        <v>1660</v>
      </c>
      <c r="Q384" s="8" t="s">
        <v>86</v>
      </c>
      <c r="R384" s="8" t="s">
        <v>111</v>
      </c>
    </row>
    <row r="385" customFormat="false" ht="32.8" hidden="false" customHeight="false" outlineLevel="0" collapsed="false">
      <c r="A385" s="8" t="s">
        <v>1661</v>
      </c>
      <c r="B385" s="8" t="s">
        <v>91</v>
      </c>
      <c r="C385" s="8" t="s">
        <v>87</v>
      </c>
      <c r="D385" s="8" t="s">
        <v>127</v>
      </c>
      <c r="E385" s="9" t="s">
        <v>87</v>
      </c>
      <c r="F385" s="9" t="n">
        <v>159800</v>
      </c>
      <c r="G385" s="9" t="str">
        <f aca="false">IF(AND(ISNUMBER(E385),ISNUMBER(F385)),E385-F385,"No disponible")</f>
        <v>No disponible</v>
      </c>
      <c r="H385" s="8" t="s">
        <v>64</v>
      </c>
      <c r="I385" s="8" t="s">
        <v>87</v>
      </c>
      <c r="J385" s="8" t="s">
        <v>43</v>
      </c>
      <c r="K385" s="8" t="s">
        <v>1628</v>
      </c>
      <c r="L385" s="8" t="s">
        <v>1662</v>
      </c>
      <c r="M385" s="8" t="s">
        <v>82</v>
      </c>
      <c r="N385" s="8" t="s">
        <v>1622</v>
      </c>
      <c r="O385" s="8" t="s">
        <v>1663</v>
      </c>
      <c r="P385" s="8" t="s">
        <v>1664</v>
      </c>
      <c r="Q385" s="8" t="s">
        <v>86</v>
      </c>
      <c r="R385" s="8" t="s">
        <v>50</v>
      </c>
    </row>
    <row r="386" customFormat="false" ht="32.8" hidden="false" customHeight="false" outlineLevel="0" collapsed="false">
      <c r="A386" s="8" t="s">
        <v>1665</v>
      </c>
      <c r="B386" s="8" t="s">
        <v>1666</v>
      </c>
      <c r="C386" s="8" t="s">
        <v>87</v>
      </c>
      <c r="D386" s="8" t="s">
        <v>1619</v>
      </c>
      <c r="E386" s="9" t="s">
        <v>87</v>
      </c>
      <c r="F386" s="9" t="n">
        <v>7920000</v>
      </c>
      <c r="G386" s="9" t="str">
        <f aca="false">IF(AND(ISNUMBER(E386),ISNUMBER(F386)),E386-F386,"No disponible")</f>
        <v>No disponible</v>
      </c>
      <c r="H386" s="8" t="s">
        <v>64</v>
      </c>
      <c r="I386" s="8" t="s">
        <v>87</v>
      </c>
      <c r="J386" s="8" t="s">
        <v>43</v>
      </c>
      <c r="K386" s="8" t="s">
        <v>1620</v>
      </c>
      <c r="L386" s="8" t="s">
        <v>1621</v>
      </c>
      <c r="M386" s="8" t="s">
        <v>82</v>
      </c>
      <c r="N386" s="8" t="s">
        <v>1622</v>
      </c>
      <c r="O386" s="8" t="s">
        <v>1623</v>
      </c>
      <c r="P386" s="8" t="s">
        <v>1667</v>
      </c>
      <c r="Q386" s="8" t="s">
        <v>86</v>
      </c>
      <c r="R386" s="8" t="s">
        <v>50</v>
      </c>
    </row>
    <row r="387" customFormat="false" ht="32.8" hidden="false" customHeight="false" outlineLevel="0" collapsed="false">
      <c r="A387" s="8" t="s">
        <v>1668</v>
      </c>
      <c r="B387" s="8" t="s">
        <v>1669</v>
      </c>
      <c r="C387" s="8" t="s">
        <v>87</v>
      </c>
      <c r="D387" s="8" t="s">
        <v>1670</v>
      </c>
      <c r="E387" s="9" t="s">
        <v>87</v>
      </c>
      <c r="F387" s="9" t="n">
        <v>79942</v>
      </c>
      <c r="G387" s="9" t="str">
        <f aca="false">IF(AND(ISNUMBER(E387),ISNUMBER(F387)),E387-F387,"No disponible")</f>
        <v>No disponible</v>
      </c>
      <c r="H387" s="8" t="s">
        <v>1671</v>
      </c>
      <c r="I387" s="8" t="s">
        <v>87</v>
      </c>
      <c r="J387" s="8" t="s">
        <v>43</v>
      </c>
      <c r="K387" s="8" t="s">
        <v>1628</v>
      </c>
      <c r="L387" s="8" t="s">
        <v>1672</v>
      </c>
      <c r="M387" s="8" t="s">
        <v>82</v>
      </c>
      <c r="N387" s="8" t="s">
        <v>1622</v>
      </c>
      <c r="O387" s="8" t="s">
        <v>1673</v>
      </c>
      <c r="P387" s="8" t="s">
        <v>1674</v>
      </c>
      <c r="Q387" s="8" t="s">
        <v>86</v>
      </c>
      <c r="R387" s="8" t="s">
        <v>111</v>
      </c>
    </row>
    <row r="388" customFormat="false" ht="32.8" hidden="false" customHeight="false" outlineLevel="0" collapsed="false">
      <c r="A388" s="8" t="s">
        <v>1668</v>
      </c>
      <c r="B388" s="8" t="s">
        <v>1669</v>
      </c>
      <c r="C388" s="8" t="s">
        <v>87</v>
      </c>
      <c r="D388" s="8" t="s">
        <v>1670</v>
      </c>
      <c r="E388" s="9" t="s">
        <v>87</v>
      </c>
      <c r="F388" s="9" t="n">
        <v>233000</v>
      </c>
      <c r="G388" s="9" t="str">
        <f aca="false">IF(AND(ISNUMBER(E388),ISNUMBER(F388)),E388-F388,"No disponible")</f>
        <v>No disponible</v>
      </c>
      <c r="H388" s="8" t="s">
        <v>1675</v>
      </c>
      <c r="I388" s="8" t="s">
        <v>87</v>
      </c>
      <c r="J388" s="8" t="s">
        <v>43</v>
      </c>
      <c r="K388" s="8" t="s">
        <v>1628</v>
      </c>
      <c r="L388" s="8" t="s">
        <v>1672</v>
      </c>
      <c r="M388" s="8" t="s">
        <v>82</v>
      </c>
      <c r="N388" s="8" t="s">
        <v>1622</v>
      </c>
      <c r="O388" s="8" t="s">
        <v>1676</v>
      </c>
      <c r="P388" s="8" t="s">
        <v>1677</v>
      </c>
      <c r="Q388" s="8" t="s">
        <v>86</v>
      </c>
      <c r="R388" s="8" t="s">
        <v>111</v>
      </c>
    </row>
    <row r="389" customFormat="false" ht="32.8" hidden="false" customHeight="false" outlineLevel="0" collapsed="false">
      <c r="A389" s="8" t="s">
        <v>1668</v>
      </c>
      <c r="B389" s="8" t="s">
        <v>1669</v>
      </c>
      <c r="C389" s="8" t="s">
        <v>87</v>
      </c>
      <c r="D389" s="8" t="s">
        <v>1670</v>
      </c>
      <c r="E389" s="9" t="s">
        <v>87</v>
      </c>
      <c r="F389" s="9" t="n">
        <v>114100</v>
      </c>
      <c r="G389" s="9" t="str">
        <f aca="false">IF(AND(ISNUMBER(E389),ISNUMBER(F389)),E389-F389,"No disponible")</f>
        <v>No disponible</v>
      </c>
      <c r="H389" s="8" t="s">
        <v>1678</v>
      </c>
      <c r="I389" s="8" t="s">
        <v>87</v>
      </c>
      <c r="J389" s="8" t="s">
        <v>43</v>
      </c>
      <c r="K389" s="8" t="s">
        <v>1628</v>
      </c>
      <c r="L389" s="8" t="s">
        <v>1679</v>
      </c>
      <c r="M389" s="8" t="s">
        <v>82</v>
      </c>
      <c r="N389" s="8" t="s">
        <v>1622</v>
      </c>
      <c r="O389" s="8" t="s">
        <v>1680</v>
      </c>
      <c r="P389" s="8" t="s">
        <v>1681</v>
      </c>
      <c r="Q389" s="8" t="s">
        <v>86</v>
      </c>
      <c r="R389" s="8" t="s">
        <v>111</v>
      </c>
    </row>
    <row r="390" customFormat="false" ht="32.8" hidden="false" customHeight="false" outlineLevel="0" collapsed="false">
      <c r="A390" s="8" t="s">
        <v>276</v>
      </c>
      <c r="B390" s="8" t="s">
        <v>277</v>
      </c>
      <c r="C390" s="8" t="s">
        <v>87</v>
      </c>
      <c r="D390" s="8" t="s">
        <v>127</v>
      </c>
      <c r="E390" s="9" t="s">
        <v>87</v>
      </c>
      <c r="F390" s="9" t="n">
        <v>3561323</v>
      </c>
      <c r="G390" s="9" t="str">
        <f aca="false">IF(AND(ISNUMBER(E390),ISNUMBER(F390)),E390-F390,"No disponible")</f>
        <v>No disponible</v>
      </c>
      <c r="H390" s="8" t="s">
        <v>64</v>
      </c>
      <c r="I390" s="8" t="s">
        <v>87</v>
      </c>
      <c r="J390" s="8" t="s">
        <v>43</v>
      </c>
      <c r="K390" s="8" t="s">
        <v>1628</v>
      </c>
      <c r="L390" s="8" t="s">
        <v>1682</v>
      </c>
      <c r="M390" s="8" t="s">
        <v>82</v>
      </c>
      <c r="N390" s="8" t="s">
        <v>1622</v>
      </c>
      <c r="O390" s="8" t="s">
        <v>1683</v>
      </c>
      <c r="P390" s="8" t="s">
        <v>1684</v>
      </c>
      <c r="Q390" s="8" t="s">
        <v>86</v>
      </c>
      <c r="R390" s="8" t="s">
        <v>50</v>
      </c>
    </row>
    <row r="391" customFormat="false" ht="32.8" hidden="false" customHeight="false" outlineLevel="0" collapsed="false">
      <c r="A391" s="8" t="s">
        <v>276</v>
      </c>
      <c r="B391" s="8" t="s">
        <v>277</v>
      </c>
      <c r="C391" s="8" t="s">
        <v>87</v>
      </c>
      <c r="D391" s="8" t="s">
        <v>127</v>
      </c>
      <c r="E391" s="9" t="s">
        <v>87</v>
      </c>
      <c r="F391" s="9" t="n">
        <v>7190279</v>
      </c>
      <c r="G391" s="9" t="str">
        <f aca="false">IF(AND(ISNUMBER(E391),ISNUMBER(F391)),E391-F391,"No disponible")</f>
        <v>No disponible</v>
      </c>
      <c r="H391" s="8" t="s">
        <v>64</v>
      </c>
      <c r="I391" s="8" t="s">
        <v>87</v>
      </c>
      <c r="J391" s="8" t="s">
        <v>43</v>
      </c>
      <c r="K391" s="8" t="s">
        <v>1628</v>
      </c>
      <c r="L391" s="8" t="s">
        <v>1685</v>
      </c>
      <c r="M391" s="8" t="s">
        <v>82</v>
      </c>
      <c r="N391" s="8" t="s">
        <v>1622</v>
      </c>
      <c r="O391" s="8" t="s">
        <v>1686</v>
      </c>
      <c r="P391" s="8" t="s">
        <v>1687</v>
      </c>
      <c r="Q391" s="8" t="s">
        <v>86</v>
      </c>
      <c r="R391" s="8" t="s">
        <v>50</v>
      </c>
    </row>
    <row r="392" customFormat="false" ht="32.8" hidden="false" customHeight="false" outlineLevel="0" collapsed="false">
      <c r="A392" s="8" t="s">
        <v>296</v>
      </c>
      <c r="B392" s="8" t="s">
        <v>297</v>
      </c>
      <c r="C392" s="8" t="s">
        <v>87</v>
      </c>
      <c r="D392" s="8" t="s">
        <v>127</v>
      </c>
      <c r="E392" s="9" t="s">
        <v>87</v>
      </c>
      <c r="F392" s="9" t="n">
        <v>28000</v>
      </c>
      <c r="G392" s="9" t="str">
        <f aca="false">IF(AND(ISNUMBER(E392),ISNUMBER(F392)),E392-F392,"No disponible")</f>
        <v>No disponible</v>
      </c>
      <c r="H392" s="8" t="s">
        <v>64</v>
      </c>
      <c r="I392" s="8" t="s">
        <v>87</v>
      </c>
      <c r="J392" s="8" t="s">
        <v>43</v>
      </c>
      <c r="K392" s="8" t="s">
        <v>1628</v>
      </c>
      <c r="L392" s="8" t="s">
        <v>1688</v>
      </c>
      <c r="M392" s="8" t="s">
        <v>82</v>
      </c>
      <c r="N392" s="8" t="s">
        <v>1622</v>
      </c>
      <c r="O392" s="8" t="s">
        <v>299</v>
      </c>
      <c r="P392" s="8" t="s">
        <v>300</v>
      </c>
      <c r="Q392" s="8" t="s">
        <v>86</v>
      </c>
      <c r="R392" s="8" t="s">
        <v>50</v>
      </c>
    </row>
    <row r="393" customFormat="false" ht="32.8" hidden="false" customHeight="false" outlineLevel="0" collapsed="false">
      <c r="A393" s="8" t="s">
        <v>1689</v>
      </c>
      <c r="B393" s="8" t="s">
        <v>403</v>
      </c>
      <c r="C393" s="8" t="s">
        <v>87</v>
      </c>
      <c r="D393" s="8" t="s">
        <v>127</v>
      </c>
      <c r="E393" s="9" t="s">
        <v>87</v>
      </c>
      <c r="F393" s="9" t="n">
        <v>96900</v>
      </c>
      <c r="G393" s="9" t="str">
        <f aca="false">IF(AND(ISNUMBER(E393),ISNUMBER(F393)),E393-F393,"No disponible")</f>
        <v>No disponible</v>
      </c>
      <c r="H393" s="8" t="s">
        <v>64</v>
      </c>
      <c r="I393" s="8" t="s">
        <v>87</v>
      </c>
      <c r="J393" s="8" t="s">
        <v>43</v>
      </c>
      <c r="K393" s="8" t="s">
        <v>1628</v>
      </c>
      <c r="L393" s="8" t="s">
        <v>1690</v>
      </c>
      <c r="M393" s="8" t="s">
        <v>82</v>
      </c>
      <c r="N393" s="8" t="s">
        <v>1622</v>
      </c>
      <c r="O393" s="8" t="s">
        <v>405</v>
      </c>
      <c r="P393" s="8" t="s">
        <v>406</v>
      </c>
      <c r="Q393" s="8" t="s">
        <v>86</v>
      </c>
      <c r="R393" s="8" t="s">
        <v>50</v>
      </c>
    </row>
    <row r="394" customFormat="false" ht="32.8" hidden="false" customHeight="false" outlineLevel="0" collapsed="false">
      <c r="A394" s="8" t="s">
        <v>1689</v>
      </c>
      <c r="B394" s="8" t="s">
        <v>403</v>
      </c>
      <c r="C394" s="8" t="s">
        <v>87</v>
      </c>
      <c r="D394" s="8" t="s">
        <v>127</v>
      </c>
      <c r="E394" s="9" t="s">
        <v>87</v>
      </c>
      <c r="F394" s="9" t="n">
        <v>98900</v>
      </c>
      <c r="G394" s="9" t="str">
        <f aca="false">IF(AND(ISNUMBER(E394),ISNUMBER(F394)),E394-F394,"No disponible")</f>
        <v>No disponible</v>
      </c>
      <c r="H394" s="8" t="s">
        <v>64</v>
      </c>
      <c r="I394" s="8" t="s">
        <v>87</v>
      </c>
      <c r="J394" s="8" t="s">
        <v>43</v>
      </c>
      <c r="K394" s="8" t="s">
        <v>1628</v>
      </c>
      <c r="L394" s="8" t="s">
        <v>1691</v>
      </c>
      <c r="M394" s="8" t="s">
        <v>82</v>
      </c>
      <c r="N394" s="8" t="s">
        <v>1622</v>
      </c>
      <c r="O394" s="8" t="s">
        <v>408</v>
      </c>
      <c r="P394" s="8" t="s">
        <v>409</v>
      </c>
      <c r="Q394" s="8" t="s">
        <v>86</v>
      </c>
      <c r="R394" s="8" t="s">
        <v>50</v>
      </c>
    </row>
    <row r="395" customFormat="false" ht="32.8" hidden="false" customHeight="false" outlineLevel="0" collapsed="false">
      <c r="A395" s="8" t="s">
        <v>1692</v>
      </c>
      <c r="B395" s="8" t="s">
        <v>1693</v>
      </c>
      <c r="C395" s="8" t="s">
        <v>87</v>
      </c>
      <c r="D395" s="8" t="s">
        <v>127</v>
      </c>
      <c r="E395" s="9" t="s">
        <v>87</v>
      </c>
      <c r="F395" s="9" t="n">
        <v>39600</v>
      </c>
      <c r="G395" s="9" t="str">
        <f aca="false">IF(AND(ISNUMBER(E395),ISNUMBER(F395)),E395-F395,"No disponible")</f>
        <v>No disponible</v>
      </c>
      <c r="H395" s="8" t="s">
        <v>64</v>
      </c>
      <c r="I395" s="8" t="s">
        <v>87</v>
      </c>
      <c r="J395" s="8" t="s">
        <v>43</v>
      </c>
      <c r="K395" s="8" t="s">
        <v>1628</v>
      </c>
      <c r="L395" s="8" t="s">
        <v>1694</v>
      </c>
      <c r="M395" s="8" t="s">
        <v>82</v>
      </c>
      <c r="N395" s="8" t="s">
        <v>1622</v>
      </c>
      <c r="O395" s="8" t="s">
        <v>1695</v>
      </c>
      <c r="P395" s="8" t="s">
        <v>1696</v>
      </c>
      <c r="Q395" s="8" t="s">
        <v>86</v>
      </c>
      <c r="R395" s="8" t="s">
        <v>50</v>
      </c>
    </row>
    <row r="396" customFormat="false" ht="32.8" hidden="false" customHeight="false" outlineLevel="0" collapsed="false">
      <c r="A396" s="8" t="s">
        <v>1692</v>
      </c>
      <c r="B396" s="8" t="s">
        <v>1693</v>
      </c>
      <c r="C396" s="8" t="s">
        <v>87</v>
      </c>
      <c r="D396" s="8" t="s">
        <v>127</v>
      </c>
      <c r="E396" s="9" t="s">
        <v>87</v>
      </c>
      <c r="F396" s="9" t="n">
        <v>13200</v>
      </c>
      <c r="G396" s="9" t="str">
        <f aca="false">IF(AND(ISNUMBER(E396),ISNUMBER(F396)),E396-F396,"No disponible")</f>
        <v>No disponible</v>
      </c>
      <c r="H396" s="8" t="s">
        <v>64</v>
      </c>
      <c r="I396" s="8" t="s">
        <v>87</v>
      </c>
      <c r="J396" s="8" t="s">
        <v>43</v>
      </c>
      <c r="K396" s="8" t="s">
        <v>1628</v>
      </c>
      <c r="L396" s="8" t="s">
        <v>1697</v>
      </c>
      <c r="M396" s="8" t="s">
        <v>82</v>
      </c>
      <c r="N396" s="8" t="s">
        <v>1622</v>
      </c>
      <c r="O396" s="8" t="s">
        <v>1698</v>
      </c>
      <c r="P396" s="8" t="s">
        <v>1699</v>
      </c>
      <c r="Q396" s="8" t="s">
        <v>86</v>
      </c>
      <c r="R396" s="8" t="s">
        <v>50</v>
      </c>
    </row>
    <row r="397" customFormat="false" ht="32.8" hidden="false" customHeight="false" outlineLevel="0" collapsed="false">
      <c r="A397" s="8" t="s">
        <v>1692</v>
      </c>
      <c r="B397" s="8" t="s">
        <v>1693</v>
      </c>
      <c r="C397" s="8" t="s">
        <v>87</v>
      </c>
      <c r="D397" s="8" t="s">
        <v>127</v>
      </c>
      <c r="E397" s="9" t="s">
        <v>87</v>
      </c>
      <c r="F397" s="9" t="n">
        <v>13200</v>
      </c>
      <c r="G397" s="9" t="str">
        <f aca="false">IF(AND(ISNUMBER(E397),ISNUMBER(F397)),E397-F397,"No disponible")</f>
        <v>No disponible</v>
      </c>
      <c r="H397" s="8" t="s">
        <v>64</v>
      </c>
      <c r="I397" s="8" t="s">
        <v>87</v>
      </c>
      <c r="J397" s="8" t="s">
        <v>43</v>
      </c>
      <c r="K397" s="8" t="s">
        <v>1628</v>
      </c>
      <c r="L397" s="8" t="s">
        <v>1700</v>
      </c>
      <c r="M397" s="8" t="s">
        <v>82</v>
      </c>
      <c r="N397" s="8" t="s">
        <v>1622</v>
      </c>
      <c r="O397" s="8" t="s">
        <v>1701</v>
      </c>
      <c r="P397" s="8" t="s">
        <v>1702</v>
      </c>
      <c r="Q397" s="8" t="s">
        <v>86</v>
      </c>
      <c r="R397" s="8" t="s">
        <v>50</v>
      </c>
    </row>
    <row r="398" customFormat="false" ht="32.8" hidden="false" customHeight="false" outlineLevel="0" collapsed="false">
      <c r="A398" s="8" t="s">
        <v>1692</v>
      </c>
      <c r="B398" s="8" t="s">
        <v>1693</v>
      </c>
      <c r="C398" s="8" t="s">
        <v>87</v>
      </c>
      <c r="D398" s="8" t="s">
        <v>127</v>
      </c>
      <c r="E398" s="9" t="s">
        <v>87</v>
      </c>
      <c r="F398" s="9" t="n">
        <v>13200</v>
      </c>
      <c r="G398" s="9" t="str">
        <f aca="false">IF(AND(ISNUMBER(E398),ISNUMBER(F398)),E398-F398,"No disponible")</f>
        <v>No disponible</v>
      </c>
      <c r="H398" s="8" t="s">
        <v>64</v>
      </c>
      <c r="I398" s="8" t="s">
        <v>87</v>
      </c>
      <c r="J398" s="8" t="s">
        <v>43</v>
      </c>
      <c r="K398" s="8" t="s">
        <v>1628</v>
      </c>
      <c r="L398" s="8" t="s">
        <v>1697</v>
      </c>
      <c r="M398" s="8" t="s">
        <v>82</v>
      </c>
      <c r="N398" s="8" t="s">
        <v>1622</v>
      </c>
      <c r="O398" s="8" t="s">
        <v>1703</v>
      </c>
      <c r="P398" s="8" t="s">
        <v>1704</v>
      </c>
      <c r="Q398" s="8" t="s">
        <v>86</v>
      </c>
      <c r="R398" s="8" t="s">
        <v>50</v>
      </c>
    </row>
    <row r="399" customFormat="false" ht="32.8" hidden="false" customHeight="false" outlineLevel="0" collapsed="false">
      <c r="A399" s="8" t="s">
        <v>1692</v>
      </c>
      <c r="B399" s="8" t="s">
        <v>1693</v>
      </c>
      <c r="C399" s="8" t="s">
        <v>87</v>
      </c>
      <c r="D399" s="8" t="s">
        <v>127</v>
      </c>
      <c r="E399" s="9" t="s">
        <v>87</v>
      </c>
      <c r="F399" s="9" t="n">
        <v>13200</v>
      </c>
      <c r="G399" s="9" t="str">
        <f aca="false">IF(AND(ISNUMBER(E399),ISNUMBER(F399)),E399-F399,"No disponible")</f>
        <v>No disponible</v>
      </c>
      <c r="H399" s="8" t="s">
        <v>64</v>
      </c>
      <c r="I399" s="8" t="s">
        <v>87</v>
      </c>
      <c r="J399" s="8" t="s">
        <v>43</v>
      </c>
      <c r="K399" s="8" t="s">
        <v>1628</v>
      </c>
      <c r="L399" s="8" t="s">
        <v>1705</v>
      </c>
      <c r="M399" s="8" t="s">
        <v>82</v>
      </c>
      <c r="N399" s="8" t="s">
        <v>1622</v>
      </c>
      <c r="O399" s="8" t="s">
        <v>1706</v>
      </c>
      <c r="P399" s="8" t="s">
        <v>1707</v>
      </c>
      <c r="Q399" s="8" t="s">
        <v>86</v>
      </c>
      <c r="R399" s="8" t="s">
        <v>50</v>
      </c>
    </row>
    <row r="400" customFormat="false" ht="32.8" hidden="false" customHeight="false" outlineLevel="0" collapsed="false">
      <c r="A400" s="8" t="s">
        <v>1708</v>
      </c>
      <c r="B400" s="8" t="s">
        <v>731</v>
      </c>
      <c r="C400" s="8" t="s">
        <v>87</v>
      </c>
      <c r="D400" s="8" t="s">
        <v>266</v>
      </c>
      <c r="E400" s="9" t="s">
        <v>87</v>
      </c>
      <c r="F400" s="9" t="n">
        <v>245800</v>
      </c>
      <c r="G400" s="9" t="str">
        <f aca="false">IF(AND(ISNUMBER(E400),ISNUMBER(F400)),E400-F400,"No disponible")</f>
        <v>No disponible</v>
      </c>
      <c r="H400" s="8" t="s">
        <v>737</v>
      </c>
      <c r="I400" s="8" t="s">
        <v>87</v>
      </c>
      <c r="J400" s="8" t="s">
        <v>43</v>
      </c>
      <c r="K400" s="8" t="s">
        <v>1628</v>
      </c>
      <c r="L400" s="8" t="s">
        <v>1709</v>
      </c>
      <c r="M400" s="8" t="s">
        <v>82</v>
      </c>
      <c r="N400" s="8" t="s">
        <v>1622</v>
      </c>
      <c r="O400" s="8" t="s">
        <v>738</v>
      </c>
      <c r="P400" s="8" t="s">
        <v>739</v>
      </c>
      <c r="Q400" s="8" t="s">
        <v>86</v>
      </c>
      <c r="R400" s="8" t="s">
        <v>50</v>
      </c>
    </row>
    <row r="401" customFormat="false" ht="32.8" hidden="false" customHeight="false" outlineLevel="0" collapsed="false">
      <c r="A401" s="8" t="s">
        <v>1708</v>
      </c>
      <c r="B401" s="8" t="s">
        <v>731</v>
      </c>
      <c r="C401" s="8" t="s">
        <v>87</v>
      </c>
      <c r="D401" s="8" t="s">
        <v>266</v>
      </c>
      <c r="E401" s="9" t="s">
        <v>87</v>
      </c>
      <c r="F401" s="9" t="n">
        <v>58900</v>
      </c>
      <c r="G401" s="9" t="str">
        <f aca="false">IF(AND(ISNUMBER(E401),ISNUMBER(F401)),E401-F401,"No disponible")</f>
        <v>No disponible</v>
      </c>
      <c r="H401" s="8" t="s">
        <v>1710</v>
      </c>
      <c r="I401" s="8" t="s">
        <v>87</v>
      </c>
      <c r="J401" s="8" t="s">
        <v>43</v>
      </c>
      <c r="K401" s="8" t="s">
        <v>1628</v>
      </c>
      <c r="L401" s="8" t="s">
        <v>1711</v>
      </c>
      <c r="M401" s="8" t="s">
        <v>82</v>
      </c>
      <c r="N401" s="8" t="s">
        <v>1622</v>
      </c>
      <c r="O401" s="8" t="s">
        <v>1712</v>
      </c>
      <c r="P401" s="8" t="s">
        <v>1713</v>
      </c>
      <c r="Q401" s="8" t="s">
        <v>86</v>
      </c>
      <c r="R401" s="8" t="s">
        <v>50</v>
      </c>
    </row>
    <row r="402" customFormat="false" ht="32.8" hidden="false" customHeight="false" outlineLevel="0" collapsed="false">
      <c r="A402" s="8" t="s">
        <v>1714</v>
      </c>
      <c r="B402" s="8" t="s">
        <v>438</v>
      </c>
      <c r="C402" s="8" t="s">
        <v>87</v>
      </c>
      <c r="D402" s="8" t="s">
        <v>127</v>
      </c>
      <c r="E402" s="9" t="s">
        <v>87</v>
      </c>
      <c r="F402" s="9" t="n">
        <v>65830</v>
      </c>
      <c r="G402" s="9" t="str">
        <f aca="false">IF(AND(ISNUMBER(E402),ISNUMBER(F402)),E402-F402,"No disponible")</f>
        <v>No disponible</v>
      </c>
      <c r="H402" s="8" t="s">
        <v>64</v>
      </c>
      <c r="I402" s="8" t="s">
        <v>87</v>
      </c>
      <c r="J402" s="8" t="s">
        <v>43</v>
      </c>
      <c r="K402" s="8" t="s">
        <v>1628</v>
      </c>
      <c r="L402" s="8" t="s">
        <v>1715</v>
      </c>
      <c r="M402" s="8" t="s">
        <v>82</v>
      </c>
      <c r="N402" s="8" t="s">
        <v>1622</v>
      </c>
      <c r="O402" s="8" t="s">
        <v>440</v>
      </c>
      <c r="P402" s="8" t="s">
        <v>441</v>
      </c>
      <c r="Q402" s="8" t="s">
        <v>86</v>
      </c>
      <c r="R402" s="8" t="s">
        <v>50</v>
      </c>
    </row>
    <row r="403" customFormat="false" ht="32.8" hidden="false" customHeight="false" outlineLevel="0" collapsed="false">
      <c r="A403" s="8" t="s">
        <v>492</v>
      </c>
      <c r="B403" s="8" t="s">
        <v>493</v>
      </c>
      <c r="C403" s="8" t="s">
        <v>87</v>
      </c>
      <c r="D403" s="8" t="s">
        <v>127</v>
      </c>
      <c r="E403" s="9" t="s">
        <v>87</v>
      </c>
      <c r="F403" s="9" t="n">
        <v>5380</v>
      </c>
      <c r="G403" s="9" t="str">
        <f aca="false">IF(AND(ISNUMBER(E403),ISNUMBER(F403)),E403-F403,"No disponible")</f>
        <v>No disponible</v>
      </c>
      <c r="H403" s="8" t="s">
        <v>64</v>
      </c>
      <c r="I403" s="8" t="s">
        <v>87</v>
      </c>
      <c r="J403" s="8" t="s">
        <v>43</v>
      </c>
      <c r="K403" s="8" t="s">
        <v>1628</v>
      </c>
      <c r="L403" s="8" t="s">
        <v>1716</v>
      </c>
      <c r="M403" s="8" t="s">
        <v>82</v>
      </c>
      <c r="N403" s="8" t="s">
        <v>1622</v>
      </c>
      <c r="O403" s="8" t="s">
        <v>496</v>
      </c>
      <c r="P403" s="8" t="s">
        <v>497</v>
      </c>
      <c r="Q403" s="8" t="s">
        <v>86</v>
      </c>
      <c r="R403" s="8" t="s">
        <v>50</v>
      </c>
    </row>
    <row r="404" customFormat="false" ht="32.8" hidden="false" customHeight="false" outlineLevel="0" collapsed="false">
      <c r="A404" s="8" t="s">
        <v>492</v>
      </c>
      <c r="B404" s="8" t="s">
        <v>493</v>
      </c>
      <c r="C404" s="8" t="s">
        <v>87</v>
      </c>
      <c r="D404" s="8" t="s">
        <v>266</v>
      </c>
      <c r="E404" s="9" t="s">
        <v>87</v>
      </c>
      <c r="F404" s="9" t="n">
        <v>29050</v>
      </c>
      <c r="G404" s="9" t="str">
        <f aca="false">IF(AND(ISNUMBER(E404),ISNUMBER(F404)),E404-F404,"No disponible")</f>
        <v>No disponible</v>
      </c>
      <c r="H404" s="8" t="s">
        <v>1717</v>
      </c>
      <c r="I404" s="8" t="s">
        <v>87</v>
      </c>
      <c r="J404" s="8" t="s">
        <v>43</v>
      </c>
      <c r="K404" s="8" t="s">
        <v>1628</v>
      </c>
      <c r="L404" s="8" t="s">
        <v>1718</v>
      </c>
      <c r="M404" s="8" t="s">
        <v>82</v>
      </c>
      <c r="N404" s="8" t="s">
        <v>1622</v>
      </c>
      <c r="O404" s="8" t="s">
        <v>1719</v>
      </c>
      <c r="P404" s="8" t="s">
        <v>1720</v>
      </c>
      <c r="Q404" s="8" t="s">
        <v>86</v>
      </c>
      <c r="R404" s="8" t="s">
        <v>50</v>
      </c>
    </row>
    <row r="405" customFormat="false" ht="32.8" hidden="false" customHeight="false" outlineLevel="0" collapsed="false">
      <c r="A405" s="8" t="s">
        <v>1721</v>
      </c>
      <c r="B405" s="8" t="s">
        <v>1722</v>
      </c>
      <c r="C405" s="8" t="s">
        <v>87</v>
      </c>
      <c r="D405" s="8" t="s">
        <v>93</v>
      </c>
      <c r="E405" s="9" t="s">
        <v>87</v>
      </c>
      <c r="F405" s="9" t="n">
        <v>2400</v>
      </c>
      <c r="G405" s="9" t="str">
        <f aca="false">IF(AND(ISNUMBER(E405),ISNUMBER(F405)),E405-F405,"No disponible")</f>
        <v>No disponible</v>
      </c>
      <c r="H405" s="8" t="s">
        <v>1723</v>
      </c>
      <c r="I405" s="8" t="s">
        <v>87</v>
      </c>
      <c r="J405" s="8" t="s">
        <v>43</v>
      </c>
      <c r="K405" s="8" t="s">
        <v>1628</v>
      </c>
      <c r="L405" s="8" t="s">
        <v>1724</v>
      </c>
      <c r="M405" s="8" t="s">
        <v>82</v>
      </c>
      <c r="N405" s="8" t="s">
        <v>1622</v>
      </c>
      <c r="O405" s="8" t="s">
        <v>1725</v>
      </c>
      <c r="P405" s="8" t="s">
        <v>1726</v>
      </c>
      <c r="Q405" s="8" t="s">
        <v>86</v>
      </c>
      <c r="R405" s="8" t="s">
        <v>50</v>
      </c>
    </row>
    <row r="406" customFormat="false" ht="32.8" hidden="false" customHeight="false" outlineLevel="0" collapsed="false">
      <c r="A406" s="8" t="s">
        <v>1727</v>
      </c>
      <c r="B406" s="8" t="s">
        <v>615</v>
      </c>
      <c r="C406" s="8" t="s">
        <v>87</v>
      </c>
      <c r="D406" s="8" t="s">
        <v>127</v>
      </c>
      <c r="E406" s="9" t="s">
        <v>87</v>
      </c>
      <c r="F406" s="9" t="n">
        <v>67100</v>
      </c>
      <c r="G406" s="9" t="str">
        <f aca="false">IF(AND(ISNUMBER(E406),ISNUMBER(F406)),E406-F406,"No disponible")</f>
        <v>No disponible</v>
      </c>
      <c r="H406" s="8" t="s">
        <v>64</v>
      </c>
      <c r="I406" s="8" t="s">
        <v>87</v>
      </c>
      <c r="J406" s="8" t="s">
        <v>43</v>
      </c>
      <c r="K406" s="8" t="s">
        <v>1628</v>
      </c>
      <c r="L406" s="8" t="s">
        <v>1728</v>
      </c>
      <c r="M406" s="8" t="s">
        <v>82</v>
      </c>
      <c r="N406" s="8" t="s">
        <v>1622</v>
      </c>
      <c r="O406" s="8" t="s">
        <v>617</v>
      </c>
      <c r="P406" s="8" t="s">
        <v>618</v>
      </c>
      <c r="Q406" s="8" t="s">
        <v>86</v>
      </c>
      <c r="R406" s="8" t="s">
        <v>50</v>
      </c>
    </row>
    <row r="407" customFormat="false" ht="32.8" hidden="false" customHeight="false" outlineLevel="0" collapsed="false">
      <c r="A407" s="8" t="s">
        <v>1729</v>
      </c>
      <c r="B407" s="8" t="s">
        <v>626</v>
      </c>
      <c r="C407" s="8" t="s">
        <v>87</v>
      </c>
      <c r="D407" s="8" t="s">
        <v>127</v>
      </c>
      <c r="E407" s="9" t="s">
        <v>87</v>
      </c>
      <c r="F407" s="9" t="n">
        <v>334782</v>
      </c>
      <c r="G407" s="9" t="str">
        <f aca="false">IF(AND(ISNUMBER(E407),ISNUMBER(F407)),E407-F407,"No disponible")</f>
        <v>No disponible</v>
      </c>
      <c r="H407" s="8" t="s">
        <v>64</v>
      </c>
      <c r="I407" s="8" t="s">
        <v>87</v>
      </c>
      <c r="J407" s="8" t="s">
        <v>43</v>
      </c>
      <c r="K407" s="8" t="s">
        <v>1628</v>
      </c>
      <c r="L407" s="8" t="s">
        <v>1730</v>
      </c>
      <c r="M407" s="8" t="s">
        <v>82</v>
      </c>
      <c r="N407" s="8" t="s">
        <v>1622</v>
      </c>
      <c r="O407" s="8" t="s">
        <v>1731</v>
      </c>
      <c r="P407" s="8" t="s">
        <v>1732</v>
      </c>
      <c r="Q407" s="8" t="s">
        <v>86</v>
      </c>
      <c r="R407" s="8" t="s">
        <v>50</v>
      </c>
    </row>
    <row r="408" customFormat="false" ht="32.8" hidden="false" customHeight="false" outlineLevel="0" collapsed="false">
      <c r="A408" s="8" t="s">
        <v>1729</v>
      </c>
      <c r="B408" s="8" t="s">
        <v>626</v>
      </c>
      <c r="C408" s="8" t="s">
        <v>87</v>
      </c>
      <c r="D408" s="8" t="s">
        <v>127</v>
      </c>
      <c r="E408" s="9" t="s">
        <v>87</v>
      </c>
      <c r="F408" s="9" t="n">
        <v>1853637</v>
      </c>
      <c r="G408" s="9" t="str">
        <f aca="false">IF(AND(ISNUMBER(E408),ISNUMBER(F408)),E408-F408,"No disponible")</f>
        <v>No disponible</v>
      </c>
      <c r="H408" s="8" t="s">
        <v>64</v>
      </c>
      <c r="I408" s="8" t="s">
        <v>87</v>
      </c>
      <c r="J408" s="8" t="s">
        <v>43</v>
      </c>
      <c r="K408" s="8" t="s">
        <v>1628</v>
      </c>
      <c r="L408" s="8" t="s">
        <v>1733</v>
      </c>
      <c r="M408" s="8" t="s">
        <v>82</v>
      </c>
      <c r="N408" s="8" t="s">
        <v>1622</v>
      </c>
      <c r="O408" s="8" t="s">
        <v>1734</v>
      </c>
      <c r="P408" s="8" t="s">
        <v>1735</v>
      </c>
      <c r="Q408" s="8" t="s">
        <v>86</v>
      </c>
      <c r="R408" s="8" t="s">
        <v>50</v>
      </c>
    </row>
    <row r="409" customFormat="false" ht="32.8" hidden="false" customHeight="false" outlineLevel="0" collapsed="false">
      <c r="A409" s="8" t="s">
        <v>1729</v>
      </c>
      <c r="B409" s="8" t="s">
        <v>626</v>
      </c>
      <c r="C409" s="8" t="s">
        <v>87</v>
      </c>
      <c r="D409" s="8" t="s">
        <v>127</v>
      </c>
      <c r="E409" s="9" t="s">
        <v>87</v>
      </c>
      <c r="F409" s="9" t="n">
        <v>83297</v>
      </c>
      <c r="G409" s="9" t="str">
        <f aca="false">IF(AND(ISNUMBER(E409),ISNUMBER(F409)),E409-F409,"No disponible")</f>
        <v>No disponible</v>
      </c>
      <c r="H409" s="8" t="s">
        <v>64</v>
      </c>
      <c r="I409" s="8" t="s">
        <v>87</v>
      </c>
      <c r="J409" s="8" t="s">
        <v>43</v>
      </c>
      <c r="K409" s="8" t="s">
        <v>1628</v>
      </c>
      <c r="L409" s="8" t="s">
        <v>1736</v>
      </c>
      <c r="M409" s="8" t="s">
        <v>82</v>
      </c>
      <c r="N409" s="8" t="s">
        <v>1622</v>
      </c>
      <c r="O409" s="8" t="s">
        <v>1737</v>
      </c>
      <c r="P409" s="8" t="s">
        <v>1738</v>
      </c>
      <c r="Q409" s="8" t="s">
        <v>86</v>
      </c>
      <c r="R409" s="8" t="s">
        <v>50</v>
      </c>
    </row>
    <row r="410" customFormat="false" ht="32.8" hidden="false" customHeight="false" outlineLevel="0" collapsed="false">
      <c r="A410" s="8" t="s">
        <v>1739</v>
      </c>
      <c r="B410" s="8" t="s">
        <v>1740</v>
      </c>
      <c r="C410" s="8" t="s">
        <v>87</v>
      </c>
      <c r="D410" s="8" t="s">
        <v>127</v>
      </c>
      <c r="E410" s="9" t="s">
        <v>87</v>
      </c>
      <c r="F410" s="9" t="n">
        <v>18000</v>
      </c>
      <c r="G410" s="9" t="str">
        <f aca="false">IF(AND(ISNUMBER(E410),ISNUMBER(F410)),E410-F410,"No disponible")</f>
        <v>No disponible</v>
      </c>
      <c r="H410" s="8" t="s">
        <v>64</v>
      </c>
      <c r="I410" s="8" t="s">
        <v>87</v>
      </c>
      <c r="J410" s="8" t="s">
        <v>43</v>
      </c>
      <c r="K410" s="8" t="s">
        <v>1628</v>
      </c>
      <c r="L410" s="8" t="s">
        <v>1741</v>
      </c>
      <c r="M410" s="8" t="s">
        <v>82</v>
      </c>
      <c r="N410" s="8" t="s">
        <v>1622</v>
      </c>
      <c r="O410" s="8" t="s">
        <v>1742</v>
      </c>
      <c r="P410" s="8" t="s">
        <v>1743</v>
      </c>
      <c r="Q410" s="8" t="s">
        <v>86</v>
      </c>
      <c r="R410" s="8" t="s">
        <v>50</v>
      </c>
    </row>
    <row r="411" customFormat="false" ht="32.8" hidden="false" customHeight="false" outlineLevel="0" collapsed="false">
      <c r="A411" s="8" t="s">
        <v>1739</v>
      </c>
      <c r="B411" s="8" t="s">
        <v>1740</v>
      </c>
      <c r="C411" s="8" t="s">
        <v>87</v>
      </c>
      <c r="D411" s="8" t="s">
        <v>127</v>
      </c>
      <c r="E411" s="9" t="s">
        <v>87</v>
      </c>
      <c r="F411" s="9" t="n">
        <v>18000</v>
      </c>
      <c r="G411" s="9" t="str">
        <f aca="false">IF(AND(ISNUMBER(E411),ISNUMBER(F411)),E411-F411,"No disponible")</f>
        <v>No disponible</v>
      </c>
      <c r="H411" s="8" t="s">
        <v>64</v>
      </c>
      <c r="I411" s="8" t="s">
        <v>87</v>
      </c>
      <c r="J411" s="8" t="s">
        <v>43</v>
      </c>
      <c r="K411" s="8" t="s">
        <v>1628</v>
      </c>
      <c r="L411" s="8" t="s">
        <v>1744</v>
      </c>
      <c r="M411" s="8" t="s">
        <v>82</v>
      </c>
      <c r="N411" s="8" t="s">
        <v>1622</v>
      </c>
      <c r="O411" s="8" t="s">
        <v>1745</v>
      </c>
      <c r="P411" s="8" t="s">
        <v>1746</v>
      </c>
      <c r="Q411" s="8" t="s">
        <v>86</v>
      </c>
      <c r="R411" s="8" t="s">
        <v>50</v>
      </c>
    </row>
    <row r="412" customFormat="false" ht="32.8" hidden="false" customHeight="false" outlineLevel="0" collapsed="false">
      <c r="A412" s="8" t="s">
        <v>1747</v>
      </c>
      <c r="B412" s="8" t="s">
        <v>1748</v>
      </c>
      <c r="C412" s="8" t="s">
        <v>87</v>
      </c>
      <c r="D412" s="8" t="s">
        <v>127</v>
      </c>
      <c r="E412" s="9" t="s">
        <v>87</v>
      </c>
      <c r="F412" s="9" t="n">
        <v>15020400</v>
      </c>
      <c r="G412" s="9" t="str">
        <f aca="false">IF(AND(ISNUMBER(E412),ISNUMBER(F412)),E412-F412,"No disponible")</f>
        <v>No disponible</v>
      </c>
      <c r="H412" s="8" t="s">
        <v>64</v>
      </c>
      <c r="I412" s="8" t="s">
        <v>87</v>
      </c>
      <c r="J412" s="8" t="s">
        <v>43</v>
      </c>
      <c r="K412" s="8" t="s">
        <v>1628</v>
      </c>
      <c r="L412" s="8" t="s">
        <v>1749</v>
      </c>
      <c r="M412" s="8" t="s">
        <v>82</v>
      </c>
      <c r="N412" s="8" t="s">
        <v>1622</v>
      </c>
      <c r="O412" s="8" t="s">
        <v>1750</v>
      </c>
      <c r="P412" s="8" t="s">
        <v>1751</v>
      </c>
      <c r="Q412" s="8" t="s">
        <v>86</v>
      </c>
      <c r="R412" s="8" t="s">
        <v>50</v>
      </c>
    </row>
    <row r="413" customFormat="false" ht="32.8" hidden="false" customHeight="false" outlineLevel="0" collapsed="false">
      <c r="A413" s="8" t="s">
        <v>1752</v>
      </c>
      <c r="B413" s="8" t="s">
        <v>714</v>
      </c>
      <c r="C413" s="8" t="s">
        <v>87</v>
      </c>
      <c r="D413" s="8" t="s">
        <v>127</v>
      </c>
      <c r="E413" s="9" t="s">
        <v>87</v>
      </c>
      <c r="F413" s="9" t="n">
        <v>5500</v>
      </c>
      <c r="G413" s="9" t="str">
        <f aca="false">IF(AND(ISNUMBER(E413),ISNUMBER(F413)),E413-F413,"No disponible")</f>
        <v>No disponible</v>
      </c>
      <c r="H413" s="8" t="s">
        <v>64</v>
      </c>
      <c r="I413" s="8" t="s">
        <v>87</v>
      </c>
      <c r="J413" s="8" t="s">
        <v>43</v>
      </c>
      <c r="K413" s="8" t="s">
        <v>1628</v>
      </c>
      <c r="L413" s="8" t="s">
        <v>1753</v>
      </c>
      <c r="M413" s="8" t="s">
        <v>82</v>
      </c>
      <c r="N413" s="8" t="s">
        <v>1622</v>
      </c>
      <c r="O413" s="8" t="s">
        <v>716</v>
      </c>
      <c r="P413" s="8" t="s">
        <v>717</v>
      </c>
      <c r="Q413" s="8" t="s">
        <v>86</v>
      </c>
      <c r="R413" s="8" t="s">
        <v>50</v>
      </c>
    </row>
    <row r="414" customFormat="false" ht="32.8" hidden="false" customHeight="false" outlineLevel="0" collapsed="false">
      <c r="A414" s="8" t="s">
        <v>1754</v>
      </c>
      <c r="B414" s="8" t="s">
        <v>725</v>
      </c>
      <c r="C414" s="8" t="s">
        <v>87</v>
      </c>
      <c r="D414" s="8" t="s">
        <v>266</v>
      </c>
      <c r="E414" s="9" t="s">
        <v>87</v>
      </c>
      <c r="F414" s="9" t="n">
        <v>62700</v>
      </c>
      <c r="G414" s="9" t="str">
        <f aca="false">IF(AND(ISNUMBER(E414),ISNUMBER(F414)),E414-F414,"No disponible")</f>
        <v>No disponible</v>
      </c>
      <c r="H414" s="8" t="s">
        <v>727</v>
      </c>
      <c r="I414" s="8" t="s">
        <v>87</v>
      </c>
      <c r="J414" s="8" t="s">
        <v>43</v>
      </c>
      <c r="K414" s="8" t="s">
        <v>1628</v>
      </c>
      <c r="L414" s="8" t="s">
        <v>1755</v>
      </c>
      <c r="M414" s="8" t="s">
        <v>82</v>
      </c>
      <c r="N414" s="8" t="s">
        <v>1622</v>
      </c>
      <c r="O414" s="8" t="s">
        <v>728</v>
      </c>
      <c r="P414" s="8" t="s">
        <v>729</v>
      </c>
      <c r="Q414" s="8" t="s">
        <v>86</v>
      </c>
      <c r="R414" s="8" t="s">
        <v>50</v>
      </c>
    </row>
    <row r="415" customFormat="false" ht="32.8" hidden="false" customHeight="false" outlineLevel="0" collapsed="false">
      <c r="A415" s="8" t="s">
        <v>1756</v>
      </c>
      <c r="B415" s="8" t="s">
        <v>1757</v>
      </c>
      <c r="C415" s="8" t="s">
        <v>87</v>
      </c>
      <c r="D415" s="8" t="s">
        <v>1758</v>
      </c>
      <c r="E415" s="9" t="s">
        <v>87</v>
      </c>
      <c r="F415" s="9" t="n">
        <v>670089786</v>
      </c>
      <c r="G415" s="9" t="str">
        <f aca="false">IF(AND(ISNUMBER(E415),ISNUMBER(F415)),E415-F415,"No disponible")</f>
        <v>No disponible</v>
      </c>
      <c r="H415" s="8" t="s">
        <v>1759</v>
      </c>
      <c r="I415" s="8" t="s">
        <v>87</v>
      </c>
      <c r="J415" s="8" t="s">
        <v>43</v>
      </c>
      <c r="K415" s="8" t="s">
        <v>1628</v>
      </c>
      <c r="L415" s="8" t="s">
        <v>1760</v>
      </c>
      <c r="M415" s="8" t="s">
        <v>82</v>
      </c>
      <c r="N415" s="8" t="s">
        <v>1622</v>
      </c>
      <c r="O415" s="8" t="s">
        <v>1761</v>
      </c>
      <c r="P415" s="8" t="s">
        <v>1762</v>
      </c>
      <c r="Q415" s="8" t="s">
        <v>86</v>
      </c>
      <c r="R415" s="8" t="s">
        <v>111</v>
      </c>
    </row>
    <row r="416" customFormat="false" ht="32.8" hidden="false" customHeight="false" outlineLevel="0" collapsed="false">
      <c r="A416" s="8" t="s">
        <v>1756</v>
      </c>
      <c r="B416" s="8" t="s">
        <v>1757</v>
      </c>
      <c r="C416" s="8" t="s">
        <v>87</v>
      </c>
      <c r="D416" s="8" t="s">
        <v>1758</v>
      </c>
      <c r="E416" s="9" t="s">
        <v>87</v>
      </c>
      <c r="F416" s="9" t="n">
        <v>410508736</v>
      </c>
      <c r="G416" s="9" t="str">
        <f aca="false">IF(AND(ISNUMBER(E416),ISNUMBER(F416)),E416-F416,"No disponible")</f>
        <v>No disponible</v>
      </c>
      <c r="H416" s="8" t="s">
        <v>1763</v>
      </c>
      <c r="I416" s="8" t="s">
        <v>87</v>
      </c>
      <c r="J416" s="8" t="s">
        <v>43</v>
      </c>
      <c r="K416" s="8" t="s">
        <v>1628</v>
      </c>
      <c r="L416" s="8" t="s">
        <v>1764</v>
      </c>
      <c r="M416" s="8" t="s">
        <v>82</v>
      </c>
      <c r="N416" s="8" t="s">
        <v>1622</v>
      </c>
      <c r="O416" s="8" t="s">
        <v>1765</v>
      </c>
      <c r="P416" s="8" t="s">
        <v>1766</v>
      </c>
      <c r="Q416" s="8" t="s">
        <v>86</v>
      </c>
      <c r="R416" s="8" t="s">
        <v>111</v>
      </c>
    </row>
    <row r="417" customFormat="false" ht="32.8" hidden="false" customHeight="false" outlineLevel="0" collapsed="false">
      <c r="A417" s="8" t="s">
        <v>1756</v>
      </c>
      <c r="B417" s="8" t="s">
        <v>1757</v>
      </c>
      <c r="C417" s="8" t="s">
        <v>87</v>
      </c>
      <c r="D417" s="8" t="s">
        <v>1758</v>
      </c>
      <c r="E417" s="9" t="s">
        <v>87</v>
      </c>
      <c r="F417" s="9" t="n">
        <v>761082417</v>
      </c>
      <c r="G417" s="9" t="str">
        <f aca="false">IF(AND(ISNUMBER(E417),ISNUMBER(F417)),E417-F417,"No disponible")</f>
        <v>No disponible</v>
      </c>
      <c r="H417" s="8" t="s">
        <v>1767</v>
      </c>
      <c r="I417" s="8" t="s">
        <v>87</v>
      </c>
      <c r="J417" s="8" t="s">
        <v>43</v>
      </c>
      <c r="K417" s="8" t="s">
        <v>1628</v>
      </c>
      <c r="L417" s="8" t="s">
        <v>1768</v>
      </c>
      <c r="M417" s="8" t="s">
        <v>82</v>
      </c>
      <c r="N417" s="8" t="s">
        <v>1622</v>
      </c>
      <c r="O417" s="8" t="s">
        <v>1769</v>
      </c>
      <c r="P417" s="8" t="s">
        <v>1770</v>
      </c>
      <c r="Q417" s="8" t="s">
        <v>86</v>
      </c>
      <c r="R417" s="8" t="s">
        <v>111</v>
      </c>
    </row>
    <row r="418" customFormat="false" ht="32.8" hidden="false" customHeight="false" outlineLevel="0" collapsed="false">
      <c r="A418" s="8" t="s">
        <v>1771</v>
      </c>
      <c r="B418" s="8" t="s">
        <v>1772</v>
      </c>
      <c r="C418" s="8" t="s">
        <v>87</v>
      </c>
      <c r="D418" s="8" t="s">
        <v>127</v>
      </c>
      <c r="E418" s="9" t="s">
        <v>87</v>
      </c>
      <c r="F418" s="9" t="n">
        <v>500000</v>
      </c>
      <c r="G418" s="9" t="str">
        <f aca="false">IF(AND(ISNUMBER(E418),ISNUMBER(F418)),E418-F418,"No disponible")</f>
        <v>No disponible</v>
      </c>
      <c r="H418" s="8" t="s">
        <v>64</v>
      </c>
      <c r="I418" s="8" t="s">
        <v>87</v>
      </c>
      <c r="J418" s="8" t="s">
        <v>43</v>
      </c>
      <c r="K418" s="8" t="s">
        <v>1628</v>
      </c>
      <c r="L418" s="8" t="s">
        <v>1773</v>
      </c>
      <c r="M418" s="8" t="s">
        <v>82</v>
      </c>
      <c r="N418" s="8" t="s">
        <v>1622</v>
      </c>
      <c r="O418" s="8" t="s">
        <v>1774</v>
      </c>
      <c r="P418" s="8" t="s">
        <v>1775</v>
      </c>
      <c r="Q418" s="8" t="s">
        <v>86</v>
      </c>
      <c r="R418" s="8" t="s">
        <v>50</v>
      </c>
    </row>
    <row r="419" customFormat="false" ht="32.8" hidden="false" customHeight="false" outlineLevel="0" collapsed="false">
      <c r="A419" s="8" t="s">
        <v>1771</v>
      </c>
      <c r="B419" s="8" t="s">
        <v>1772</v>
      </c>
      <c r="C419" s="8" t="s">
        <v>87</v>
      </c>
      <c r="D419" s="8" t="s">
        <v>127</v>
      </c>
      <c r="E419" s="9" t="s">
        <v>87</v>
      </c>
      <c r="F419" s="9" t="n">
        <v>500000</v>
      </c>
      <c r="G419" s="9" t="str">
        <f aca="false">IF(AND(ISNUMBER(E419),ISNUMBER(F419)),E419-F419,"No disponible")</f>
        <v>No disponible</v>
      </c>
      <c r="H419" s="8" t="s">
        <v>64</v>
      </c>
      <c r="I419" s="8" t="s">
        <v>87</v>
      </c>
      <c r="J419" s="8" t="s">
        <v>43</v>
      </c>
      <c r="K419" s="8" t="s">
        <v>1628</v>
      </c>
      <c r="L419" s="8" t="s">
        <v>1776</v>
      </c>
      <c r="M419" s="8" t="s">
        <v>82</v>
      </c>
      <c r="N419" s="8" t="s">
        <v>1622</v>
      </c>
      <c r="O419" s="8" t="s">
        <v>1777</v>
      </c>
      <c r="P419" s="8" t="s">
        <v>1778</v>
      </c>
      <c r="Q419" s="8" t="s">
        <v>86</v>
      </c>
      <c r="R419" s="8" t="s">
        <v>50</v>
      </c>
    </row>
    <row r="420" customFormat="false" ht="32.8" hidden="false" customHeight="false" outlineLevel="0" collapsed="false">
      <c r="A420" s="8" t="s">
        <v>1771</v>
      </c>
      <c r="B420" s="8" t="s">
        <v>1772</v>
      </c>
      <c r="C420" s="8" t="s">
        <v>87</v>
      </c>
      <c r="D420" s="8" t="s">
        <v>127</v>
      </c>
      <c r="E420" s="9" t="s">
        <v>87</v>
      </c>
      <c r="F420" s="9" t="n">
        <v>467200</v>
      </c>
      <c r="G420" s="9" t="str">
        <f aca="false">IF(AND(ISNUMBER(E420),ISNUMBER(F420)),E420-F420,"No disponible")</f>
        <v>No disponible</v>
      </c>
      <c r="H420" s="8" t="s">
        <v>64</v>
      </c>
      <c r="I420" s="8" t="s">
        <v>87</v>
      </c>
      <c r="J420" s="8" t="s">
        <v>43</v>
      </c>
      <c r="K420" s="8" t="s">
        <v>1628</v>
      </c>
      <c r="L420" s="8" t="s">
        <v>1779</v>
      </c>
      <c r="M420" s="8" t="s">
        <v>82</v>
      </c>
      <c r="N420" s="8" t="s">
        <v>1622</v>
      </c>
      <c r="O420" s="8" t="s">
        <v>1780</v>
      </c>
      <c r="P420" s="8" t="s">
        <v>1781</v>
      </c>
      <c r="Q420" s="8" t="s">
        <v>86</v>
      </c>
      <c r="R420" s="8" t="s">
        <v>50</v>
      </c>
    </row>
    <row r="421" customFormat="false" ht="32.8" hidden="false" customHeight="false" outlineLevel="0" collapsed="false">
      <c r="A421" s="8" t="s">
        <v>1771</v>
      </c>
      <c r="B421" s="8" t="s">
        <v>1772</v>
      </c>
      <c r="C421" s="8" t="s">
        <v>87</v>
      </c>
      <c r="D421" s="8" t="s">
        <v>1782</v>
      </c>
      <c r="E421" s="9" t="s">
        <v>87</v>
      </c>
      <c r="F421" s="9" t="n">
        <v>65358</v>
      </c>
      <c r="G421" s="9" t="str">
        <f aca="false">IF(AND(ISNUMBER(E421),ISNUMBER(F421)),E421-F421,"No disponible")</f>
        <v>No disponible</v>
      </c>
      <c r="H421" s="8" t="s">
        <v>64</v>
      </c>
      <c r="I421" s="8" t="s">
        <v>87</v>
      </c>
      <c r="J421" s="8" t="s">
        <v>43</v>
      </c>
      <c r="K421" s="8" t="s">
        <v>1628</v>
      </c>
      <c r="L421" s="8" t="s">
        <v>1783</v>
      </c>
      <c r="M421" s="8" t="s">
        <v>82</v>
      </c>
      <c r="N421" s="8" t="s">
        <v>1622</v>
      </c>
      <c r="O421" s="8" t="s">
        <v>1784</v>
      </c>
      <c r="P421" s="8" t="s">
        <v>1785</v>
      </c>
      <c r="Q421" s="8" t="s">
        <v>86</v>
      </c>
      <c r="R421" s="8" t="s">
        <v>50</v>
      </c>
    </row>
    <row r="422" customFormat="false" ht="32.8" hidden="false" customHeight="false" outlineLevel="0" collapsed="false">
      <c r="A422" s="8" t="s">
        <v>1771</v>
      </c>
      <c r="B422" s="8" t="s">
        <v>1772</v>
      </c>
      <c r="C422" s="8" t="s">
        <v>87</v>
      </c>
      <c r="D422" s="8" t="s">
        <v>127</v>
      </c>
      <c r="E422" s="9" t="s">
        <v>87</v>
      </c>
      <c r="F422" s="9" t="n">
        <v>79000</v>
      </c>
      <c r="G422" s="9" t="str">
        <f aca="false">IF(AND(ISNUMBER(E422),ISNUMBER(F422)),E422-F422,"No disponible")</f>
        <v>No disponible</v>
      </c>
      <c r="H422" s="8" t="s">
        <v>64</v>
      </c>
      <c r="I422" s="8" t="s">
        <v>87</v>
      </c>
      <c r="J422" s="8" t="s">
        <v>43</v>
      </c>
      <c r="K422" s="8" t="s">
        <v>1628</v>
      </c>
      <c r="L422" s="8" t="s">
        <v>1786</v>
      </c>
      <c r="M422" s="8" t="s">
        <v>82</v>
      </c>
      <c r="N422" s="8" t="s">
        <v>1622</v>
      </c>
      <c r="O422" s="8" t="s">
        <v>1787</v>
      </c>
      <c r="P422" s="8" t="s">
        <v>1788</v>
      </c>
      <c r="Q422" s="8" t="s">
        <v>86</v>
      </c>
      <c r="R422" s="8" t="s">
        <v>50</v>
      </c>
    </row>
    <row r="423" customFormat="false" ht="32.8" hidden="false" customHeight="false" outlineLevel="0" collapsed="false">
      <c r="A423" s="8" t="s">
        <v>1771</v>
      </c>
      <c r="B423" s="8" t="s">
        <v>1772</v>
      </c>
      <c r="C423" s="8" t="s">
        <v>87</v>
      </c>
      <c r="D423" s="8" t="s">
        <v>127</v>
      </c>
      <c r="E423" s="9" t="s">
        <v>87</v>
      </c>
      <c r="F423" s="9" t="n">
        <v>79000</v>
      </c>
      <c r="G423" s="9" t="str">
        <f aca="false">IF(AND(ISNUMBER(E423),ISNUMBER(F423)),E423-F423,"No disponible")</f>
        <v>No disponible</v>
      </c>
      <c r="H423" s="8" t="s">
        <v>64</v>
      </c>
      <c r="I423" s="8" t="s">
        <v>87</v>
      </c>
      <c r="J423" s="8" t="s">
        <v>43</v>
      </c>
      <c r="K423" s="8" t="s">
        <v>1628</v>
      </c>
      <c r="L423" s="8" t="s">
        <v>1789</v>
      </c>
      <c r="M423" s="8" t="s">
        <v>82</v>
      </c>
      <c r="N423" s="8" t="s">
        <v>1622</v>
      </c>
      <c r="O423" s="8" t="s">
        <v>1790</v>
      </c>
      <c r="P423" s="8" t="s">
        <v>1791</v>
      </c>
      <c r="Q423" s="8" t="s">
        <v>86</v>
      </c>
      <c r="R423" s="8" t="s">
        <v>50</v>
      </c>
    </row>
    <row r="424" customFormat="false" ht="32.8" hidden="false" customHeight="false" outlineLevel="0" collapsed="false">
      <c r="A424" s="8" t="s">
        <v>1792</v>
      </c>
      <c r="B424" s="8" t="s">
        <v>1793</v>
      </c>
      <c r="C424" s="8" t="s">
        <v>87</v>
      </c>
      <c r="D424" s="8" t="s">
        <v>1794</v>
      </c>
      <c r="E424" s="9" t="s">
        <v>87</v>
      </c>
      <c r="F424" s="9" t="n">
        <v>3276502</v>
      </c>
      <c r="G424" s="9" t="str">
        <f aca="false">IF(AND(ISNUMBER(E424),ISNUMBER(F424)),E424-F424,"No disponible")</f>
        <v>No disponible</v>
      </c>
      <c r="H424" s="8" t="s">
        <v>1795</v>
      </c>
      <c r="I424" s="8" t="s">
        <v>87</v>
      </c>
      <c r="J424" s="8" t="s">
        <v>43</v>
      </c>
      <c r="K424" s="8" t="s">
        <v>1628</v>
      </c>
      <c r="L424" s="8" t="s">
        <v>1796</v>
      </c>
      <c r="M424" s="8" t="s">
        <v>82</v>
      </c>
      <c r="N424" s="8" t="s">
        <v>1622</v>
      </c>
      <c r="O424" s="8" t="s">
        <v>1797</v>
      </c>
      <c r="P424" s="8" t="s">
        <v>1798</v>
      </c>
      <c r="Q424" s="8" t="s">
        <v>86</v>
      </c>
      <c r="R424" s="8" t="s">
        <v>50</v>
      </c>
    </row>
    <row r="425" customFormat="false" ht="32.8" hidden="false" customHeight="false" outlineLevel="0" collapsed="false">
      <c r="A425" s="8" t="s">
        <v>1799</v>
      </c>
      <c r="B425" s="8" t="s">
        <v>1800</v>
      </c>
      <c r="C425" s="8" t="s">
        <v>87</v>
      </c>
      <c r="D425" s="8" t="s">
        <v>127</v>
      </c>
      <c r="E425" s="9" t="s">
        <v>87</v>
      </c>
      <c r="F425" s="9" t="n">
        <v>135736</v>
      </c>
      <c r="G425" s="9" t="str">
        <f aca="false">IF(AND(ISNUMBER(E425),ISNUMBER(F425)),E425-F425,"No disponible")</f>
        <v>No disponible</v>
      </c>
      <c r="H425" s="8" t="s">
        <v>64</v>
      </c>
      <c r="I425" s="8" t="s">
        <v>87</v>
      </c>
      <c r="J425" s="8" t="s">
        <v>43</v>
      </c>
      <c r="K425" s="8" t="s">
        <v>1628</v>
      </c>
      <c r="L425" s="8" t="s">
        <v>1801</v>
      </c>
      <c r="M425" s="8" t="s">
        <v>82</v>
      </c>
      <c r="N425" s="8" t="s">
        <v>1622</v>
      </c>
      <c r="O425" s="8" t="s">
        <v>1802</v>
      </c>
      <c r="P425" s="8" t="s">
        <v>1803</v>
      </c>
      <c r="Q425" s="8" t="s">
        <v>86</v>
      </c>
      <c r="R425" s="8" t="s">
        <v>50</v>
      </c>
    </row>
    <row r="426" customFormat="false" ht="32.8" hidden="false" customHeight="false" outlineLevel="0" collapsed="false">
      <c r="A426" s="8" t="s">
        <v>812</v>
      </c>
      <c r="B426" s="8" t="s">
        <v>813</v>
      </c>
      <c r="C426" s="8" t="s">
        <v>87</v>
      </c>
      <c r="D426" s="8" t="s">
        <v>127</v>
      </c>
      <c r="E426" s="9" t="s">
        <v>87</v>
      </c>
      <c r="F426" s="9" t="n">
        <v>150000</v>
      </c>
      <c r="G426" s="9" t="str">
        <f aca="false">IF(AND(ISNUMBER(E426),ISNUMBER(F426)),E426-F426,"No disponible")</f>
        <v>No disponible</v>
      </c>
      <c r="H426" s="8" t="s">
        <v>64</v>
      </c>
      <c r="I426" s="8" t="s">
        <v>87</v>
      </c>
      <c r="J426" s="8" t="s">
        <v>43</v>
      </c>
      <c r="K426" s="8" t="s">
        <v>1628</v>
      </c>
      <c r="L426" s="8" t="s">
        <v>1804</v>
      </c>
      <c r="M426" s="8" t="s">
        <v>82</v>
      </c>
      <c r="N426" s="8" t="s">
        <v>1622</v>
      </c>
      <c r="O426" s="8" t="s">
        <v>1805</v>
      </c>
      <c r="P426" s="8" t="s">
        <v>1806</v>
      </c>
      <c r="Q426" s="8" t="s">
        <v>86</v>
      </c>
      <c r="R426" s="8" t="s">
        <v>50</v>
      </c>
    </row>
    <row r="427" customFormat="false" ht="32.8" hidden="false" customHeight="false" outlineLevel="0" collapsed="false">
      <c r="A427" s="8" t="s">
        <v>1807</v>
      </c>
      <c r="B427" s="8" t="s">
        <v>1808</v>
      </c>
      <c r="C427" s="8" t="s">
        <v>87</v>
      </c>
      <c r="D427" s="8" t="s">
        <v>948</v>
      </c>
      <c r="E427" s="9" t="s">
        <v>87</v>
      </c>
      <c r="F427" s="9" t="n">
        <v>104600</v>
      </c>
      <c r="G427" s="9" t="str">
        <f aca="false">IF(AND(ISNUMBER(E427),ISNUMBER(F427)),E427-F427,"No disponible")</f>
        <v>No disponible</v>
      </c>
      <c r="H427" s="8" t="s">
        <v>1809</v>
      </c>
      <c r="I427" s="8" t="s">
        <v>87</v>
      </c>
      <c r="J427" s="8" t="s">
        <v>43</v>
      </c>
      <c r="K427" s="8" t="s">
        <v>1628</v>
      </c>
      <c r="L427" s="8" t="s">
        <v>1810</v>
      </c>
      <c r="M427" s="8" t="s">
        <v>82</v>
      </c>
      <c r="N427" s="8" t="s">
        <v>1622</v>
      </c>
      <c r="O427" s="8" t="s">
        <v>1811</v>
      </c>
      <c r="P427" s="8" t="s">
        <v>1812</v>
      </c>
      <c r="Q427" s="8" t="s">
        <v>86</v>
      </c>
      <c r="R427" s="8" t="s">
        <v>50</v>
      </c>
    </row>
    <row r="428" customFormat="false" ht="32.8" hidden="false" customHeight="false" outlineLevel="0" collapsed="false">
      <c r="A428" s="8" t="s">
        <v>1813</v>
      </c>
      <c r="B428" s="8" t="s">
        <v>1814</v>
      </c>
      <c r="C428" s="8" t="s">
        <v>87</v>
      </c>
      <c r="D428" s="8" t="s">
        <v>127</v>
      </c>
      <c r="E428" s="9" t="s">
        <v>87</v>
      </c>
      <c r="F428" s="9" t="n">
        <v>99990</v>
      </c>
      <c r="G428" s="9" t="str">
        <f aca="false">IF(AND(ISNUMBER(E428),ISNUMBER(F428)),E428-F428,"No disponible")</f>
        <v>No disponible</v>
      </c>
      <c r="H428" s="8" t="s">
        <v>64</v>
      </c>
      <c r="I428" s="8" t="s">
        <v>87</v>
      </c>
      <c r="J428" s="8" t="s">
        <v>43</v>
      </c>
      <c r="K428" s="8" t="s">
        <v>1628</v>
      </c>
      <c r="L428" s="8" t="s">
        <v>1815</v>
      </c>
      <c r="M428" s="8" t="s">
        <v>82</v>
      </c>
      <c r="N428" s="8" t="s">
        <v>1622</v>
      </c>
      <c r="O428" s="8" t="s">
        <v>1816</v>
      </c>
      <c r="P428" s="8" t="s">
        <v>1817</v>
      </c>
      <c r="Q428" s="8" t="s">
        <v>86</v>
      </c>
      <c r="R428" s="8" t="s">
        <v>50</v>
      </c>
    </row>
    <row r="429" customFormat="false" ht="32.8" hidden="false" customHeight="false" outlineLevel="0" collapsed="false">
      <c r="A429" s="8" t="s">
        <v>1818</v>
      </c>
      <c r="B429" s="8" t="s">
        <v>846</v>
      </c>
      <c r="C429" s="8" t="s">
        <v>87</v>
      </c>
      <c r="D429" s="8" t="s">
        <v>127</v>
      </c>
      <c r="E429" s="9" t="s">
        <v>87</v>
      </c>
      <c r="F429" s="9" t="n">
        <v>31900</v>
      </c>
      <c r="G429" s="9" t="str">
        <f aca="false">IF(AND(ISNUMBER(E429),ISNUMBER(F429)),E429-F429,"No disponible")</f>
        <v>No disponible</v>
      </c>
      <c r="H429" s="8" t="s">
        <v>64</v>
      </c>
      <c r="I429" s="8" t="s">
        <v>87</v>
      </c>
      <c r="J429" s="8" t="s">
        <v>43</v>
      </c>
      <c r="K429" s="8" t="s">
        <v>1628</v>
      </c>
      <c r="L429" s="8" t="s">
        <v>1819</v>
      </c>
      <c r="M429" s="8" t="s">
        <v>82</v>
      </c>
      <c r="N429" s="8" t="s">
        <v>1622</v>
      </c>
      <c r="O429" s="8" t="s">
        <v>852</v>
      </c>
      <c r="P429" s="8" t="s">
        <v>853</v>
      </c>
      <c r="Q429" s="8" t="s">
        <v>86</v>
      </c>
      <c r="R429" s="8" t="s">
        <v>50</v>
      </c>
    </row>
    <row r="430" customFormat="false" ht="32.8" hidden="false" customHeight="false" outlineLevel="0" collapsed="false">
      <c r="A430" s="8" t="s">
        <v>1820</v>
      </c>
      <c r="B430" s="8" t="s">
        <v>946</v>
      </c>
      <c r="C430" s="8" t="s">
        <v>87</v>
      </c>
      <c r="D430" s="8" t="s">
        <v>127</v>
      </c>
      <c r="E430" s="9" t="s">
        <v>87</v>
      </c>
      <c r="F430" s="9" t="n">
        <v>46000</v>
      </c>
      <c r="G430" s="9" t="str">
        <f aca="false">IF(AND(ISNUMBER(E430),ISNUMBER(F430)),E430-F430,"No disponible")</f>
        <v>No disponible</v>
      </c>
      <c r="H430" s="8" t="s">
        <v>64</v>
      </c>
      <c r="I430" s="8" t="s">
        <v>87</v>
      </c>
      <c r="J430" s="8" t="s">
        <v>43</v>
      </c>
      <c r="K430" s="8" t="s">
        <v>1628</v>
      </c>
      <c r="L430" s="8" t="s">
        <v>1821</v>
      </c>
      <c r="M430" s="8" t="s">
        <v>82</v>
      </c>
      <c r="N430" s="8" t="s">
        <v>1622</v>
      </c>
      <c r="O430" s="8" t="s">
        <v>956</v>
      </c>
      <c r="P430" s="8" t="s">
        <v>957</v>
      </c>
      <c r="Q430" s="8" t="s">
        <v>86</v>
      </c>
      <c r="R430" s="8" t="s">
        <v>50</v>
      </c>
    </row>
    <row r="431" customFormat="false" ht="32.8" hidden="false" customHeight="false" outlineLevel="0" collapsed="false">
      <c r="A431" s="8" t="s">
        <v>1820</v>
      </c>
      <c r="B431" s="8" t="s">
        <v>946</v>
      </c>
      <c r="C431" s="8" t="s">
        <v>87</v>
      </c>
      <c r="D431" s="8" t="s">
        <v>127</v>
      </c>
      <c r="E431" s="9" t="s">
        <v>87</v>
      </c>
      <c r="F431" s="9" t="n">
        <v>59600</v>
      </c>
      <c r="G431" s="9" t="str">
        <f aca="false">IF(AND(ISNUMBER(E431),ISNUMBER(F431)),E431-F431,"No disponible")</f>
        <v>No disponible</v>
      </c>
      <c r="H431" s="8" t="s">
        <v>64</v>
      </c>
      <c r="I431" s="8" t="s">
        <v>87</v>
      </c>
      <c r="J431" s="8" t="s">
        <v>43</v>
      </c>
      <c r="K431" s="8" t="s">
        <v>1628</v>
      </c>
      <c r="L431" s="8" t="s">
        <v>1822</v>
      </c>
      <c r="M431" s="8" t="s">
        <v>82</v>
      </c>
      <c r="N431" s="8" t="s">
        <v>1622</v>
      </c>
      <c r="O431" s="8" t="s">
        <v>1823</v>
      </c>
      <c r="P431" s="8" t="s">
        <v>1824</v>
      </c>
      <c r="Q431" s="8" t="s">
        <v>86</v>
      </c>
      <c r="R431" s="8" t="s">
        <v>50</v>
      </c>
    </row>
    <row r="432" customFormat="false" ht="32.8" hidden="false" customHeight="false" outlineLevel="0" collapsed="false">
      <c r="A432" s="8" t="s">
        <v>1820</v>
      </c>
      <c r="B432" s="8" t="s">
        <v>946</v>
      </c>
      <c r="C432" s="8" t="s">
        <v>87</v>
      </c>
      <c r="D432" s="8" t="s">
        <v>127</v>
      </c>
      <c r="E432" s="9" t="s">
        <v>87</v>
      </c>
      <c r="F432" s="9" t="n">
        <v>63700</v>
      </c>
      <c r="G432" s="9" t="str">
        <f aca="false">IF(AND(ISNUMBER(E432),ISNUMBER(F432)),E432-F432,"No disponible")</f>
        <v>No disponible</v>
      </c>
      <c r="H432" s="8" t="s">
        <v>64</v>
      </c>
      <c r="I432" s="8" t="s">
        <v>87</v>
      </c>
      <c r="J432" s="8" t="s">
        <v>43</v>
      </c>
      <c r="K432" s="8" t="s">
        <v>1628</v>
      </c>
      <c r="L432" s="8" t="s">
        <v>1825</v>
      </c>
      <c r="M432" s="8" t="s">
        <v>82</v>
      </c>
      <c r="N432" s="8" t="s">
        <v>1622</v>
      </c>
      <c r="O432" s="8" t="s">
        <v>967</v>
      </c>
      <c r="P432" s="8" t="s">
        <v>968</v>
      </c>
      <c r="Q432" s="8" t="s">
        <v>86</v>
      </c>
      <c r="R432" s="8" t="s">
        <v>50</v>
      </c>
    </row>
    <row r="433" customFormat="false" ht="32.8" hidden="false" customHeight="false" outlineLevel="0" collapsed="false">
      <c r="A433" s="8" t="s">
        <v>1820</v>
      </c>
      <c r="B433" s="8" t="s">
        <v>946</v>
      </c>
      <c r="C433" s="8" t="s">
        <v>87</v>
      </c>
      <c r="D433" s="8" t="s">
        <v>127</v>
      </c>
      <c r="E433" s="9" t="s">
        <v>87</v>
      </c>
      <c r="F433" s="9" t="n">
        <v>53000</v>
      </c>
      <c r="G433" s="9" t="str">
        <f aca="false">IF(AND(ISNUMBER(E433),ISNUMBER(F433)),E433-F433,"No disponible")</f>
        <v>No disponible</v>
      </c>
      <c r="H433" s="8" t="s">
        <v>64</v>
      </c>
      <c r="I433" s="8" t="s">
        <v>87</v>
      </c>
      <c r="J433" s="8" t="s">
        <v>43</v>
      </c>
      <c r="K433" s="8" t="s">
        <v>1628</v>
      </c>
      <c r="L433" s="8" t="s">
        <v>1822</v>
      </c>
      <c r="M433" s="8" t="s">
        <v>82</v>
      </c>
      <c r="N433" s="8" t="s">
        <v>1622</v>
      </c>
      <c r="O433" s="8" t="s">
        <v>970</v>
      </c>
      <c r="P433" s="8" t="s">
        <v>971</v>
      </c>
      <c r="Q433" s="8" t="s">
        <v>86</v>
      </c>
      <c r="R433" s="8" t="s">
        <v>50</v>
      </c>
    </row>
    <row r="434" customFormat="false" ht="32.8" hidden="false" customHeight="false" outlineLevel="0" collapsed="false">
      <c r="A434" s="8" t="s">
        <v>1820</v>
      </c>
      <c r="B434" s="8" t="s">
        <v>946</v>
      </c>
      <c r="C434" s="8" t="s">
        <v>87</v>
      </c>
      <c r="D434" s="8" t="s">
        <v>127</v>
      </c>
      <c r="E434" s="9" t="s">
        <v>87</v>
      </c>
      <c r="F434" s="9" t="n">
        <v>50500</v>
      </c>
      <c r="G434" s="9" t="str">
        <f aca="false">IF(AND(ISNUMBER(E434),ISNUMBER(F434)),E434-F434,"No disponible")</f>
        <v>No disponible</v>
      </c>
      <c r="H434" s="8" t="s">
        <v>64</v>
      </c>
      <c r="I434" s="8" t="s">
        <v>87</v>
      </c>
      <c r="J434" s="8" t="s">
        <v>43</v>
      </c>
      <c r="K434" s="8" t="s">
        <v>1628</v>
      </c>
      <c r="L434" s="8" t="s">
        <v>1822</v>
      </c>
      <c r="M434" s="8" t="s">
        <v>82</v>
      </c>
      <c r="N434" s="8" t="s">
        <v>1622</v>
      </c>
      <c r="O434" s="8" t="s">
        <v>973</v>
      </c>
      <c r="P434" s="8" t="s">
        <v>974</v>
      </c>
      <c r="Q434" s="8" t="s">
        <v>86</v>
      </c>
      <c r="R434" s="8" t="s">
        <v>50</v>
      </c>
    </row>
    <row r="435" customFormat="false" ht="32.8" hidden="false" customHeight="false" outlineLevel="0" collapsed="false">
      <c r="A435" s="8" t="s">
        <v>1826</v>
      </c>
      <c r="B435" s="8" t="s">
        <v>1827</v>
      </c>
      <c r="C435" s="8" t="s">
        <v>87</v>
      </c>
      <c r="D435" s="8" t="s">
        <v>183</v>
      </c>
      <c r="E435" s="9" t="s">
        <v>87</v>
      </c>
      <c r="F435" s="9" t="n">
        <v>81258</v>
      </c>
      <c r="G435" s="9" t="str">
        <f aca="false">IF(AND(ISNUMBER(E435),ISNUMBER(F435)),E435-F435,"No disponible")</f>
        <v>No disponible</v>
      </c>
      <c r="H435" s="8" t="s">
        <v>1828</v>
      </c>
      <c r="I435" s="8" t="s">
        <v>87</v>
      </c>
      <c r="J435" s="8" t="s">
        <v>43</v>
      </c>
      <c r="K435" s="8" t="s">
        <v>1628</v>
      </c>
      <c r="L435" s="8" t="s">
        <v>1829</v>
      </c>
      <c r="M435" s="8" t="s">
        <v>82</v>
      </c>
      <c r="N435" s="8" t="s">
        <v>1622</v>
      </c>
      <c r="O435" s="8" t="s">
        <v>1830</v>
      </c>
      <c r="P435" s="8" t="s">
        <v>1831</v>
      </c>
      <c r="Q435" s="8" t="s">
        <v>86</v>
      </c>
      <c r="R435" s="8" t="s">
        <v>111</v>
      </c>
    </row>
    <row r="436" customFormat="false" ht="32.8" hidden="false" customHeight="false" outlineLevel="0" collapsed="false">
      <c r="A436" s="8" t="s">
        <v>1826</v>
      </c>
      <c r="B436" s="8" t="s">
        <v>1827</v>
      </c>
      <c r="C436" s="8" t="s">
        <v>87</v>
      </c>
      <c r="D436" s="8" t="s">
        <v>183</v>
      </c>
      <c r="E436" s="9" t="s">
        <v>87</v>
      </c>
      <c r="F436" s="9" t="n">
        <v>97510</v>
      </c>
      <c r="G436" s="9" t="str">
        <f aca="false">IF(AND(ISNUMBER(E436),ISNUMBER(F436)),E436-F436,"No disponible")</f>
        <v>No disponible</v>
      </c>
      <c r="H436" s="8" t="s">
        <v>1832</v>
      </c>
      <c r="I436" s="8" t="s">
        <v>87</v>
      </c>
      <c r="J436" s="8" t="s">
        <v>43</v>
      </c>
      <c r="K436" s="8" t="s">
        <v>1628</v>
      </c>
      <c r="L436" s="8" t="s">
        <v>1833</v>
      </c>
      <c r="M436" s="8" t="s">
        <v>82</v>
      </c>
      <c r="N436" s="8" t="s">
        <v>1622</v>
      </c>
      <c r="O436" s="8" t="s">
        <v>1834</v>
      </c>
      <c r="P436" s="8" t="s">
        <v>1835</v>
      </c>
      <c r="Q436" s="8" t="s">
        <v>86</v>
      </c>
      <c r="R436" s="8" t="s">
        <v>111</v>
      </c>
    </row>
    <row r="437" customFormat="false" ht="32.8" hidden="false" customHeight="false" outlineLevel="0" collapsed="false">
      <c r="A437" s="8" t="s">
        <v>1826</v>
      </c>
      <c r="B437" s="8" t="s">
        <v>1827</v>
      </c>
      <c r="C437" s="8" t="s">
        <v>87</v>
      </c>
      <c r="D437" s="8" t="s">
        <v>183</v>
      </c>
      <c r="E437" s="9" t="s">
        <v>87</v>
      </c>
      <c r="F437" s="9" t="n">
        <v>97323</v>
      </c>
      <c r="G437" s="9" t="str">
        <f aca="false">IF(AND(ISNUMBER(E437),ISNUMBER(F437)),E437-F437,"No disponible")</f>
        <v>No disponible</v>
      </c>
      <c r="H437" s="8" t="s">
        <v>1836</v>
      </c>
      <c r="I437" s="8" t="s">
        <v>87</v>
      </c>
      <c r="J437" s="8" t="s">
        <v>43</v>
      </c>
      <c r="K437" s="8" t="s">
        <v>1628</v>
      </c>
      <c r="L437" s="8" t="s">
        <v>1837</v>
      </c>
      <c r="M437" s="8" t="s">
        <v>82</v>
      </c>
      <c r="N437" s="8" t="s">
        <v>1622</v>
      </c>
      <c r="O437" s="8" t="s">
        <v>1838</v>
      </c>
      <c r="P437" s="8" t="s">
        <v>1839</v>
      </c>
      <c r="Q437" s="8" t="s">
        <v>86</v>
      </c>
      <c r="R437" s="8" t="s">
        <v>111</v>
      </c>
    </row>
    <row r="438" customFormat="false" ht="32.8" hidden="false" customHeight="false" outlineLevel="0" collapsed="false">
      <c r="A438" s="8" t="s">
        <v>1840</v>
      </c>
      <c r="B438" s="8" t="s">
        <v>935</v>
      </c>
      <c r="C438" s="8" t="s">
        <v>87</v>
      </c>
      <c r="D438" s="8" t="s">
        <v>127</v>
      </c>
      <c r="E438" s="9" t="s">
        <v>87</v>
      </c>
      <c r="F438" s="9" t="n">
        <v>180000</v>
      </c>
      <c r="G438" s="9" t="str">
        <f aca="false">IF(AND(ISNUMBER(E438),ISNUMBER(F438)),E438-F438,"No disponible")</f>
        <v>No disponible</v>
      </c>
      <c r="H438" s="8" t="s">
        <v>64</v>
      </c>
      <c r="I438" s="8" t="s">
        <v>87</v>
      </c>
      <c r="J438" s="8" t="s">
        <v>43</v>
      </c>
      <c r="K438" s="8" t="s">
        <v>1628</v>
      </c>
      <c r="L438" s="8" t="s">
        <v>1841</v>
      </c>
      <c r="M438" s="8" t="s">
        <v>82</v>
      </c>
      <c r="N438" s="8" t="s">
        <v>1622</v>
      </c>
      <c r="O438" s="8" t="s">
        <v>1842</v>
      </c>
      <c r="P438" s="8" t="s">
        <v>1843</v>
      </c>
      <c r="Q438" s="8" t="s">
        <v>86</v>
      </c>
      <c r="R438" s="8" t="s">
        <v>50</v>
      </c>
    </row>
    <row r="439" customFormat="false" ht="32.8" hidden="false" customHeight="false" outlineLevel="0" collapsed="false">
      <c r="A439" s="8" t="s">
        <v>1844</v>
      </c>
      <c r="B439" s="8" t="s">
        <v>1845</v>
      </c>
      <c r="C439" s="8" t="s">
        <v>87</v>
      </c>
      <c r="D439" s="8" t="s">
        <v>127</v>
      </c>
      <c r="E439" s="9" t="s">
        <v>87</v>
      </c>
      <c r="F439" s="9" t="n">
        <v>1752280</v>
      </c>
      <c r="G439" s="9" t="str">
        <f aca="false">IF(AND(ISNUMBER(E439),ISNUMBER(F439)),E439-F439,"No disponible")</f>
        <v>No disponible</v>
      </c>
      <c r="H439" s="8" t="s">
        <v>64</v>
      </c>
      <c r="I439" s="8" t="s">
        <v>87</v>
      </c>
      <c r="J439" s="8" t="s">
        <v>43</v>
      </c>
      <c r="K439" s="8" t="s">
        <v>1628</v>
      </c>
      <c r="L439" s="8" t="s">
        <v>1846</v>
      </c>
      <c r="M439" s="8" t="s">
        <v>82</v>
      </c>
      <c r="N439" s="8" t="s">
        <v>1622</v>
      </c>
      <c r="O439" s="8" t="s">
        <v>1847</v>
      </c>
      <c r="P439" s="8" t="s">
        <v>1848</v>
      </c>
      <c r="Q439" s="8" t="s">
        <v>86</v>
      </c>
      <c r="R439" s="8" t="s">
        <v>50</v>
      </c>
    </row>
    <row r="440" customFormat="false" ht="32.8" hidden="false" customHeight="false" outlineLevel="0" collapsed="false">
      <c r="A440" s="8" t="s">
        <v>1844</v>
      </c>
      <c r="B440" s="8" t="s">
        <v>1845</v>
      </c>
      <c r="C440" s="8" t="s">
        <v>87</v>
      </c>
      <c r="D440" s="8" t="s">
        <v>127</v>
      </c>
      <c r="E440" s="9" t="s">
        <v>87</v>
      </c>
      <c r="F440" s="9" t="n">
        <v>2897757</v>
      </c>
      <c r="G440" s="9" t="str">
        <f aca="false">IF(AND(ISNUMBER(E440),ISNUMBER(F440)),E440-F440,"No disponible")</f>
        <v>No disponible</v>
      </c>
      <c r="H440" s="8" t="s">
        <v>64</v>
      </c>
      <c r="I440" s="8" t="s">
        <v>87</v>
      </c>
      <c r="J440" s="8" t="s">
        <v>43</v>
      </c>
      <c r="K440" s="8" t="s">
        <v>1628</v>
      </c>
      <c r="L440" s="8" t="s">
        <v>1849</v>
      </c>
      <c r="M440" s="8" t="s">
        <v>82</v>
      </c>
      <c r="N440" s="8" t="s">
        <v>1622</v>
      </c>
      <c r="O440" s="8" t="s">
        <v>1850</v>
      </c>
      <c r="P440" s="8" t="s">
        <v>1851</v>
      </c>
      <c r="Q440" s="8" t="s">
        <v>86</v>
      </c>
      <c r="R440" s="8" t="s">
        <v>50</v>
      </c>
    </row>
    <row r="441" customFormat="false" ht="32.8" hidden="false" customHeight="false" outlineLevel="0" collapsed="false">
      <c r="A441" s="8" t="s">
        <v>1852</v>
      </c>
      <c r="B441" s="8" t="s">
        <v>1076</v>
      </c>
      <c r="C441" s="8" t="s">
        <v>87</v>
      </c>
      <c r="D441" s="8" t="s">
        <v>127</v>
      </c>
      <c r="E441" s="9" t="s">
        <v>87</v>
      </c>
      <c r="F441" s="9" t="n">
        <v>83903</v>
      </c>
      <c r="G441" s="9" t="str">
        <f aca="false">IF(AND(ISNUMBER(E441),ISNUMBER(F441)),E441-F441,"No disponible")</f>
        <v>No disponible</v>
      </c>
      <c r="H441" s="8" t="s">
        <v>64</v>
      </c>
      <c r="I441" s="8" t="s">
        <v>87</v>
      </c>
      <c r="J441" s="8" t="s">
        <v>43</v>
      </c>
      <c r="K441" s="8" t="s">
        <v>1628</v>
      </c>
      <c r="L441" s="8" t="s">
        <v>1853</v>
      </c>
      <c r="M441" s="8" t="s">
        <v>82</v>
      </c>
      <c r="N441" s="8" t="s">
        <v>1622</v>
      </c>
      <c r="O441" s="8" t="s">
        <v>1081</v>
      </c>
      <c r="P441" s="8" t="s">
        <v>1082</v>
      </c>
      <c r="Q441" s="8" t="s">
        <v>86</v>
      </c>
      <c r="R441" s="8" t="s">
        <v>50</v>
      </c>
    </row>
    <row r="442" customFormat="false" ht="53.7" hidden="false" customHeight="false" outlineLevel="0" collapsed="false">
      <c r="A442" s="8" t="s">
        <v>1854</v>
      </c>
      <c r="B442" s="8" t="s">
        <v>1855</v>
      </c>
      <c r="C442" s="8" t="s">
        <v>87</v>
      </c>
      <c r="D442" s="8" t="s">
        <v>1856</v>
      </c>
      <c r="E442" s="9" t="s">
        <v>87</v>
      </c>
      <c r="F442" s="9" t="n">
        <v>8670171.86</v>
      </c>
      <c r="G442" s="9" t="str">
        <f aca="false">IF(AND(ISNUMBER(E442),ISNUMBER(F442)),E442-F442,"No disponible")</f>
        <v>No disponible</v>
      </c>
      <c r="H442" s="8" t="s">
        <v>64</v>
      </c>
      <c r="I442" s="8" t="s">
        <v>87</v>
      </c>
      <c r="J442" s="8" t="s">
        <v>43</v>
      </c>
      <c r="K442" s="8" t="s">
        <v>1620</v>
      </c>
      <c r="L442" s="8" t="s">
        <v>1621</v>
      </c>
      <c r="M442" s="8" t="s">
        <v>82</v>
      </c>
      <c r="N442" s="8" t="s">
        <v>1622</v>
      </c>
      <c r="O442" s="8" t="s">
        <v>1623</v>
      </c>
      <c r="P442" s="8" t="s">
        <v>1857</v>
      </c>
      <c r="Q442" s="8" t="s">
        <v>86</v>
      </c>
      <c r="R442" s="8" t="s">
        <v>50</v>
      </c>
    </row>
    <row r="443" customFormat="false" ht="32.8" hidden="false" customHeight="false" outlineLevel="0" collapsed="false">
      <c r="A443" s="8" t="s">
        <v>1854</v>
      </c>
      <c r="B443" s="8" t="s">
        <v>1855</v>
      </c>
      <c r="C443" s="8" t="s">
        <v>87</v>
      </c>
      <c r="D443" s="8" t="s">
        <v>1619</v>
      </c>
      <c r="E443" s="9" t="s">
        <v>87</v>
      </c>
      <c r="F443" s="9" t="n">
        <v>15037099</v>
      </c>
      <c r="G443" s="9" t="str">
        <f aca="false">IF(AND(ISNUMBER(E443),ISNUMBER(F443)),E443-F443,"No disponible")</f>
        <v>No disponible</v>
      </c>
      <c r="H443" s="8" t="s">
        <v>64</v>
      </c>
      <c r="I443" s="8" t="s">
        <v>87</v>
      </c>
      <c r="J443" s="8" t="s">
        <v>43</v>
      </c>
      <c r="K443" s="8" t="s">
        <v>1628</v>
      </c>
      <c r="L443" s="8" t="s">
        <v>1858</v>
      </c>
      <c r="M443" s="8" t="s">
        <v>82</v>
      </c>
      <c r="N443" s="8" t="s">
        <v>1622</v>
      </c>
      <c r="O443" s="8" t="s">
        <v>1859</v>
      </c>
      <c r="P443" s="8" t="s">
        <v>1860</v>
      </c>
      <c r="Q443" s="8" t="s">
        <v>86</v>
      </c>
      <c r="R443" s="8" t="s">
        <v>50</v>
      </c>
    </row>
    <row r="444" customFormat="false" ht="32.8" hidden="false" customHeight="false" outlineLevel="0" collapsed="false">
      <c r="A444" s="8" t="s">
        <v>1097</v>
      </c>
      <c r="B444" s="8" t="s">
        <v>1098</v>
      </c>
      <c r="C444" s="8" t="s">
        <v>87</v>
      </c>
      <c r="D444" s="8" t="s">
        <v>127</v>
      </c>
      <c r="E444" s="9" t="s">
        <v>87</v>
      </c>
      <c r="F444" s="9" t="n">
        <v>23000</v>
      </c>
      <c r="G444" s="9" t="str">
        <f aca="false">IF(AND(ISNUMBER(E444),ISNUMBER(F444)),E444-F444,"No disponible")</f>
        <v>No disponible</v>
      </c>
      <c r="H444" s="8" t="s">
        <v>64</v>
      </c>
      <c r="I444" s="8" t="s">
        <v>87</v>
      </c>
      <c r="J444" s="8" t="s">
        <v>43</v>
      </c>
      <c r="K444" s="8" t="s">
        <v>1628</v>
      </c>
      <c r="L444" s="8" t="s">
        <v>1861</v>
      </c>
      <c r="M444" s="8" t="s">
        <v>82</v>
      </c>
      <c r="N444" s="8" t="s">
        <v>1622</v>
      </c>
      <c r="O444" s="8" t="s">
        <v>1862</v>
      </c>
      <c r="P444" s="8" t="s">
        <v>1863</v>
      </c>
      <c r="Q444" s="8" t="s">
        <v>86</v>
      </c>
      <c r="R444" s="8" t="s">
        <v>50</v>
      </c>
    </row>
    <row r="445" customFormat="false" ht="32.8" hidden="false" customHeight="false" outlineLevel="0" collapsed="false">
      <c r="A445" s="8" t="s">
        <v>1097</v>
      </c>
      <c r="B445" s="8" t="s">
        <v>1098</v>
      </c>
      <c r="C445" s="8" t="s">
        <v>87</v>
      </c>
      <c r="D445" s="8" t="s">
        <v>127</v>
      </c>
      <c r="E445" s="9" t="s">
        <v>87</v>
      </c>
      <c r="F445" s="9" t="n">
        <v>46000</v>
      </c>
      <c r="G445" s="9" t="str">
        <f aca="false">IF(AND(ISNUMBER(E445),ISNUMBER(F445)),E445-F445,"No disponible")</f>
        <v>No disponible</v>
      </c>
      <c r="H445" s="8" t="s">
        <v>64</v>
      </c>
      <c r="I445" s="8" t="s">
        <v>87</v>
      </c>
      <c r="J445" s="8" t="s">
        <v>43</v>
      </c>
      <c r="K445" s="8" t="s">
        <v>1628</v>
      </c>
      <c r="L445" s="8" t="s">
        <v>1864</v>
      </c>
      <c r="M445" s="8" t="s">
        <v>82</v>
      </c>
      <c r="N445" s="8" t="s">
        <v>1622</v>
      </c>
      <c r="O445" s="8" t="s">
        <v>1111</v>
      </c>
      <c r="P445" s="8" t="s">
        <v>1112</v>
      </c>
      <c r="Q445" s="8" t="s">
        <v>86</v>
      </c>
      <c r="R445" s="8" t="s">
        <v>50</v>
      </c>
    </row>
    <row r="446" customFormat="false" ht="32.8" hidden="false" customHeight="false" outlineLevel="0" collapsed="false">
      <c r="A446" s="8" t="s">
        <v>1097</v>
      </c>
      <c r="B446" s="8" t="s">
        <v>1098</v>
      </c>
      <c r="C446" s="8" t="s">
        <v>87</v>
      </c>
      <c r="D446" s="8" t="s">
        <v>127</v>
      </c>
      <c r="E446" s="9" t="s">
        <v>87</v>
      </c>
      <c r="F446" s="9" t="n">
        <v>23000</v>
      </c>
      <c r="G446" s="9" t="str">
        <f aca="false">IF(AND(ISNUMBER(E446),ISNUMBER(F446)),E446-F446,"No disponible")</f>
        <v>No disponible</v>
      </c>
      <c r="H446" s="8" t="s">
        <v>64</v>
      </c>
      <c r="I446" s="8" t="s">
        <v>87</v>
      </c>
      <c r="J446" s="8" t="s">
        <v>43</v>
      </c>
      <c r="K446" s="8" t="s">
        <v>1628</v>
      </c>
      <c r="L446" s="8" t="s">
        <v>1865</v>
      </c>
      <c r="M446" s="8" t="s">
        <v>82</v>
      </c>
      <c r="N446" s="8" t="s">
        <v>1622</v>
      </c>
      <c r="O446" s="8" t="s">
        <v>1866</v>
      </c>
      <c r="P446" s="8" t="s">
        <v>1867</v>
      </c>
      <c r="Q446" s="8" t="s">
        <v>86</v>
      </c>
      <c r="R446" s="8" t="s">
        <v>50</v>
      </c>
    </row>
    <row r="447" customFormat="false" ht="43.25" hidden="false" customHeight="false" outlineLevel="0" collapsed="false">
      <c r="A447" s="8" t="s">
        <v>1868</v>
      </c>
      <c r="B447" s="8" t="s">
        <v>1869</v>
      </c>
      <c r="C447" s="8" t="s">
        <v>87</v>
      </c>
      <c r="D447" s="8" t="s">
        <v>1619</v>
      </c>
      <c r="E447" s="9" t="s">
        <v>87</v>
      </c>
      <c r="F447" s="9" t="n">
        <v>19800000</v>
      </c>
      <c r="G447" s="9" t="str">
        <f aca="false">IF(AND(ISNUMBER(E447),ISNUMBER(F447)),E447-F447,"No disponible")</f>
        <v>No disponible</v>
      </c>
      <c r="H447" s="8" t="s">
        <v>64</v>
      </c>
      <c r="I447" s="8" t="s">
        <v>87</v>
      </c>
      <c r="J447" s="8" t="s">
        <v>43</v>
      </c>
      <c r="K447" s="8" t="s">
        <v>1620</v>
      </c>
      <c r="L447" s="8" t="s">
        <v>1621</v>
      </c>
      <c r="M447" s="8" t="s">
        <v>82</v>
      </c>
      <c r="N447" s="8" t="s">
        <v>1622</v>
      </c>
      <c r="O447" s="8" t="s">
        <v>1623</v>
      </c>
      <c r="P447" s="8" t="s">
        <v>1870</v>
      </c>
      <c r="Q447" s="8" t="s">
        <v>86</v>
      </c>
      <c r="R447" s="8" t="s">
        <v>50</v>
      </c>
    </row>
    <row r="448" customFormat="false" ht="32.8" hidden="false" customHeight="false" outlineLevel="0" collapsed="false">
      <c r="A448" s="8" t="s">
        <v>1871</v>
      </c>
      <c r="B448" s="8" t="s">
        <v>1872</v>
      </c>
      <c r="C448" s="8" t="s">
        <v>87</v>
      </c>
      <c r="D448" s="8" t="s">
        <v>1619</v>
      </c>
      <c r="E448" s="9" t="s">
        <v>87</v>
      </c>
      <c r="F448" s="9" t="n">
        <v>45722</v>
      </c>
      <c r="G448" s="9" t="str">
        <f aca="false">IF(AND(ISNUMBER(E448),ISNUMBER(F448)),E448-F448,"No disponible")</f>
        <v>No disponible</v>
      </c>
      <c r="H448" s="8" t="s">
        <v>64</v>
      </c>
      <c r="I448" s="8" t="s">
        <v>87</v>
      </c>
      <c r="J448" s="8" t="s">
        <v>43</v>
      </c>
      <c r="K448" s="8" t="s">
        <v>1628</v>
      </c>
      <c r="L448" s="8" t="s">
        <v>1873</v>
      </c>
      <c r="M448" s="8" t="s">
        <v>82</v>
      </c>
      <c r="N448" s="8" t="s">
        <v>1622</v>
      </c>
      <c r="O448" s="8" t="s">
        <v>1874</v>
      </c>
      <c r="P448" s="8" t="s">
        <v>1875</v>
      </c>
      <c r="Q448" s="8" t="s">
        <v>86</v>
      </c>
      <c r="R448" s="8" t="s">
        <v>50</v>
      </c>
    </row>
    <row r="449" customFormat="false" ht="32.8" hidden="false" customHeight="false" outlineLevel="0" collapsed="false">
      <c r="A449" s="8" t="s">
        <v>1876</v>
      </c>
      <c r="B449" s="8" t="s">
        <v>1136</v>
      </c>
      <c r="C449" s="8" t="s">
        <v>87</v>
      </c>
      <c r="D449" s="8" t="s">
        <v>1139</v>
      </c>
      <c r="E449" s="9" t="s">
        <v>87</v>
      </c>
      <c r="F449" s="9" t="n">
        <v>51135</v>
      </c>
      <c r="G449" s="9" t="str">
        <f aca="false">IF(AND(ISNUMBER(E449),ISNUMBER(F449)),E449-F449,"No disponible")</f>
        <v>No disponible</v>
      </c>
      <c r="H449" s="8" t="s">
        <v>1877</v>
      </c>
      <c r="I449" s="8" t="s">
        <v>87</v>
      </c>
      <c r="J449" s="8" t="s">
        <v>43</v>
      </c>
      <c r="K449" s="8" t="s">
        <v>1628</v>
      </c>
      <c r="L449" s="8" t="s">
        <v>1878</v>
      </c>
      <c r="M449" s="8" t="s">
        <v>82</v>
      </c>
      <c r="N449" s="8" t="s">
        <v>1622</v>
      </c>
      <c r="O449" s="8" t="s">
        <v>1879</v>
      </c>
      <c r="P449" s="8" t="s">
        <v>1880</v>
      </c>
      <c r="Q449" s="8" t="s">
        <v>86</v>
      </c>
      <c r="R449" s="8" t="s">
        <v>50</v>
      </c>
    </row>
    <row r="450" customFormat="false" ht="32.8" hidden="false" customHeight="false" outlineLevel="0" collapsed="false">
      <c r="A450" s="8" t="s">
        <v>1198</v>
      </c>
      <c r="B450" s="8" t="s">
        <v>1199</v>
      </c>
      <c r="C450" s="8" t="s">
        <v>87</v>
      </c>
      <c r="D450" s="8" t="s">
        <v>93</v>
      </c>
      <c r="E450" s="9" t="s">
        <v>87</v>
      </c>
      <c r="F450" s="9" t="n">
        <v>206000</v>
      </c>
      <c r="G450" s="9" t="str">
        <f aca="false">IF(AND(ISNUMBER(E450),ISNUMBER(F450)),E450-F450,"No disponible")</f>
        <v>No disponible</v>
      </c>
      <c r="H450" s="8" t="s">
        <v>1881</v>
      </c>
      <c r="I450" s="8" t="s">
        <v>87</v>
      </c>
      <c r="J450" s="8" t="s">
        <v>43</v>
      </c>
      <c r="K450" s="8" t="s">
        <v>1628</v>
      </c>
      <c r="L450" s="8" t="s">
        <v>1882</v>
      </c>
      <c r="M450" s="8" t="s">
        <v>82</v>
      </c>
      <c r="N450" s="8" t="s">
        <v>1622</v>
      </c>
      <c r="O450" s="8" t="s">
        <v>1883</v>
      </c>
      <c r="P450" s="8" t="s">
        <v>1884</v>
      </c>
      <c r="Q450" s="8" t="s">
        <v>86</v>
      </c>
      <c r="R450" s="8" t="s">
        <v>50</v>
      </c>
    </row>
    <row r="451" customFormat="false" ht="32.8" hidden="false" customHeight="false" outlineLevel="0" collapsed="false">
      <c r="A451" s="8" t="s">
        <v>1225</v>
      </c>
      <c r="B451" s="8" t="s">
        <v>1226</v>
      </c>
      <c r="C451" s="8" t="s">
        <v>87</v>
      </c>
      <c r="D451" s="8" t="s">
        <v>266</v>
      </c>
      <c r="E451" s="9" t="s">
        <v>87</v>
      </c>
      <c r="F451" s="9" t="n">
        <v>308000</v>
      </c>
      <c r="G451" s="9" t="str">
        <f aca="false">IF(AND(ISNUMBER(E451),ISNUMBER(F451)),E451-F451,"No disponible")</f>
        <v>No disponible</v>
      </c>
      <c r="H451" s="8" t="s">
        <v>1228</v>
      </c>
      <c r="I451" s="8" t="s">
        <v>87</v>
      </c>
      <c r="J451" s="8" t="s">
        <v>43</v>
      </c>
      <c r="K451" s="8" t="s">
        <v>1628</v>
      </c>
      <c r="L451" s="8" t="s">
        <v>1885</v>
      </c>
      <c r="M451" s="8" t="s">
        <v>82</v>
      </c>
      <c r="N451" s="8" t="s">
        <v>1622</v>
      </c>
      <c r="O451" s="8" t="s">
        <v>1229</v>
      </c>
      <c r="P451" s="8" t="s">
        <v>1230</v>
      </c>
      <c r="Q451" s="8" t="s">
        <v>86</v>
      </c>
      <c r="R451" s="8" t="s">
        <v>50</v>
      </c>
    </row>
    <row r="452" customFormat="false" ht="32.8" hidden="false" customHeight="false" outlineLevel="0" collapsed="false">
      <c r="A452" s="8" t="s">
        <v>1225</v>
      </c>
      <c r="B452" s="8" t="s">
        <v>1226</v>
      </c>
      <c r="C452" s="8" t="s">
        <v>87</v>
      </c>
      <c r="D452" s="8" t="s">
        <v>266</v>
      </c>
      <c r="E452" s="9" t="s">
        <v>87</v>
      </c>
      <c r="F452" s="9" t="n">
        <v>27670</v>
      </c>
      <c r="G452" s="9" t="str">
        <f aca="false">IF(AND(ISNUMBER(E452),ISNUMBER(F452)),E452-F452,"No disponible")</f>
        <v>No disponible</v>
      </c>
      <c r="H452" s="8" t="s">
        <v>1239</v>
      </c>
      <c r="I452" s="8" t="s">
        <v>87</v>
      </c>
      <c r="J452" s="8" t="s">
        <v>43</v>
      </c>
      <c r="K452" s="8" t="s">
        <v>1628</v>
      </c>
      <c r="L452" s="8" t="s">
        <v>1886</v>
      </c>
      <c r="M452" s="8" t="s">
        <v>82</v>
      </c>
      <c r="N452" s="8" t="s">
        <v>1622</v>
      </c>
      <c r="O452" s="8" t="s">
        <v>1240</v>
      </c>
      <c r="P452" s="8" t="s">
        <v>1241</v>
      </c>
      <c r="Q452" s="8" t="s">
        <v>86</v>
      </c>
      <c r="R452" s="8" t="s">
        <v>50</v>
      </c>
    </row>
    <row r="453" customFormat="false" ht="32.8" hidden="false" customHeight="false" outlineLevel="0" collapsed="false">
      <c r="A453" s="8" t="s">
        <v>1887</v>
      </c>
      <c r="B453" s="8" t="s">
        <v>1888</v>
      </c>
      <c r="C453" s="8" t="s">
        <v>87</v>
      </c>
      <c r="D453" s="8" t="s">
        <v>93</v>
      </c>
      <c r="E453" s="9" t="s">
        <v>87</v>
      </c>
      <c r="F453" s="9" t="n">
        <v>3000</v>
      </c>
      <c r="G453" s="9" t="str">
        <f aca="false">IF(AND(ISNUMBER(E453),ISNUMBER(F453)),E453-F453,"No disponible")</f>
        <v>No disponible</v>
      </c>
      <c r="H453" s="8" t="s">
        <v>1889</v>
      </c>
      <c r="I453" s="8" t="s">
        <v>87</v>
      </c>
      <c r="J453" s="8" t="s">
        <v>43</v>
      </c>
      <c r="K453" s="8" t="s">
        <v>1628</v>
      </c>
      <c r="L453" s="8" t="s">
        <v>1890</v>
      </c>
      <c r="M453" s="8" t="s">
        <v>82</v>
      </c>
      <c r="N453" s="8" t="s">
        <v>1622</v>
      </c>
      <c r="O453" s="8" t="s">
        <v>1891</v>
      </c>
      <c r="P453" s="8" t="s">
        <v>1892</v>
      </c>
      <c r="Q453" s="8" t="s">
        <v>86</v>
      </c>
      <c r="R453" s="8" t="s">
        <v>50</v>
      </c>
    </row>
    <row r="454" customFormat="false" ht="32.8" hidden="false" customHeight="false" outlineLevel="0" collapsed="false">
      <c r="A454" s="8" t="s">
        <v>1893</v>
      </c>
      <c r="B454" s="8" t="s">
        <v>1894</v>
      </c>
      <c r="C454" s="8" t="s">
        <v>87</v>
      </c>
      <c r="D454" s="8" t="s">
        <v>1619</v>
      </c>
      <c r="E454" s="9" t="s">
        <v>87</v>
      </c>
      <c r="F454" s="9" t="n">
        <v>762030</v>
      </c>
      <c r="G454" s="9" t="str">
        <f aca="false">IF(AND(ISNUMBER(E454),ISNUMBER(F454)),E454-F454,"No disponible")</f>
        <v>No disponible</v>
      </c>
      <c r="H454" s="8" t="s">
        <v>64</v>
      </c>
      <c r="I454" s="8" t="s">
        <v>87</v>
      </c>
      <c r="J454" s="8" t="s">
        <v>43</v>
      </c>
      <c r="K454" s="8" t="s">
        <v>1628</v>
      </c>
      <c r="L454" s="8" t="s">
        <v>1895</v>
      </c>
      <c r="M454" s="8" t="s">
        <v>82</v>
      </c>
      <c r="N454" s="8" t="s">
        <v>1622</v>
      </c>
      <c r="O454" s="8" t="s">
        <v>1896</v>
      </c>
      <c r="P454" s="8" t="s">
        <v>1897</v>
      </c>
      <c r="Q454" s="8" t="s">
        <v>86</v>
      </c>
      <c r="R454" s="8" t="s">
        <v>50</v>
      </c>
    </row>
    <row r="455" customFormat="false" ht="32.8" hidden="false" customHeight="false" outlineLevel="0" collapsed="false">
      <c r="A455" s="8" t="s">
        <v>1898</v>
      </c>
      <c r="B455" s="8" t="s">
        <v>1899</v>
      </c>
      <c r="C455" s="8" t="s">
        <v>87</v>
      </c>
      <c r="D455" s="8" t="s">
        <v>1619</v>
      </c>
      <c r="E455" s="9" t="s">
        <v>87</v>
      </c>
      <c r="F455" s="9" t="n">
        <v>54400.6</v>
      </c>
      <c r="G455" s="9" t="str">
        <f aca="false">IF(AND(ISNUMBER(E455),ISNUMBER(F455)),E455-F455,"No disponible")</f>
        <v>No disponible</v>
      </c>
      <c r="H455" s="8" t="s">
        <v>64</v>
      </c>
      <c r="I455" s="8" t="s">
        <v>87</v>
      </c>
      <c r="J455" s="8" t="s">
        <v>43</v>
      </c>
      <c r="K455" s="8" t="s">
        <v>1620</v>
      </c>
      <c r="L455" s="8" t="s">
        <v>1621</v>
      </c>
      <c r="M455" s="8" t="s">
        <v>82</v>
      </c>
      <c r="N455" s="8" t="s">
        <v>1622</v>
      </c>
      <c r="O455" s="8" t="s">
        <v>1623</v>
      </c>
      <c r="P455" s="8" t="s">
        <v>1900</v>
      </c>
      <c r="Q455" s="8" t="s">
        <v>86</v>
      </c>
      <c r="R455" s="8" t="s">
        <v>50</v>
      </c>
    </row>
    <row r="456" customFormat="false" ht="32.8" hidden="false" customHeight="false" outlineLevel="0" collapsed="false">
      <c r="A456" s="8" t="s">
        <v>1898</v>
      </c>
      <c r="B456" s="8" t="s">
        <v>1899</v>
      </c>
      <c r="C456" s="8" t="s">
        <v>87</v>
      </c>
      <c r="D456" s="8" t="s">
        <v>1901</v>
      </c>
      <c r="E456" s="9" t="s">
        <v>87</v>
      </c>
      <c r="F456" s="9" t="n">
        <v>14371889</v>
      </c>
      <c r="G456" s="9" t="str">
        <f aca="false">IF(AND(ISNUMBER(E456),ISNUMBER(F456)),E456-F456,"No disponible")</f>
        <v>No disponible</v>
      </c>
      <c r="H456" s="8" t="s">
        <v>1902</v>
      </c>
      <c r="I456" s="8" t="s">
        <v>87</v>
      </c>
      <c r="J456" s="8" t="s">
        <v>43</v>
      </c>
      <c r="K456" s="8" t="s">
        <v>1628</v>
      </c>
      <c r="L456" s="8" t="s">
        <v>1903</v>
      </c>
      <c r="M456" s="8" t="s">
        <v>82</v>
      </c>
      <c r="N456" s="8" t="s">
        <v>1622</v>
      </c>
      <c r="O456" s="8" t="s">
        <v>1904</v>
      </c>
      <c r="P456" s="8" t="s">
        <v>1905</v>
      </c>
      <c r="Q456" s="8" t="s">
        <v>86</v>
      </c>
      <c r="R456" s="8" t="s">
        <v>111</v>
      </c>
    </row>
    <row r="457" customFormat="false" ht="32.8" hidden="false" customHeight="false" outlineLevel="0" collapsed="false">
      <c r="A457" s="8" t="s">
        <v>1906</v>
      </c>
      <c r="B457" s="8" t="s">
        <v>1907</v>
      </c>
      <c r="C457" s="8" t="s">
        <v>87</v>
      </c>
      <c r="D457" s="8" t="s">
        <v>1619</v>
      </c>
      <c r="E457" s="9" t="s">
        <v>87</v>
      </c>
      <c r="F457" s="9" t="n">
        <v>643500</v>
      </c>
      <c r="G457" s="9" t="str">
        <f aca="false">IF(AND(ISNUMBER(E457),ISNUMBER(F457)),E457-F457,"No disponible")</f>
        <v>No disponible</v>
      </c>
      <c r="H457" s="8" t="s">
        <v>64</v>
      </c>
      <c r="I457" s="8" t="s">
        <v>87</v>
      </c>
      <c r="J457" s="8" t="s">
        <v>43</v>
      </c>
      <c r="K457" s="8" t="s">
        <v>1620</v>
      </c>
      <c r="L457" s="8" t="s">
        <v>1621</v>
      </c>
      <c r="M457" s="8" t="s">
        <v>82</v>
      </c>
      <c r="N457" s="8" t="s">
        <v>1622</v>
      </c>
      <c r="O457" s="8" t="s">
        <v>1623</v>
      </c>
      <c r="P457" s="8" t="s">
        <v>1908</v>
      </c>
      <c r="Q457" s="8" t="s">
        <v>86</v>
      </c>
      <c r="R457" s="8" t="s">
        <v>50</v>
      </c>
    </row>
    <row r="458" customFormat="false" ht="32.8" hidden="false" customHeight="false" outlineLevel="0" collapsed="false">
      <c r="A458" s="8" t="s">
        <v>1909</v>
      </c>
      <c r="B458" s="8" t="s">
        <v>1346</v>
      </c>
      <c r="C458" s="8" t="s">
        <v>87</v>
      </c>
      <c r="D458" s="8" t="s">
        <v>948</v>
      </c>
      <c r="E458" s="9" t="s">
        <v>87</v>
      </c>
      <c r="F458" s="9" t="n">
        <v>49500</v>
      </c>
      <c r="G458" s="9" t="str">
        <f aca="false">IF(AND(ISNUMBER(E458),ISNUMBER(F458)),E458-F458,"No disponible")</f>
        <v>No disponible</v>
      </c>
      <c r="H458" s="8" t="s">
        <v>1352</v>
      </c>
      <c r="I458" s="8" t="s">
        <v>87</v>
      </c>
      <c r="J458" s="8" t="s">
        <v>43</v>
      </c>
      <c r="K458" s="8" t="s">
        <v>1628</v>
      </c>
      <c r="L458" s="8" t="s">
        <v>1910</v>
      </c>
      <c r="M458" s="8" t="s">
        <v>82</v>
      </c>
      <c r="N458" s="8" t="s">
        <v>1622</v>
      </c>
      <c r="O458" s="8" t="s">
        <v>1353</v>
      </c>
      <c r="P458" s="8" t="s">
        <v>1354</v>
      </c>
      <c r="Q458" s="8" t="s">
        <v>86</v>
      </c>
      <c r="R458" s="8" t="s">
        <v>50</v>
      </c>
    </row>
    <row r="459" customFormat="false" ht="32.8" hidden="false" customHeight="false" outlineLevel="0" collapsed="false">
      <c r="A459" s="8" t="s">
        <v>1911</v>
      </c>
      <c r="B459" s="8" t="s">
        <v>1430</v>
      </c>
      <c r="C459" s="8" t="s">
        <v>87</v>
      </c>
      <c r="D459" s="8" t="s">
        <v>183</v>
      </c>
      <c r="E459" s="9" t="s">
        <v>87</v>
      </c>
      <c r="F459" s="9" t="n">
        <v>333436</v>
      </c>
      <c r="G459" s="9" t="str">
        <f aca="false">IF(AND(ISNUMBER(E459),ISNUMBER(F459)),E459-F459,"No disponible")</f>
        <v>No disponible</v>
      </c>
      <c r="H459" s="8" t="s">
        <v>1912</v>
      </c>
      <c r="I459" s="8" t="s">
        <v>87</v>
      </c>
      <c r="J459" s="8" t="s">
        <v>43</v>
      </c>
      <c r="K459" s="8" t="s">
        <v>1628</v>
      </c>
      <c r="L459" s="8" t="s">
        <v>1913</v>
      </c>
      <c r="M459" s="8" t="s">
        <v>82</v>
      </c>
      <c r="N459" s="8" t="s">
        <v>1622</v>
      </c>
      <c r="O459" s="8" t="s">
        <v>1914</v>
      </c>
      <c r="P459" s="8" t="s">
        <v>1915</v>
      </c>
      <c r="Q459" s="8" t="s">
        <v>86</v>
      </c>
      <c r="R459" s="8" t="s">
        <v>111</v>
      </c>
    </row>
    <row r="460" customFormat="false" ht="32.8" hidden="false" customHeight="false" outlineLevel="0" collapsed="false">
      <c r="A460" s="8" t="s">
        <v>1911</v>
      </c>
      <c r="B460" s="8" t="s">
        <v>1430</v>
      </c>
      <c r="C460" s="8" t="s">
        <v>87</v>
      </c>
      <c r="D460" s="8" t="s">
        <v>183</v>
      </c>
      <c r="E460" s="9" t="s">
        <v>87</v>
      </c>
      <c r="F460" s="9" t="n">
        <v>207642</v>
      </c>
      <c r="G460" s="9" t="str">
        <f aca="false">IF(AND(ISNUMBER(E460),ISNUMBER(F460)),E460-F460,"No disponible")</f>
        <v>No disponible</v>
      </c>
      <c r="H460" s="8" t="s">
        <v>1916</v>
      </c>
      <c r="I460" s="8" t="s">
        <v>87</v>
      </c>
      <c r="J460" s="8" t="s">
        <v>43</v>
      </c>
      <c r="K460" s="8" t="s">
        <v>1628</v>
      </c>
      <c r="L460" s="8" t="s">
        <v>1917</v>
      </c>
      <c r="M460" s="8" t="s">
        <v>82</v>
      </c>
      <c r="N460" s="8" t="s">
        <v>1622</v>
      </c>
      <c r="O460" s="8" t="s">
        <v>1918</v>
      </c>
      <c r="P460" s="8" t="s">
        <v>1919</v>
      </c>
      <c r="Q460" s="8" t="s">
        <v>86</v>
      </c>
      <c r="R460" s="8" t="s">
        <v>111</v>
      </c>
    </row>
    <row r="461" customFormat="false" ht="32.8" hidden="false" customHeight="false" outlineLevel="0" collapsed="false">
      <c r="A461" s="8" t="s">
        <v>1911</v>
      </c>
      <c r="B461" s="8" t="s">
        <v>1430</v>
      </c>
      <c r="C461" s="8" t="s">
        <v>87</v>
      </c>
      <c r="D461" s="8" t="s">
        <v>183</v>
      </c>
      <c r="E461" s="9" t="s">
        <v>87</v>
      </c>
      <c r="F461" s="9" t="n">
        <v>1112420</v>
      </c>
      <c r="G461" s="9" t="str">
        <f aca="false">IF(AND(ISNUMBER(E461),ISNUMBER(F461)),E461-F461,"No disponible")</f>
        <v>No disponible</v>
      </c>
      <c r="H461" s="8" t="s">
        <v>1920</v>
      </c>
      <c r="I461" s="8" t="s">
        <v>87</v>
      </c>
      <c r="J461" s="8" t="s">
        <v>43</v>
      </c>
      <c r="K461" s="8" t="s">
        <v>1628</v>
      </c>
      <c r="L461" s="8" t="s">
        <v>1921</v>
      </c>
      <c r="M461" s="8" t="s">
        <v>82</v>
      </c>
      <c r="N461" s="8" t="s">
        <v>1622</v>
      </c>
      <c r="O461" s="8" t="s">
        <v>1922</v>
      </c>
      <c r="P461" s="8" t="s">
        <v>1923</v>
      </c>
      <c r="Q461" s="8" t="s">
        <v>86</v>
      </c>
      <c r="R461" s="8" t="s">
        <v>111</v>
      </c>
    </row>
    <row r="462" customFormat="false" ht="32.8" hidden="false" customHeight="false" outlineLevel="0" collapsed="false">
      <c r="A462" s="8" t="s">
        <v>1924</v>
      </c>
      <c r="B462" s="8" t="s">
        <v>1445</v>
      </c>
      <c r="C462" s="8" t="s">
        <v>87</v>
      </c>
      <c r="D462" s="8" t="s">
        <v>266</v>
      </c>
      <c r="E462" s="9" t="s">
        <v>87</v>
      </c>
      <c r="F462" s="9" t="n">
        <v>53400</v>
      </c>
      <c r="G462" s="9" t="str">
        <f aca="false">IF(AND(ISNUMBER(E462),ISNUMBER(F462)),E462-F462,"No disponible")</f>
        <v>No disponible</v>
      </c>
      <c r="H462" s="8" t="s">
        <v>1925</v>
      </c>
      <c r="I462" s="8" t="s">
        <v>87</v>
      </c>
      <c r="J462" s="8" t="s">
        <v>43</v>
      </c>
      <c r="K462" s="8" t="s">
        <v>1628</v>
      </c>
      <c r="L462" s="8" t="s">
        <v>1926</v>
      </c>
      <c r="M462" s="8" t="s">
        <v>82</v>
      </c>
      <c r="N462" s="8" t="s">
        <v>1622</v>
      </c>
      <c r="O462" s="8" t="s">
        <v>1927</v>
      </c>
      <c r="P462" s="8" t="s">
        <v>1928</v>
      </c>
      <c r="Q462" s="8" t="s">
        <v>86</v>
      </c>
      <c r="R462" s="8" t="s">
        <v>50</v>
      </c>
    </row>
    <row r="463" customFormat="false" ht="32.8" hidden="false" customHeight="false" outlineLevel="0" collapsed="false">
      <c r="A463" s="8" t="s">
        <v>1924</v>
      </c>
      <c r="B463" s="8" t="s">
        <v>1445</v>
      </c>
      <c r="C463" s="8" t="s">
        <v>87</v>
      </c>
      <c r="D463" s="8" t="s">
        <v>266</v>
      </c>
      <c r="E463" s="9" t="s">
        <v>87</v>
      </c>
      <c r="F463" s="9" t="n">
        <v>120599</v>
      </c>
      <c r="G463" s="9" t="str">
        <f aca="false">IF(AND(ISNUMBER(E463),ISNUMBER(F463)),E463-F463,"No disponible")</f>
        <v>No disponible</v>
      </c>
      <c r="H463" s="8" t="s">
        <v>1929</v>
      </c>
      <c r="I463" s="8" t="s">
        <v>87</v>
      </c>
      <c r="J463" s="8" t="s">
        <v>43</v>
      </c>
      <c r="K463" s="8" t="s">
        <v>1628</v>
      </c>
      <c r="L463" s="8" t="s">
        <v>1930</v>
      </c>
      <c r="M463" s="8" t="s">
        <v>82</v>
      </c>
      <c r="N463" s="8" t="s">
        <v>1622</v>
      </c>
      <c r="O463" s="8" t="s">
        <v>1931</v>
      </c>
      <c r="P463" s="8" t="s">
        <v>1932</v>
      </c>
      <c r="Q463" s="8" t="s">
        <v>86</v>
      </c>
      <c r="R463" s="8" t="s">
        <v>50</v>
      </c>
    </row>
    <row r="464" customFormat="false" ht="32.8" hidden="false" customHeight="false" outlineLevel="0" collapsed="false">
      <c r="A464" s="8" t="s">
        <v>1924</v>
      </c>
      <c r="B464" s="8" t="s">
        <v>1445</v>
      </c>
      <c r="C464" s="8" t="s">
        <v>87</v>
      </c>
      <c r="D464" s="8" t="s">
        <v>266</v>
      </c>
      <c r="E464" s="9" t="s">
        <v>87</v>
      </c>
      <c r="F464" s="9" t="n">
        <v>894950</v>
      </c>
      <c r="G464" s="9" t="str">
        <f aca="false">IF(AND(ISNUMBER(E464),ISNUMBER(F464)),E464-F464,"No disponible")</f>
        <v>No disponible</v>
      </c>
      <c r="H464" s="8" t="s">
        <v>1486</v>
      </c>
      <c r="I464" s="8" t="s">
        <v>87</v>
      </c>
      <c r="J464" s="8" t="s">
        <v>43</v>
      </c>
      <c r="K464" s="8" t="s">
        <v>1628</v>
      </c>
      <c r="L464" s="8" t="s">
        <v>1933</v>
      </c>
      <c r="M464" s="8" t="s">
        <v>82</v>
      </c>
      <c r="N464" s="8" t="s">
        <v>1622</v>
      </c>
      <c r="O464" s="8" t="s">
        <v>1487</v>
      </c>
      <c r="P464" s="8" t="s">
        <v>1488</v>
      </c>
      <c r="Q464" s="8" t="s">
        <v>86</v>
      </c>
      <c r="R464" s="8" t="s">
        <v>50</v>
      </c>
    </row>
    <row r="465" customFormat="false" ht="32.8" hidden="false" customHeight="false" outlineLevel="0" collapsed="false">
      <c r="A465" s="8" t="s">
        <v>1924</v>
      </c>
      <c r="B465" s="8" t="s">
        <v>1445</v>
      </c>
      <c r="C465" s="8" t="s">
        <v>87</v>
      </c>
      <c r="D465" s="8" t="s">
        <v>266</v>
      </c>
      <c r="E465" s="9" t="s">
        <v>87</v>
      </c>
      <c r="F465" s="9" t="n">
        <v>391600</v>
      </c>
      <c r="G465" s="9" t="str">
        <f aca="false">IF(AND(ISNUMBER(E465),ISNUMBER(F465)),E465-F465,"No disponible")</f>
        <v>No disponible</v>
      </c>
      <c r="H465" s="8" t="s">
        <v>1498</v>
      </c>
      <c r="I465" s="8" t="s">
        <v>87</v>
      </c>
      <c r="J465" s="8" t="s">
        <v>43</v>
      </c>
      <c r="K465" s="8" t="s">
        <v>1628</v>
      </c>
      <c r="L465" s="8" t="s">
        <v>1934</v>
      </c>
      <c r="M465" s="8" t="s">
        <v>82</v>
      </c>
      <c r="N465" s="8" t="s">
        <v>1622</v>
      </c>
      <c r="O465" s="8" t="s">
        <v>1499</v>
      </c>
      <c r="P465" s="8" t="s">
        <v>1500</v>
      </c>
      <c r="Q465" s="8" t="s">
        <v>86</v>
      </c>
      <c r="R465" s="8" t="s">
        <v>50</v>
      </c>
    </row>
    <row r="466" customFormat="false" ht="32.8" hidden="false" customHeight="false" outlineLevel="0" collapsed="false">
      <c r="A466" s="8" t="s">
        <v>1924</v>
      </c>
      <c r="B466" s="8" t="s">
        <v>1445</v>
      </c>
      <c r="C466" s="8" t="s">
        <v>87</v>
      </c>
      <c r="D466" s="8" t="s">
        <v>266</v>
      </c>
      <c r="E466" s="9" t="s">
        <v>87</v>
      </c>
      <c r="F466" s="9" t="n">
        <v>856500</v>
      </c>
      <c r="G466" s="9" t="str">
        <f aca="false">IF(AND(ISNUMBER(E466),ISNUMBER(F466)),E466-F466,"No disponible")</f>
        <v>No disponible</v>
      </c>
      <c r="H466" s="8" t="s">
        <v>1463</v>
      </c>
      <c r="I466" s="8" t="s">
        <v>87</v>
      </c>
      <c r="J466" s="8" t="s">
        <v>43</v>
      </c>
      <c r="K466" s="8" t="s">
        <v>1628</v>
      </c>
      <c r="L466" s="8" t="s">
        <v>1935</v>
      </c>
      <c r="M466" s="8" t="s">
        <v>82</v>
      </c>
      <c r="N466" s="8" t="s">
        <v>1622</v>
      </c>
      <c r="O466" s="8" t="s">
        <v>1464</v>
      </c>
      <c r="P466" s="8" t="s">
        <v>1465</v>
      </c>
      <c r="Q466" s="8" t="s">
        <v>86</v>
      </c>
      <c r="R466" s="8" t="s">
        <v>50</v>
      </c>
    </row>
    <row r="467" customFormat="false" ht="32.8" hidden="false" customHeight="false" outlineLevel="0" collapsed="false">
      <c r="A467" s="8" t="s">
        <v>1924</v>
      </c>
      <c r="B467" s="8" t="s">
        <v>1445</v>
      </c>
      <c r="C467" s="8" t="s">
        <v>87</v>
      </c>
      <c r="D467" s="8" t="s">
        <v>266</v>
      </c>
      <c r="E467" s="9" t="s">
        <v>87</v>
      </c>
      <c r="F467" s="9" t="n">
        <v>47800</v>
      </c>
      <c r="G467" s="9" t="str">
        <f aca="false">IF(AND(ISNUMBER(E467),ISNUMBER(F467)),E467-F467,"No disponible")</f>
        <v>No disponible</v>
      </c>
      <c r="H467" s="8" t="s">
        <v>1455</v>
      </c>
      <c r="I467" s="8" t="s">
        <v>87</v>
      </c>
      <c r="J467" s="8" t="s">
        <v>43</v>
      </c>
      <c r="K467" s="8" t="s">
        <v>1628</v>
      </c>
      <c r="L467" s="8" t="s">
        <v>1936</v>
      </c>
      <c r="M467" s="8" t="s">
        <v>82</v>
      </c>
      <c r="N467" s="8" t="s">
        <v>1622</v>
      </c>
      <c r="O467" s="8" t="s">
        <v>1456</v>
      </c>
      <c r="P467" s="8" t="s">
        <v>1457</v>
      </c>
      <c r="Q467" s="8" t="s">
        <v>86</v>
      </c>
      <c r="R467" s="8" t="s">
        <v>50</v>
      </c>
    </row>
    <row r="468" customFormat="false" ht="32.8" hidden="false" customHeight="false" outlineLevel="0" collapsed="false">
      <c r="A468" s="8" t="s">
        <v>1924</v>
      </c>
      <c r="B468" s="8" t="s">
        <v>1445</v>
      </c>
      <c r="C468" s="8" t="s">
        <v>87</v>
      </c>
      <c r="D468" s="8" t="s">
        <v>266</v>
      </c>
      <c r="E468" s="9" t="s">
        <v>87</v>
      </c>
      <c r="F468" s="9" t="n">
        <v>292400</v>
      </c>
      <c r="G468" s="9" t="str">
        <f aca="false">IF(AND(ISNUMBER(E468),ISNUMBER(F468)),E468-F468,"No disponible")</f>
        <v>No disponible</v>
      </c>
      <c r="H468" s="8" t="s">
        <v>1490</v>
      </c>
      <c r="I468" s="8" t="s">
        <v>87</v>
      </c>
      <c r="J468" s="8" t="s">
        <v>43</v>
      </c>
      <c r="K468" s="8" t="s">
        <v>1628</v>
      </c>
      <c r="L468" s="8" t="s">
        <v>1937</v>
      </c>
      <c r="M468" s="8" t="s">
        <v>82</v>
      </c>
      <c r="N468" s="8" t="s">
        <v>1622</v>
      </c>
      <c r="O468" s="8" t="s">
        <v>1491</v>
      </c>
      <c r="P468" s="8" t="s">
        <v>1492</v>
      </c>
      <c r="Q468" s="8" t="s">
        <v>86</v>
      </c>
      <c r="R468" s="8" t="s">
        <v>50</v>
      </c>
    </row>
    <row r="469" customFormat="false" ht="32.8" hidden="false" customHeight="false" outlineLevel="0" collapsed="false">
      <c r="A469" s="8" t="s">
        <v>1924</v>
      </c>
      <c r="B469" s="8" t="s">
        <v>1445</v>
      </c>
      <c r="C469" s="8" t="s">
        <v>87</v>
      </c>
      <c r="D469" s="8" t="s">
        <v>1468</v>
      </c>
      <c r="E469" s="9" t="s">
        <v>87</v>
      </c>
      <c r="F469" s="9" t="n">
        <v>199900</v>
      </c>
      <c r="G469" s="9" t="str">
        <f aca="false">IF(AND(ISNUMBER(E469),ISNUMBER(F469)),E469-F469,"No disponible")</f>
        <v>No disponible</v>
      </c>
      <c r="H469" s="8" t="s">
        <v>1469</v>
      </c>
      <c r="I469" s="8" t="s">
        <v>87</v>
      </c>
      <c r="J469" s="8" t="s">
        <v>43</v>
      </c>
      <c r="K469" s="8" t="s">
        <v>1628</v>
      </c>
      <c r="L469" s="8" t="s">
        <v>1938</v>
      </c>
      <c r="M469" s="8" t="s">
        <v>82</v>
      </c>
      <c r="N469" s="8" t="s">
        <v>1622</v>
      </c>
      <c r="O469" s="8" t="s">
        <v>1471</v>
      </c>
      <c r="P469" s="8" t="s">
        <v>1472</v>
      </c>
      <c r="Q469" s="8" t="s">
        <v>86</v>
      </c>
      <c r="R469" s="8" t="s">
        <v>111</v>
      </c>
    </row>
    <row r="470" customFormat="false" ht="32.8" hidden="false" customHeight="false" outlineLevel="0" collapsed="false">
      <c r="A470" s="8" t="s">
        <v>1924</v>
      </c>
      <c r="B470" s="8" t="s">
        <v>1445</v>
      </c>
      <c r="C470" s="8" t="s">
        <v>87</v>
      </c>
      <c r="D470" s="8" t="s">
        <v>1468</v>
      </c>
      <c r="E470" s="9" t="s">
        <v>87</v>
      </c>
      <c r="F470" s="9" t="n">
        <v>129900</v>
      </c>
      <c r="G470" s="9" t="str">
        <f aca="false">IF(AND(ISNUMBER(E470),ISNUMBER(F470)),E470-F470,"No disponible")</f>
        <v>No disponible</v>
      </c>
      <c r="H470" s="8" t="s">
        <v>1939</v>
      </c>
      <c r="I470" s="8" t="s">
        <v>87</v>
      </c>
      <c r="J470" s="8" t="s">
        <v>43</v>
      </c>
      <c r="K470" s="8" t="s">
        <v>1628</v>
      </c>
      <c r="L470" s="8" t="s">
        <v>1940</v>
      </c>
      <c r="M470" s="8" t="s">
        <v>82</v>
      </c>
      <c r="N470" s="8" t="s">
        <v>1622</v>
      </c>
      <c r="O470" s="8" t="s">
        <v>1941</v>
      </c>
      <c r="P470" s="8" t="s">
        <v>1942</v>
      </c>
      <c r="Q470" s="8" t="s">
        <v>86</v>
      </c>
      <c r="R470" s="8" t="s">
        <v>111</v>
      </c>
    </row>
    <row r="471" customFormat="false" ht="32.8" hidden="false" customHeight="false" outlineLevel="0" collapsed="false">
      <c r="A471" s="8" t="s">
        <v>1924</v>
      </c>
      <c r="B471" s="8" t="s">
        <v>1445</v>
      </c>
      <c r="C471" s="8" t="s">
        <v>87</v>
      </c>
      <c r="D471" s="8" t="s">
        <v>266</v>
      </c>
      <c r="E471" s="9" t="s">
        <v>87</v>
      </c>
      <c r="F471" s="9" t="n">
        <v>294500</v>
      </c>
      <c r="G471" s="9" t="str">
        <f aca="false">IF(AND(ISNUMBER(E471),ISNUMBER(F471)),E471-F471,"No disponible")</f>
        <v>No disponible</v>
      </c>
      <c r="H471" s="8" t="s">
        <v>1478</v>
      </c>
      <c r="I471" s="8" t="s">
        <v>87</v>
      </c>
      <c r="J471" s="8" t="s">
        <v>43</v>
      </c>
      <c r="K471" s="8" t="s">
        <v>1628</v>
      </c>
      <c r="L471" s="8" t="s">
        <v>1943</v>
      </c>
      <c r="M471" s="8" t="s">
        <v>82</v>
      </c>
      <c r="N471" s="8" t="s">
        <v>1622</v>
      </c>
      <c r="O471" s="8" t="s">
        <v>1479</v>
      </c>
      <c r="P471" s="8" t="s">
        <v>1480</v>
      </c>
      <c r="Q471" s="8" t="s">
        <v>86</v>
      </c>
      <c r="R471" s="8" t="s">
        <v>50</v>
      </c>
    </row>
    <row r="472" customFormat="false" ht="32.8" hidden="false" customHeight="false" outlineLevel="0" collapsed="false">
      <c r="A472" s="8" t="s">
        <v>1924</v>
      </c>
      <c r="B472" s="8" t="s">
        <v>1445</v>
      </c>
      <c r="C472" s="8" t="s">
        <v>87</v>
      </c>
      <c r="D472" s="8" t="s">
        <v>266</v>
      </c>
      <c r="E472" s="9" t="s">
        <v>87</v>
      </c>
      <c r="F472" s="9" t="n">
        <v>15900</v>
      </c>
      <c r="G472" s="9" t="str">
        <f aca="false">IF(AND(ISNUMBER(E472),ISNUMBER(F472)),E472-F472,"No disponible")</f>
        <v>No disponible</v>
      </c>
      <c r="H472" s="8" t="s">
        <v>1494</v>
      </c>
      <c r="I472" s="8" t="s">
        <v>87</v>
      </c>
      <c r="J472" s="8" t="s">
        <v>43</v>
      </c>
      <c r="K472" s="8" t="s">
        <v>1628</v>
      </c>
      <c r="L472" s="8" t="s">
        <v>1944</v>
      </c>
      <c r="M472" s="8" t="s">
        <v>82</v>
      </c>
      <c r="N472" s="8" t="s">
        <v>1622</v>
      </c>
      <c r="O472" s="8" t="s">
        <v>1495</v>
      </c>
      <c r="P472" s="8" t="s">
        <v>1496</v>
      </c>
      <c r="Q472" s="8" t="s">
        <v>86</v>
      </c>
      <c r="R472" s="8" t="s">
        <v>50</v>
      </c>
    </row>
    <row r="473" customFormat="false" ht="32.8" hidden="false" customHeight="false" outlineLevel="0" collapsed="false">
      <c r="A473" s="8" t="s">
        <v>1924</v>
      </c>
      <c r="B473" s="8" t="s">
        <v>1445</v>
      </c>
      <c r="C473" s="8" t="s">
        <v>87</v>
      </c>
      <c r="D473" s="8" t="s">
        <v>266</v>
      </c>
      <c r="E473" s="9" t="s">
        <v>87</v>
      </c>
      <c r="F473" s="9" t="n">
        <v>80300</v>
      </c>
      <c r="G473" s="9" t="str">
        <f aca="false">IF(AND(ISNUMBER(E473),ISNUMBER(F473)),E473-F473,"No disponible")</f>
        <v>No disponible</v>
      </c>
      <c r="H473" s="8" t="s">
        <v>1451</v>
      </c>
      <c r="I473" s="8" t="s">
        <v>87</v>
      </c>
      <c r="J473" s="8" t="s">
        <v>43</v>
      </c>
      <c r="K473" s="8" t="s">
        <v>1628</v>
      </c>
      <c r="L473" s="8" t="s">
        <v>1945</v>
      </c>
      <c r="M473" s="8" t="s">
        <v>82</v>
      </c>
      <c r="N473" s="8" t="s">
        <v>1622</v>
      </c>
      <c r="O473" s="8" t="s">
        <v>1452</v>
      </c>
      <c r="P473" s="8" t="s">
        <v>1453</v>
      </c>
      <c r="Q473" s="8" t="s">
        <v>86</v>
      </c>
      <c r="R473" s="8" t="s">
        <v>50</v>
      </c>
    </row>
    <row r="474" customFormat="false" ht="32.8" hidden="false" customHeight="false" outlineLevel="0" collapsed="false">
      <c r="A474" s="8" t="s">
        <v>1924</v>
      </c>
      <c r="B474" s="8" t="s">
        <v>1445</v>
      </c>
      <c r="C474" s="8" t="s">
        <v>87</v>
      </c>
      <c r="D474" s="8" t="s">
        <v>266</v>
      </c>
      <c r="E474" s="9" t="s">
        <v>87</v>
      </c>
      <c r="F474" s="9" t="n">
        <v>90686</v>
      </c>
      <c r="G474" s="9" t="str">
        <f aca="false">IF(AND(ISNUMBER(E474),ISNUMBER(F474)),E474-F474,"No disponible")</f>
        <v>No disponible</v>
      </c>
      <c r="H474" s="8" t="s">
        <v>1474</v>
      </c>
      <c r="I474" s="8" t="s">
        <v>87</v>
      </c>
      <c r="J474" s="8" t="s">
        <v>43</v>
      </c>
      <c r="K474" s="8" t="s">
        <v>1628</v>
      </c>
      <c r="L474" s="8" t="s">
        <v>1946</v>
      </c>
      <c r="M474" s="8" t="s">
        <v>82</v>
      </c>
      <c r="N474" s="8" t="s">
        <v>1622</v>
      </c>
      <c r="O474" s="8" t="s">
        <v>1475</v>
      </c>
      <c r="P474" s="8" t="s">
        <v>1476</v>
      </c>
      <c r="Q474" s="8" t="s">
        <v>86</v>
      </c>
      <c r="R474" s="8" t="s">
        <v>50</v>
      </c>
    </row>
    <row r="475" customFormat="false" ht="43.25" hidden="false" customHeight="false" outlineLevel="0" collapsed="false">
      <c r="A475" s="8" t="s">
        <v>1522</v>
      </c>
      <c r="B475" s="8" t="s">
        <v>1523</v>
      </c>
      <c r="C475" s="8" t="s">
        <v>87</v>
      </c>
      <c r="D475" s="8" t="s">
        <v>1036</v>
      </c>
      <c r="E475" s="9" t="s">
        <v>87</v>
      </c>
      <c r="F475" s="9" t="n">
        <v>560799</v>
      </c>
      <c r="G475" s="9" t="str">
        <f aca="false">IF(AND(ISNUMBER(E475),ISNUMBER(F475)),E475-F475,"No disponible")</f>
        <v>No disponible</v>
      </c>
      <c r="H475" s="8" t="s">
        <v>1525</v>
      </c>
      <c r="I475" s="8" t="s">
        <v>87</v>
      </c>
      <c r="J475" s="8" t="s">
        <v>43</v>
      </c>
      <c r="K475" s="8" t="s">
        <v>1628</v>
      </c>
      <c r="L475" s="8" t="s">
        <v>1947</v>
      </c>
      <c r="M475" s="8" t="s">
        <v>82</v>
      </c>
      <c r="N475" s="8" t="s">
        <v>1622</v>
      </c>
      <c r="O475" s="8" t="s">
        <v>1526</v>
      </c>
      <c r="P475" s="8" t="s">
        <v>1527</v>
      </c>
      <c r="Q475" s="8" t="s">
        <v>86</v>
      </c>
      <c r="R475" s="8" t="s">
        <v>111</v>
      </c>
    </row>
    <row r="476" customFormat="false" ht="32.8" hidden="false" customHeight="false" outlineLevel="0" collapsed="false">
      <c r="A476" s="8" t="s">
        <v>1948</v>
      </c>
      <c r="B476" s="8" t="s">
        <v>1535</v>
      </c>
      <c r="C476" s="8" t="s">
        <v>87</v>
      </c>
      <c r="D476" s="8" t="s">
        <v>127</v>
      </c>
      <c r="E476" s="9" t="s">
        <v>87</v>
      </c>
      <c r="F476" s="9" t="n">
        <v>7000</v>
      </c>
      <c r="G476" s="9" t="str">
        <f aca="false">IF(AND(ISNUMBER(E476),ISNUMBER(F476)),E476-F476,"No disponible")</f>
        <v>No disponible</v>
      </c>
      <c r="H476" s="8" t="s">
        <v>64</v>
      </c>
      <c r="I476" s="8" t="s">
        <v>87</v>
      </c>
      <c r="J476" s="8" t="s">
        <v>43</v>
      </c>
      <c r="K476" s="8" t="s">
        <v>1628</v>
      </c>
      <c r="L476" s="8" t="s">
        <v>1949</v>
      </c>
      <c r="M476" s="8" t="s">
        <v>82</v>
      </c>
      <c r="N476" s="8" t="s">
        <v>1622</v>
      </c>
      <c r="O476" s="8" t="s">
        <v>1950</v>
      </c>
      <c r="P476" s="8" t="s">
        <v>1951</v>
      </c>
      <c r="Q476" s="8" t="s">
        <v>86</v>
      </c>
      <c r="R476" s="8" t="s">
        <v>50</v>
      </c>
    </row>
    <row r="477" customFormat="false" ht="32.8" hidden="false" customHeight="false" outlineLevel="0" collapsed="false">
      <c r="A477" s="8" t="s">
        <v>1542</v>
      </c>
      <c r="B477" s="8" t="s">
        <v>1543</v>
      </c>
      <c r="C477" s="8" t="s">
        <v>87</v>
      </c>
      <c r="D477" s="8" t="s">
        <v>127</v>
      </c>
      <c r="E477" s="9" t="s">
        <v>87</v>
      </c>
      <c r="F477" s="9" t="n">
        <v>43820</v>
      </c>
      <c r="G477" s="9" t="str">
        <f aca="false">IF(AND(ISNUMBER(E477),ISNUMBER(F477)),E477-F477,"No disponible")</f>
        <v>No disponible</v>
      </c>
      <c r="H477" s="8" t="s">
        <v>64</v>
      </c>
      <c r="I477" s="8" t="s">
        <v>87</v>
      </c>
      <c r="J477" s="8" t="s">
        <v>43</v>
      </c>
      <c r="K477" s="8" t="s">
        <v>1628</v>
      </c>
      <c r="L477" s="8" t="s">
        <v>1952</v>
      </c>
      <c r="M477" s="8" t="s">
        <v>82</v>
      </c>
      <c r="N477" s="8" t="s">
        <v>1622</v>
      </c>
      <c r="O477" s="8" t="s">
        <v>1545</v>
      </c>
      <c r="P477" s="8" t="s">
        <v>1546</v>
      </c>
      <c r="Q477" s="8" t="s">
        <v>86</v>
      </c>
      <c r="R477" s="8" t="s">
        <v>50</v>
      </c>
    </row>
    <row r="478" customFormat="false" ht="32.8" hidden="false" customHeight="false" outlineLevel="0" collapsed="false">
      <c r="A478" s="8" t="s">
        <v>1542</v>
      </c>
      <c r="B478" s="8" t="s">
        <v>1543</v>
      </c>
      <c r="C478" s="8" t="s">
        <v>87</v>
      </c>
      <c r="D478" s="8" t="s">
        <v>127</v>
      </c>
      <c r="E478" s="9" t="s">
        <v>87</v>
      </c>
      <c r="F478" s="9" t="n">
        <v>639660</v>
      </c>
      <c r="G478" s="9" t="str">
        <f aca="false">IF(AND(ISNUMBER(E478),ISNUMBER(F478)),E478-F478,"No disponible")</f>
        <v>No disponible</v>
      </c>
      <c r="H478" s="8" t="s">
        <v>64</v>
      </c>
      <c r="I478" s="8" t="s">
        <v>87</v>
      </c>
      <c r="J478" s="8" t="s">
        <v>43</v>
      </c>
      <c r="K478" s="8" t="s">
        <v>1628</v>
      </c>
      <c r="L478" s="8" t="s">
        <v>1953</v>
      </c>
      <c r="M478" s="8" t="s">
        <v>82</v>
      </c>
      <c r="N478" s="8" t="s">
        <v>1622</v>
      </c>
      <c r="O478" s="8" t="s">
        <v>1548</v>
      </c>
      <c r="P478" s="8" t="s">
        <v>1549</v>
      </c>
      <c r="Q478" s="8" t="s">
        <v>86</v>
      </c>
      <c r="R478" s="8" t="s">
        <v>50</v>
      </c>
    </row>
    <row r="479" customFormat="false" ht="32.8" hidden="false" customHeight="false" outlineLevel="0" collapsed="false">
      <c r="A479" s="8" t="s">
        <v>1954</v>
      </c>
      <c r="B479" s="8" t="s">
        <v>1955</v>
      </c>
      <c r="C479" s="8" t="s">
        <v>87</v>
      </c>
      <c r="D479" s="8" t="s">
        <v>127</v>
      </c>
      <c r="E479" s="9" t="s">
        <v>87</v>
      </c>
      <c r="F479" s="9" t="n">
        <v>17000</v>
      </c>
      <c r="G479" s="9" t="str">
        <f aca="false">IF(AND(ISNUMBER(E479),ISNUMBER(F479)),E479-F479,"No disponible")</f>
        <v>No disponible</v>
      </c>
      <c r="H479" s="8" t="s">
        <v>64</v>
      </c>
      <c r="I479" s="8" t="s">
        <v>87</v>
      </c>
      <c r="J479" s="8" t="s">
        <v>43</v>
      </c>
      <c r="K479" s="8" t="s">
        <v>1628</v>
      </c>
      <c r="L479" s="8" t="s">
        <v>1956</v>
      </c>
      <c r="M479" s="8" t="s">
        <v>82</v>
      </c>
      <c r="N479" s="8" t="s">
        <v>1622</v>
      </c>
      <c r="O479" s="8" t="s">
        <v>1957</v>
      </c>
      <c r="P479" s="8" t="s">
        <v>1958</v>
      </c>
      <c r="Q479" s="8" t="s">
        <v>86</v>
      </c>
      <c r="R479" s="8" t="s">
        <v>50</v>
      </c>
    </row>
    <row r="480" customFormat="false" ht="32.8" hidden="false" customHeight="false" outlineLevel="0" collapsed="false">
      <c r="A480" s="8" t="s">
        <v>1954</v>
      </c>
      <c r="B480" s="8" t="s">
        <v>1955</v>
      </c>
      <c r="C480" s="8" t="s">
        <v>87</v>
      </c>
      <c r="D480" s="8" t="s">
        <v>127</v>
      </c>
      <c r="E480" s="9" t="s">
        <v>87</v>
      </c>
      <c r="F480" s="9" t="n">
        <v>17000</v>
      </c>
      <c r="G480" s="9" t="str">
        <f aca="false">IF(AND(ISNUMBER(E480),ISNUMBER(F480)),E480-F480,"No disponible")</f>
        <v>No disponible</v>
      </c>
      <c r="H480" s="8" t="s">
        <v>64</v>
      </c>
      <c r="I480" s="8" t="s">
        <v>87</v>
      </c>
      <c r="J480" s="8" t="s">
        <v>43</v>
      </c>
      <c r="K480" s="8" t="s">
        <v>1628</v>
      </c>
      <c r="L480" s="8" t="s">
        <v>1959</v>
      </c>
      <c r="M480" s="8" t="s">
        <v>82</v>
      </c>
      <c r="N480" s="8" t="s">
        <v>1622</v>
      </c>
      <c r="O480" s="8" t="s">
        <v>1960</v>
      </c>
      <c r="P480" s="8" t="s">
        <v>1961</v>
      </c>
      <c r="Q480" s="8" t="s">
        <v>86</v>
      </c>
      <c r="R480" s="8" t="s">
        <v>50</v>
      </c>
    </row>
    <row r="481" customFormat="false" ht="32.8" hidden="false" customHeight="false" outlineLevel="0" collapsed="false">
      <c r="A481" s="8" t="s">
        <v>1962</v>
      </c>
      <c r="B481" s="8" t="s">
        <v>1579</v>
      </c>
      <c r="C481" s="8" t="s">
        <v>87</v>
      </c>
      <c r="D481" s="8" t="s">
        <v>93</v>
      </c>
      <c r="E481" s="9" t="s">
        <v>87</v>
      </c>
      <c r="F481" s="9" t="n">
        <v>2800</v>
      </c>
      <c r="G481" s="9" t="str">
        <f aca="false">IF(AND(ISNUMBER(E481),ISNUMBER(F481)),E481-F481,"No disponible")</f>
        <v>No disponible</v>
      </c>
      <c r="H481" s="8" t="s">
        <v>1963</v>
      </c>
      <c r="I481" s="8" t="s">
        <v>87</v>
      </c>
      <c r="J481" s="8" t="s">
        <v>43</v>
      </c>
      <c r="K481" s="8" t="s">
        <v>1628</v>
      </c>
      <c r="L481" s="8" t="s">
        <v>1890</v>
      </c>
      <c r="M481" s="8" t="s">
        <v>82</v>
      </c>
      <c r="N481" s="8" t="s">
        <v>1622</v>
      </c>
      <c r="O481" s="8" t="s">
        <v>1964</v>
      </c>
      <c r="P481" s="8" t="s">
        <v>1965</v>
      </c>
      <c r="Q481" s="8" t="s">
        <v>86</v>
      </c>
      <c r="R481" s="8" t="s">
        <v>50</v>
      </c>
    </row>
    <row r="482" customFormat="false" ht="32.8" hidden="false" customHeight="false" outlineLevel="0" collapsed="false">
      <c r="A482" s="8" t="s">
        <v>1966</v>
      </c>
      <c r="B482" s="8" t="s">
        <v>1967</v>
      </c>
      <c r="C482" s="8" t="s">
        <v>87</v>
      </c>
      <c r="D482" s="8" t="s">
        <v>1794</v>
      </c>
      <c r="E482" s="9" t="s">
        <v>87</v>
      </c>
      <c r="F482" s="9" t="n">
        <v>138833</v>
      </c>
      <c r="G482" s="9" t="str">
        <f aca="false">IF(AND(ISNUMBER(E482),ISNUMBER(F482)),E482-F482,"No disponible")</f>
        <v>No disponible</v>
      </c>
      <c r="H482" s="8" t="s">
        <v>1968</v>
      </c>
      <c r="I482" s="8" t="s">
        <v>87</v>
      </c>
      <c r="J482" s="8" t="s">
        <v>43</v>
      </c>
      <c r="K482" s="8" t="s">
        <v>1628</v>
      </c>
      <c r="L482" s="8" t="s">
        <v>1969</v>
      </c>
      <c r="M482" s="8" t="s">
        <v>82</v>
      </c>
      <c r="N482" s="8" t="s">
        <v>1622</v>
      </c>
      <c r="O482" s="8" t="s">
        <v>1970</v>
      </c>
      <c r="P482" s="8" t="s">
        <v>1971</v>
      </c>
      <c r="Q482" s="8" t="s">
        <v>86</v>
      </c>
      <c r="R482" s="8" t="s">
        <v>111</v>
      </c>
    </row>
    <row r="483" customFormat="false" ht="32.8" hidden="false" customHeight="false" outlineLevel="0" collapsed="false">
      <c r="A483" s="8" t="s">
        <v>1972</v>
      </c>
      <c r="B483" s="8" t="s">
        <v>225</v>
      </c>
      <c r="C483" s="8" t="s">
        <v>87</v>
      </c>
      <c r="D483" s="8" t="s">
        <v>227</v>
      </c>
      <c r="E483" s="9" t="s">
        <v>87</v>
      </c>
      <c r="F483" s="9" t="n">
        <v>12000</v>
      </c>
      <c r="G483" s="9" t="str">
        <f aca="false">IF(AND(ISNUMBER(E483),ISNUMBER(F483)),E483-F483,"No disponible")</f>
        <v>No disponible</v>
      </c>
      <c r="H483" s="8" t="s">
        <v>64</v>
      </c>
      <c r="I483" s="8" t="s">
        <v>87</v>
      </c>
      <c r="J483" s="8" t="s">
        <v>43</v>
      </c>
      <c r="K483" s="8" t="s">
        <v>1628</v>
      </c>
      <c r="L483" s="8" t="s">
        <v>1973</v>
      </c>
      <c r="M483" s="8" t="s">
        <v>82</v>
      </c>
      <c r="N483" s="8" t="s">
        <v>1622</v>
      </c>
      <c r="O483" s="8" t="s">
        <v>1974</v>
      </c>
      <c r="P483" s="8" t="s">
        <v>1975</v>
      </c>
      <c r="Q483" s="8" t="s">
        <v>86</v>
      </c>
      <c r="R483" s="8" t="s">
        <v>50</v>
      </c>
    </row>
    <row r="484" customFormat="false" ht="32.8" hidden="false" customHeight="false" outlineLevel="0" collapsed="false">
      <c r="A484" s="8" t="s">
        <v>1976</v>
      </c>
      <c r="B484" s="8" t="s">
        <v>188</v>
      </c>
      <c r="C484" s="8" t="s">
        <v>87</v>
      </c>
      <c r="D484" s="8" t="s">
        <v>127</v>
      </c>
      <c r="E484" s="9" t="s">
        <v>87</v>
      </c>
      <c r="F484" s="9" t="n">
        <v>24000</v>
      </c>
      <c r="G484" s="9" t="str">
        <f aca="false">IF(AND(ISNUMBER(E484),ISNUMBER(F484)),E484-F484,"No disponible")</f>
        <v>No disponible</v>
      </c>
      <c r="H484" s="8" t="s">
        <v>64</v>
      </c>
      <c r="I484" s="8" t="s">
        <v>87</v>
      </c>
      <c r="J484" s="8" t="s">
        <v>43</v>
      </c>
      <c r="K484" s="8" t="s">
        <v>1628</v>
      </c>
      <c r="L484" s="8" t="s">
        <v>1977</v>
      </c>
      <c r="M484" s="8" t="s">
        <v>82</v>
      </c>
      <c r="N484" s="8" t="s">
        <v>1622</v>
      </c>
      <c r="O484" s="8" t="s">
        <v>191</v>
      </c>
      <c r="P484" s="8" t="s">
        <v>192</v>
      </c>
      <c r="Q484" s="8" t="s">
        <v>86</v>
      </c>
      <c r="R484" s="8" t="s">
        <v>50</v>
      </c>
    </row>
    <row r="485" customFormat="false" ht="32.8" hidden="false" customHeight="false" outlineLevel="0" collapsed="false">
      <c r="A485" s="8" t="s">
        <v>1976</v>
      </c>
      <c r="B485" s="8" t="s">
        <v>188</v>
      </c>
      <c r="C485" s="8" t="s">
        <v>87</v>
      </c>
      <c r="D485" s="8" t="s">
        <v>127</v>
      </c>
      <c r="E485" s="9" t="s">
        <v>87</v>
      </c>
      <c r="F485" s="9" t="n">
        <v>25000</v>
      </c>
      <c r="G485" s="9" t="str">
        <f aca="false">IF(AND(ISNUMBER(E485),ISNUMBER(F485)),E485-F485,"No disponible")</f>
        <v>No disponible</v>
      </c>
      <c r="H485" s="8" t="s">
        <v>64</v>
      </c>
      <c r="I485" s="8" t="s">
        <v>87</v>
      </c>
      <c r="J485" s="8" t="s">
        <v>43</v>
      </c>
      <c r="K485" s="8" t="s">
        <v>1628</v>
      </c>
      <c r="L485" s="8" t="s">
        <v>1978</v>
      </c>
      <c r="M485" s="8" t="s">
        <v>82</v>
      </c>
      <c r="N485" s="8" t="s">
        <v>1622</v>
      </c>
      <c r="O485" s="8" t="s">
        <v>1979</v>
      </c>
      <c r="P485" s="8" t="s">
        <v>1980</v>
      </c>
      <c r="Q485" s="8" t="s">
        <v>86</v>
      </c>
      <c r="R485" s="8" t="s">
        <v>50</v>
      </c>
    </row>
    <row r="486" customFormat="false" ht="32.8" hidden="false" customHeight="false" outlineLevel="0" collapsed="false">
      <c r="A486" s="8" t="s">
        <v>1976</v>
      </c>
      <c r="B486" s="8" t="s">
        <v>188</v>
      </c>
      <c r="C486" s="8" t="s">
        <v>87</v>
      </c>
      <c r="D486" s="8" t="s">
        <v>127</v>
      </c>
      <c r="E486" s="9" t="s">
        <v>87</v>
      </c>
      <c r="F486" s="9" t="n">
        <v>25000</v>
      </c>
      <c r="G486" s="9" t="str">
        <f aca="false">IF(AND(ISNUMBER(E486),ISNUMBER(F486)),E486-F486,"No disponible")</f>
        <v>No disponible</v>
      </c>
      <c r="H486" s="8" t="s">
        <v>64</v>
      </c>
      <c r="I486" s="8" t="s">
        <v>87</v>
      </c>
      <c r="J486" s="8" t="s">
        <v>43</v>
      </c>
      <c r="K486" s="8" t="s">
        <v>1628</v>
      </c>
      <c r="L486" s="8" t="s">
        <v>1865</v>
      </c>
      <c r="M486" s="8" t="s">
        <v>82</v>
      </c>
      <c r="N486" s="8" t="s">
        <v>1622</v>
      </c>
      <c r="O486" s="8" t="s">
        <v>1981</v>
      </c>
      <c r="P486" s="8" t="s">
        <v>1982</v>
      </c>
      <c r="Q486" s="8" t="s">
        <v>86</v>
      </c>
      <c r="R486" s="8" t="s">
        <v>50</v>
      </c>
    </row>
  </sheetData>
  <autoFilter ref="A1:R4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7" min="5" style="0" width="16"/>
    <col collapsed="false" customWidth="true" hidden="false" outlineLevel="0" max="8" min="8" style="0" width="48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2" min="11" style="0" width="48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22"/>
  </cols>
  <sheetData>
    <row r="1" customFormat="false" ht="39.5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</row>
    <row r="2" customFormat="false" ht="43.25" hidden="false" customHeight="false" outlineLevel="0" collapsed="false">
      <c r="A2" s="8" t="s">
        <v>37</v>
      </c>
      <c r="B2" s="8" t="s">
        <v>38</v>
      </c>
      <c r="C2" s="8" t="s">
        <v>39</v>
      </c>
      <c r="D2" s="8" t="s">
        <v>40</v>
      </c>
      <c r="E2" s="9" t="n">
        <v>289000</v>
      </c>
      <c r="F2" s="9" t="n">
        <v>289000</v>
      </c>
      <c r="G2" s="9" t="n">
        <f aca="false">IF(AND(ISNUMBER(E2),ISNUMBER(F2)),E2-F2,"No disponible")</f>
        <v>0</v>
      </c>
      <c r="H2" s="8" t="s">
        <v>41</v>
      </c>
      <c r="I2" s="8" t="s">
        <v>42</v>
      </c>
      <c r="J2" s="8" t="s">
        <v>43</v>
      </c>
      <c r="K2" s="8" t="s">
        <v>44</v>
      </c>
      <c r="L2" s="8" t="s">
        <v>45</v>
      </c>
      <c r="M2" s="8" t="s">
        <v>6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</row>
    <row r="3" customFormat="false" ht="53.7" hidden="false" customHeight="false" outlineLevel="0" collapsed="false">
      <c r="A3" s="8" t="s">
        <v>51</v>
      </c>
      <c r="B3" s="8" t="s">
        <v>52</v>
      </c>
      <c r="C3" s="8" t="s">
        <v>53</v>
      </c>
      <c r="D3" s="8" t="s">
        <v>54</v>
      </c>
      <c r="E3" s="9" t="n">
        <v>17074120</v>
      </c>
      <c r="F3" s="9" t="n">
        <v>17074120</v>
      </c>
      <c r="G3" s="9" t="n">
        <f aca="false">IF(AND(ISNUMBER(E3),ISNUMBER(F3)),E3-F3,"No disponible")</f>
        <v>0</v>
      </c>
      <c r="H3" s="8" t="s">
        <v>55</v>
      </c>
      <c r="I3" s="8" t="s">
        <v>56</v>
      </c>
      <c r="J3" s="8" t="s">
        <v>43</v>
      </c>
      <c r="K3" s="8" t="s">
        <v>44</v>
      </c>
      <c r="L3" s="8" t="s">
        <v>45</v>
      </c>
      <c r="M3" s="8" t="s">
        <v>6</v>
      </c>
      <c r="N3" s="8" t="s">
        <v>46</v>
      </c>
      <c r="O3" s="8" t="s">
        <v>57</v>
      </c>
      <c r="P3" s="8" t="s">
        <v>58</v>
      </c>
      <c r="Q3" s="8" t="s">
        <v>59</v>
      </c>
      <c r="R3" s="8" t="s">
        <v>50</v>
      </c>
    </row>
    <row r="4" customFormat="false" ht="43.25" hidden="false" customHeight="false" outlineLevel="0" collapsed="false">
      <c r="A4" s="8" t="s">
        <v>60</v>
      </c>
      <c r="B4" s="8" t="s">
        <v>61</v>
      </c>
      <c r="C4" s="8" t="s">
        <v>62</v>
      </c>
      <c r="D4" s="8" t="s">
        <v>63</v>
      </c>
      <c r="E4" s="9" t="n">
        <v>939272</v>
      </c>
      <c r="F4" s="9" t="n">
        <v>939272</v>
      </c>
      <c r="G4" s="9" t="n">
        <f aca="false">IF(AND(ISNUMBER(E4),ISNUMBER(F4)),E4-F4,"No disponible")</f>
        <v>0</v>
      </c>
      <c r="H4" s="8" t="s">
        <v>64</v>
      </c>
      <c r="I4" s="8" t="s">
        <v>65</v>
      </c>
      <c r="J4" s="8" t="s">
        <v>43</v>
      </c>
      <c r="K4" s="8" t="s">
        <v>44</v>
      </c>
      <c r="L4" s="8" t="s">
        <v>66</v>
      </c>
      <c r="M4" s="8" t="s">
        <v>6</v>
      </c>
      <c r="N4" s="8" t="s">
        <v>46</v>
      </c>
      <c r="O4" s="8" t="s">
        <v>67</v>
      </c>
      <c r="P4" s="8" t="s">
        <v>68</v>
      </c>
      <c r="Q4" s="8" t="s">
        <v>69</v>
      </c>
      <c r="R4" s="8" t="s">
        <v>50</v>
      </c>
    </row>
    <row r="5" customFormat="false" ht="43.25" hidden="false" customHeight="false" outlineLevel="0" collapsed="false">
      <c r="A5" s="8" t="s">
        <v>60</v>
      </c>
      <c r="B5" s="8" t="s">
        <v>61</v>
      </c>
      <c r="C5" s="8" t="s">
        <v>70</v>
      </c>
      <c r="D5" s="8" t="s">
        <v>63</v>
      </c>
      <c r="E5" s="9" t="n">
        <v>13701380</v>
      </c>
      <c r="F5" s="9" t="n">
        <v>13701380</v>
      </c>
      <c r="G5" s="9" t="n">
        <f aca="false">IF(AND(ISNUMBER(E5),ISNUMBER(F5)),E5-F5,"No disponible")</f>
        <v>0</v>
      </c>
      <c r="H5" s="8" t="s">
        <v>64</v>
      </c>
      <c r="I5" s="8" t="s">
        <v>56</v>
      </c>
      <c r="J5" s="8" t="s">
        <v>43</v>
      </c>
      <c r="K5" s="8" t="s">
        <v>44</v>
      </c>
      <c r="L5" s="8" t="s">
        <v>45</v>
      </c>
      <c r="M5" s="8" t="s">
        <v>6</v>
      </c>
      <c r="N5" s="8" t="s">
        <v>46</v>
      </c>
      <c r="O5" s="8" t="s">
        <v>71</v>
      </c>
      <c r="P5" s="8" t="s">
        <v>72</v>
      </c>
      <c r="Q5" s="8" t="s">
        <v>59</v>
      </c>
      <c r="R5" s="8" t="s">
        <v>50</v>
      </c>
    </row>
    <row r="6" customFormat="false" ht="43.25" hidden="false" customHeight="false" outlineLevel="0" collapsed="false">
      <c r="A6" s="8" t="s">
        <v>60</v>
      </c>
      <c r="B6" s="8" t="s">
        <v>61</v>
      </c>
      <c r="C6" s="8" t="s">
        <v>73</v>
      </c>
      <c r="D6" s="8" t="s">
        <v>63</v>
      </c>
      <c r="E6" s="9" t="n">
        <v>4535050</v>
      </c>
      <c r="F6" s="9" t="n">
        <v>4535050</v>
      </c>
      <c r="G6" s="9" t="n">
        <f aca="false">IF(AND(ISNUMBER(E6),ISNUMBER(F6)),E6-F6,"No disponible")</f>
        <v>0</v>
      </c>
      <c r="H6" s="8" t="s">
        <v>64</v>
      </c>
      <c r="I6" s="8" t="s">
        <v>56</v>
      </c>
      <c r="J6" s="8" t="s">
        <v>43</v>
      </c>
      <c r="K6" s="8" t="s">
        <v>44</v>
      </c>
      <c r="L6" s="8" t="s">
        <v>45</v>
      </c>
      <c r="M6" s="8" t="s">
        <v>6</v>
      </c>
      <c r="N6" s="8" t="s">
        <v>46</v>
      </c>
      <c r="O6" s="8" t="s">
        <v>74</v>
      </c>
      <c r="P6" s="8" t="s">
        <v>75</v>
      </c>
      <c r="Q6" s="8" t="s">
        <v>59</v>
      </c>
      <c r="R6" s="8" t="s">
        <v>50</v>
      </c>
    </row>
    <row r="7" customFormat="false" ht="43.25" hidden="false" customHeight="false" outlineLevel="0" collapsed="false">
      <c r="A7" s="8" t="s">
        <v>76</v>
      </c>
      <c r="B7" s="8" t="s">
        <v>61</v>
      </c>
      <c r="C7" s="8" t="s">
        <v>77</v>
      </c>
      <c r="D7" s="8" t="s">
        <v>78</v>
      </c>
      <c r="E7" s="9" t="n">
        <v>3317339</v>
      </c>
      <c r="F7" s="9" t="n">
        <v>3317399</v>
      </c>
      <c r="G7" s="9" t="n">
        <f aca="false">IF(AND(ISNUMBER(E7),ISNUMBER(F7)),E7-F7,"No disponible")</f>
        <v>-60</v>
      </c>
      <c r="H7" s="8" t="s">
        <v>79</v>
      </c>
      <c r="I7" s="8" t="s">
        <v>80</v>
      </c>
      <c r="J7" s="8" t="s">
        <v>43</v>
      </c>
      <c r="K7" s="8" t="s">
        <v>81</v>
      </c>
      <c r="L7" s="8" t="s">
        <v>45</v>
      </c>
      <c r="M7" s="8" t="s">
        <v>82</v>
      </c>
      <c r="N7" s="8" t="s">
        <v>46</v>
      </c>
      <c r="O7" s="8" t="s">
        <v>83</v>
      </c>
      <c r="P7" s="8" t="s">
        <v>84</v>
      </c>
      <c r="Q7" s="8" t="s">
        <v>59</v>
      </c>
      <c r="R7" s="8" t="s">
        <v>50</v>
      </c>
    </row>
    <row r="8" customFormat="false" ht="43.25" hidden="false" customHeight="false" outlineLevel="0" collapsed="false">
      <c r="A8" s="8" t="s">
        <v>76</v>
      </c>
      <c r="B8" s="8" t="s">
        <v>61</v>
      </c>
      <c r="C8" s="8" t="s">
        <v>85</v>
      </c>
      <c r="D8" s="8" t="s">
        <v>86</v>
      </c>
      <c r="E8" s="9" t="n">
        <v>417940</v>
      </c>
      <c r="F8" s="9" t="s">
        <v>87</v>
      </c>
      <c r="G8" s="9" t="str">
        <f aca="false">IF(AND(ISNUMBER(E8),ISNUMBER(F8)),E8-F8,"No disponible")</f>
        <v>No disponible</v>
      </c>
      <c r="H8" s="8" t="s">
        <v>86</v>
      </c>
      <c r="I8" s="8" t="s">
        <v>80</v>
      </c>
      <c r="J8" s="8" t="s">
        <v>87</v>
      </c>
      <c r="K8" s="8" t="s">
        <v>88</v>
      </c>
      <c r="L8" s="8" t="s">
        <v>89</v>
      </c>
      <c r="M8" s="8" t="s">
        <v>82</v>
      </c>
      <c r="N8" s="8" t="s">
        <v>46</v>
      </c>
      <c r="O8" s="8" t="s">
        <v>87</v>
      </c>
      <c r="P8" s="8"/>
      <c r="Q8" s="8" t="s">
        <v>87</v>
      </c>
      <c r="R8" s="8" t="s">
        <v>86</v>
      </c>
    </row>
    <row r="9" customFormat="false" ht="43.25" hidden="false" customHeight="false" outlineLevel="0" collapsed="false">
      <c r="A9" s="8" t="s">
        <v>90</v>
      </c>
      <c r="B9" s="8" t="s">
        <v>91</v>
      </c>
      <c r="C9" s="8" t="s">
        <v>92</v>
      </c>
      <c r="D9" s="8" t="s">
        <v>93</v>
      </c>
      <c r="E9" s="9" t="n">
        <v>553160</v>
      </c>
      <c r="F9" s="9" t="n">
        <v>553160</v>
      </c>
      <c r="G9" s="9" t="n">
        <f aca="false">IF(AND(ISNUMBER(E9),ISNUMBER(F9)),E9-F9,"No disponible")</f>
        <v>0</v>
      </c>
      <c r="H9" s="8" t="s">
        <v>94</v>
      </c>
      <c r="I9" s="8" t="s">
        <v>56</v>
      </c>
      <c r="J9" s="8" t="s">
        <v>43</v>
      </c>
      <c r="K9" s="8" t="s">
        <v>44</v>
      </c>
      <c r="L9" s="8" t="s">
        <v>45</v>
      </c>
      <c r="M9" s="8" t="s">
        <v>6</v>
      </c>
      <c r="N9" s="8" t="s">
        <v>46</v>
      </c>
      <c r="O9" s="8" t="s">
        <v>95</v>
      </c>
      <c r="P9" s="8" t="s">
        <v>96</v>
      </c>
      <c r="Q9" s="8" t="s">
        <v>59</v>
      </c>
      <c r="R9" s="8" t="s">
        <v>50</v>
      </c>
    </row>
    <row r="10" customFormat="false" ht="43.25" hidden="false" customHeight="false" outlineLevel="0" collapsed="false">
      <c r="A10" s="8" t="s">
        <v>97</v>
      </c>
      <c r="B10" s="8" t="s">
        <v>98</v>
      </c>
      <c r="C10" s="8" t="s">
        <v>99</v>
      </c>
      <c r="D10" s="8" t="s">
        <v>100</v>
      </c>
      <c r="E10" s="9" t="n">
        <v>450000</v>
      </c>
      <c r="F10" s="9" t="n">
        <v>450000</v>
      </c>
      <c r="G10" s="9" t="n">
        <f aca="false">IF(AND(ISNUMBER(E10),ISNUMBER(F10)),E10-F10,"No disponible")</f>
        <v>0</v>
      </c>
      <c r="H10" s="8" t="s">
        <v>101</v>
      </c>
      <c r="I10" s="8" t="s">
        <v>56</v>
      </c>
      <c r="J10" s="8" t="s">
        <v>43</v>
      </c>
      <c r="K10" s="8" t="s">
        <v>44</v>
      </c>
      <c r="L10" s="8" t="s">
        <v>45</v>
      </c>
      <c r="M10" s="8" t="s">
        <v>6</v>
      </c>
      <c r="N10" s="8" t="s">
        <v>46</v>
      </c>
      <c r="O10" s="8" t="s">
        <v>102</v>
      </c>
      <c r="P10" s="8" t="s">
        <v>103</v>
      </c>
      <c r="Q10" s="8" t="s">
        <v>59</v>
      </c>
      <c r="R10" s="8" t="s">
        <v>50</v>
      </c>
    </row>
    <row r="11" customFormat="false" ht="32.8" hidden="false" customHeight="false" outlineLevel="0" collapsed="false">
      <c r="A11" s="8" t="s">
        <v>97</v>
      </c>
      <c r="B11" s="8" t="s">
        <v>98</v>
      </c>
      <c r="C11" s="8" t="s">
        <v>112</v>
      </c>
      <c r="D11" s="8" t="s">
        <v>105</v>
      </c>
      <c r="E11" s="9" t="n">
        <v>450000</v>
      </c>
      <c r="F11" s="9" t="n">
        <v>449999</v>
      </c>
      <c r="G11" s="9" t="n">
        <f aca="false">IF(AND(ISNUMBER(E11),ISNUMBER(F11)),E11-F11,"No disponible")</f>
        <v>1</v>
      </c>
      <c r="H11" s="8" t="s">
        <v>113</v>
      </c>
      <c r="I11" s="8" t="s">
        <v>56</v>
      </c>
      <c r="J11" s="8" t="s">
        <v>43</v>
      </c>
      <c r="K11" s="8" t="s">
        <v>114</v>
      </c>
      <c r="L11" s="8" t="s">
        <v>45</v>
      </c>
      <c r="M11" s="8" t="s">
        <v>82</v>
      </c>
      <c r="N11" s="8" t="s">
        <v>46</v>
      </c>
      <c r="O11" s="8" t="s">
        <v>115</v>
      </c>
      <c r="P11" s="8" t="s">
        <v>116</v>
      </c>
      <c r="Q11" s="8" t="s">
        <v>59</v>
      </c>
      <c r="R11" s="8" t="s">
        <v>111</v>
      </c>
    </row>
    <row r="12" customFormat="false" ht="32.8" hidden="false" customHeight="false" outlineLevel="0" collapsed="false">
      <c r="A12" s="8" t="s">
        <v>117</v>
      </c>
      <c r="B12" s="8" t="s">
        <v>118</v>
      </c>
      <c r="C12" s="8" t="s">
        <v>119</v>
      </c>
      <c r="D12" s="8" t="s">
        <v>120</v>
      </c>
      <c r="E12" s="9" t="n">
        <v>792000.02</v>
      </c>
      <c r="F12" s="9" t="n">
        <v>792000</v>
      </c>
      <c r="G12" s="9" t="n">
        <f aca="false">IF(AND(ISNUMBER(E12),ISNUMBER(F12)),E12-F12,"No disponible")</f>
        <v>0.0200000000186265</v>
      </c>
      <c r="H12" s="8" t="s">
        <v>121</v>
      </c>
      <c r="I12" s="8" t="s">
        <v>56</v>
      </c>
      <c r="J12" s="8" t="s">
        <v>43</v>
      </c>
      <c r="K12" s="8" t="s">
        <v>81</v>
      </c>
      <c r="L12" s="8" t="s">
        <v>45</v>
      </c>
      <c r="M12" s="8" t="s">
        <v>82</v>
      </c>
      <c r="N12" s="8" t="s">
        <v>46</v>
      </c>
      <c r="O12" s="8" t="s">
        <v>122</v>
      </c>
      <c r="P12" s="8" t="s">
        <v>123</v>
      </c>
      <c r="Q12" s="8" t="s">
        <v>59</v>
      </c>
      <c r="R12" s="8" t="s">
        <v>50</v>
      </c>
    </row>
    <row r="13" customFormat="false" ht="43.25" hidden="false" customHeight="false" outlineLevel="0" collapsed="false">
      <c r="A13" s="8" t="s">
        <v>124</v>
      </c>
      <c r="B13" s="8" t="s">
        <v>125</v>
      </c>
      <c r="C13" s="8" t="s">
        <v>126</v>
      </c>
      <c r="D13" s="8" t="s">
        <v>127</v>
      </c>
      <c r="E13" s="9" t="n">
        <v>37080</v>
      </c>
      <c r="F13" s="9" t="n">
        <v>37080</v>
      </c>
      <c r="G13" s="9" t="n">
        <f aca="false">IF(AND(ISNUMBER(E13),ISNUMBER(F13)),E13-F13,"No disponible")</f>
        <v>0</v>
      </c>
      <c r="H13" s="8" t="s">
        <v>64</v>
      </c>
      <c r="I13" s="8" t="s">
        <v>56</v>
      </c>
      <c r="J13" s="8" t="s">
        <v>43</v>
      </c>
      <c r="K13" s="8" t="s">
        <v>44</v>
      </c>
      <c r="L13" s="8" t="s">
        <v>45</v>
      </c>
      <c r="M13" s="8" t="s">
        <v>6</v>
      </c>
      <c r="N13" s="8" t="s">
        <v>46</v>
      </c>
      <c r="O13" s="8" t="s">
        <v>128</v>
      </c>
      <c r="P13" s="8" t="s">
        <v>129</v>
      </c>
      <c r="Q13" s="8" t="s">
        <v>59</v>
      </c>
      <c r="R13" s="8" t="s">
        <v>50</v>
      </c>
    </row>
    <row r="14" customFormat="false" ht="22.35" hidden="false" customHeight="false" outlineLevel="0" collapsed="false">
      <c r="A14" s="8" t="s">
        <v>137</v>
      </c>
      <c r="B14" s="8" t="s">
        <v>138</v>
      </c>
      <c r="C14" s="8" t="s">
        <v>139</v>
      </c>
      <c r="D14" s="8" t="s">
        <v>86</v>
      </c>
      <c r="E14" s="9" t="n">
        <v>601985.3</v>
      </c>
      <c r="F14" s="9" t="s">
        <v>87</v>
      </c>
      <c r="G14" s="9" t="str">
        <f aca="false">IF(AND(ISNUMBER(E14),ISNUMBER(F14)),E14-F14,"No disponible")</f>
        <v>No disponible</v>
      </c>
      <c r="H14" s="8" t="s">
        <v>86</v>
      </c>
      <c r="I14" s="8" t="s">
        <v>56</v>
      </c>
      <c r="J14" s="8" t="s">
        <v>87</v>
      </c>
      <c r="K14" s="8" t="s">
        <v>140</v>
      </c>
      <c r="L14" s="8" t="s">
        <v>141</v>
      </c>
      <c r="M14" s="8" t="s">
        <v>82</v>
      </c>
      <c r="N14" s="8" t="s">
        <v>46</v>
      </c>
      <c r="O14" s="8" t="s">
        <v>87</v>
      </c>
      <c r="P14" s="8"/>
      <c r="Q14" s="8" t="s">
        <v>87</v>
      </c>
      <c r="R14" s="8" t="s">
        <v>86</v>
      </c>
    </row>
    <row r="15" customFormat="false" ht="43.25" hidden="false" customHeight="false" outlineLevel="0" collapsed="false">
      <c r="A15" s="8" t="s">
        <v>142</v>
      </c>
      <c r="B15" s="8" t="s">
        <v>143</v>
      </c>
      <c r="C15" s="8" t="s">
        <v>144</v>
      </c>
      <c r="D15" s="8" t="s">
        <v>145</v>
      </c>
      <c r="E15" s="9" t="n">
        <v>138900</v>
      </c>
      <c r="F15" s="9" t="n">
        <v>138900</v>
      </c>
      <c r="G15" s="9" t="n">
        <f aca="false">IF(AND(ISNUMBER(E15),ISNUMBER(F15)),E15-F15,"No disponible")</f>
        <v>0</v>
      </c>
      <c r="H15" s="8" t="s">
        <v>146</v>
      </c>
      <c r="I15" s="8" t="s">
        <v>56</v>
      </c>
      <c r="J15" s="8" t="s">
        <v>43</v>
      </c>
      <c r="K15" s="8" t="s">
        <v>44</v>
      </c>
      <c r="L15" s="8" t="s">
        <v>45</v>
      </c>
      <c r="M15" s="8" t="s">
        <v>6</v>
      </c>
      <c r="N15" s="8" t="s">
        <v>46</v>
      </c>
      <c r="O15" s="8" t="s">
        <v>147</v>
      </c>
      <c r="P15" s="8" t="s">
        <v>148</v>
      </c>
      <c r="Q15" s="8" t="s">
        <v>59</v>
      </c>
      <c r="R15" s="8" t="s">
        <v>50</v>
      </c>
    </row>
    <row r="16" customFormat="false" ht="43.25" hidden="false" customHeight="false" outlineLevel="0" collapsed="false">
      <c r="A16" s="8" t="s">
        <v>149</v>
      </c>
      <c r="B16" s="8" t="s">
        <v>150</v>
      </c>
      <c r="C16" s="8" t="s">
        <v>151</v>
      </c>
      <c r="D16" s="8" t="s">
        <v>152</v>
      </c>
      <c r="E16" s="9" t="n">
        <v>6961500</v>
      </c>
      <c r="F16" s="9" t="n">
        <v>3553875</v>
      </c>
      <c r="G16" s="9" t="n">
        <f aca="false">IF(AND(ISNUMBER(E16),ISNUMBER(F16)),E16-F16,"No disponible")</f>
        <v>3407625</v>
      </c>
      <c r="H16" s="8" t="s">
        <v>153</v>
      </c>
      <c r="I16" s="8" t="s">
        <v>56</v>
      </c>
      <c r="J16" s="8" t="s">
        <v>43</v>
      </c>
      <c r="K16" s="8" t="s">
        <v>81</v>
      </c>
      <c r="L16" s="8" t="s">
        <v>45</v>
      </c>
      <c r="M16" s="8" t="s">
        <v>82</v>
      </c>
      <c r="N16" s="8" t="s">
        <v>46</v>
      </c>
      <c r="O16" s="8" t="s">
        <v>154</v>
      </c>
      <c r="P16" s="8" t="s">
        <v>155</v>
      </c>
      <c r="Q16" s="8" t="s">
        <v>59</v>
      </c>
      <c r="R16" s="8" t="s">
        <v>50</v>
      </c>
    </row>
    <row r="17" customFormat="false" ht="43.25" hidden="false" customHeight="false" outlineLevel="0" collapsed="false">
      <c r="A17" s="8" t="s">
        <v>156</v>
      </c>
      <c r="B17" s="8" t="s">
        <v>157</v>
      </c>
      <c r="C17" s="8" t="s">
        <v>158</v>
      </c>
      <c r="D17" s="8" t="s">
        <v>159</v>
      </c>
      <c r="E17" s="9" t="n">
        <v>561300</v>
      </c>
      <c r="F17" s="9" t="n">
        <v>561300</v>
      </c>
      <c r="G17" s="9" t="n">
        <f aca="false">IF(AND(ISNUMBER(E17),ISNUMBER(F17)),E17-F17,"No disponible")</f>
        <v>0</v>
      </c>
      <c r="H17" s="8" t="s">
        <v>160</v>
      </c>
      <c r="I17" s="8" t="s">
        <v>56</v>
      </c>
      <c r="J17" s="8" t="s">
        <v>43</v>
      </c>
      <c r="K17" s="8" t="s">
        <v>44</v>
      </c>
      <c r="L17" s="8" t="s">
        <v>45</v>
      </c>
      <c r="M17" s="8" t="s">
        <v>6</v>
      </c>
      <c r="N17" s="8" t="s">
        <v>46</v>
      </c>
      <c r="O17" s="8" t="s">
        <v>161</v>
      </c>
      <c r="P17" s="8" t="s">
        <v>162</v>
      </c>
      <c r="Q17" s="8" t="s">
        <v>59</v>
      </c>
      <c r="R17" s="8" t="s">
        <v>50</v>
      </c>
    </row>
    <row r="18" customFormat="false" ht="43.25" hidden="false" customHeight="false" outlineLevel="0" collapsed="false">
      <c r="A18" s="8" t="s">
        <v>163</v>
      </c>
      <c r="B18" s="8" t="s">
        <v>164</v>
      </c>
      <c r="C18" s="8" t="s">
        <v>165</v>
      </c>
      <c r="D18" s="8" t="s">
        <v>166</v>
      </c>
      <c r="E18" s="9" t="n">
        <v>1620000</v>
      </c>
      <c r="F18" s="9" t="n">
        <v>1620000</v>
      </c>
      <c r="G18" s="9" t="n">
        <f aca="false">IF(AND(ISNUMBER(E18),ISNUMBER(F18)),E18-F18,"No disponible")</f>
        <v>0</v>
      </c>
      <c r="H18" s="8" t="s">
        <v>167</v>
      </c>
      <c r="I18" s="8" t="s">
        <v>42</v>
      </c>
      <c r="J18" s="8" t="s">
        <v>43</v>
      </c>
      <c r="K18" s="8" t="s">
        <v>44</v>
      </c>
      <c r="L18" s="8" t="s">
        <v>45</v>
      </c>
      <c r="M18" s="8" t="s">
        <v>6</v>
      </c>
      <c r="N18" s="8" t="s">
        <v>46</v>
      </c>
      <c r="O18" s="8" t="s">
        <v>168</v>
      </c>
      <c r="P18" s="8" t="s">
        <v>169</v>
      </c>
      <c r="Q18" s="8" t="s">
        <v>59</v>
      </c>
      <c r="R18" s="8" t="s">
        <v>50</v>
      </c>
    </row>
    <row r="19" customFormat="false" ht="43.25" hidden="false" customHeight="false" outlineLevel="0" collapsed="false">
      <c r="A19" s="8" t="s">
        <v>163</v>
      </c>
      <c r="B19" s="8" t="s">
        <v>164</v>
      </c>
      <c r="C19" s="8" t="s">
        <v>170</v>
      </c>
      <c r="D19" s="8" t="s">
        <v>171</v>
      </c>
      <c r="E19" s="9" t="n">
        <v>3000000</v>
      </c>
      <c r="F19" s="9" t="n">
        <v>3000000</v>
      </c>
      <c r="G19" s="9" t="n">
        <f aca="false">IF(AND(ISNUMBER(E19),ISNUMBER(F19)),E19-F19,"No disponible")</f>
        <v>0</v>
      </c>
      <c r="H19" s="8" t="s">
        <v>172</v>
      </c>
      <c r="I19" s="8" t="s">
        <v>42</v>
      </c>
      <c r="J19" s="8" t="s">
        <v>43</v>
      </c>
      <c r="K19" s="8" t="s">
        <v>44</v>
      </c>
      <c r="L19" s="8" t="s">
        <v>45</v>
      </c>
      <c r="M19" s="8" t="s">
        <v>6</v>
      </c>
      <c r="N19" s="8" t="s">
        <v>46</v>
      </c>
      <c r="O19" s="8" t="s">
        <v>173</v>
      </c>
      <c r="P19" s="8" t="s">
        <v>174</v>
      </c>
      <c r="Q19" s="8" t="s">
        <v>59</v>
      </c>
      <c r="R19" s="8" t="s">
        <v>50</v>
      </c>
    </row>
    <row r="20" customFormat="false" ht="64.15" hidden="false" customHeight="false" outlineLevel="0" collapsed="false">
      <c r="A20" s="8" t="s">
        <v>163</v>
      </c>
      <c r="B20" s="8" t="s">
        <v>164</v>
      </c>
      <c r="C20" s="8" t="s">
        <v>175</v>
      </c>
      <c r="D20" s="8" t="s">
        <v>176</v>
      </c>
      <c r="E20" s="9" t="n">
        <v>636500</v>
      </c>
      <c r="F20" s="9" t="n">
        <v>636500</v>
      </c>
      <c r="G20" s="9" t="n">
        <f aca="false">IF(AND(ISNUMBER(E20),ISNUMBER(F20)),E20-F20,"No disponible")</f>
        <v>0</v>
      </c>
      <c r="H20" s="8" t="s">
        <v>177</v>
      </c>
      <c r="I20" s="8" t="s">
        <v>42</v>
      </c>
      <c r="J20" s="8" t="s">
        <v>43</v>
      </c>
      <c r="K20" s="8" t="s">
        <v>44</v>
      </c>
      <c r="L20" s="8" t="s">
        <v>45</v>
      </c>
      <c r="M20" s="8" t="s">
        <v>6</v>
      </c>
      <c r="N20" s="8" t="s">
        <v>46</v>
      </c>
      <c r="O20" s="8" t="s">
        <v>178</v>
      </c>
      <c r="P20" s="8" t="s">
        <v>179</v>
      </c>
      <c r="Q20" s="8" t="s">
        <v>59</v>
      </c>
      <c r="R20" s="8" t="s">
        <v>50</v>
      </c>
    </row>
    <row r="21" customFormat="false" ht="32.8" hidden="false" customHeight="false" outlineLevel="0" collapsed="false">
      <c r="A21" s="8" t="s">
        <v>187</v>
      </c>
      <c r="B21" s="8" t="s">
        <v>188</v>
      </c>
      <c r="C21" s="8" t="s">
        <v>189</v>
      </c>
      <c r="D21" s="8" t="s">
        <v>127</v>
      </c>
      <c r="E21" s="9" t="n">
        <v>24000</v>
      </c>
      <c r="F21" s="9" t="n">
        <v>24000</v>
      </c>
      <c r="G21" s="9" t="n">
        <f aca="false">IF(AND(ISNUMBER(E21),ISNUMBER(F21)),E21-F21,"No disponible")</f>
        <v>0</v>
      </c>
      <c r="H21" s="8" t="s">
        <v>64</v>
      </c>
      <c r="I21" s="8" t="s">
        <v>56</v>
      </c>
      <c r="J21" s="8" t="s">
        <v>43</v>
      </c>
      <c r="K21" s="8" t="s">
        <v>190</v>
      </c>
      <c r="L21" s="8" t="s">
        <v>45</v>
      </c>
      <c r="M21" s="8" t="s">
        <v>6</v>
      </c>
      <c r="N21" s="8" t="s">
        <v>46</v>
      </c>
      <c r="O21" s="8" t="s">
        <v>191</v>
      </c>
      <c r="P21" s="8" t="s">
        <v>192</v>
      </c>
      <c r="Q21" s="8" t="s">
        <v>193</v>
      </c>
      <c r="R21" s="8" t="s">
        <v>50</v>
      </c>
    </row>
    <row r="22" customFormat="false" ht="43.25" hidden="false" customHeight="false" outlineLevel="0" collapsed="false">
      <c r="A22" s="8" t="s">
        <v>187</v>
      </c>
      <c r="B22" s="8" t="s">
        <v>188</v>
      </c>
      <c r="C22" s="8" t="s">
        <v>194</v>
      </c>
      <c r="D22" s="8" t="s">
        <v>127</v>
      </c>
      <c r="E22" s="9" t="n">
        <v>26000</v>
      </c>
      <c r="F22" s="9" t="n">
        <v>26000</v>
      </c>
      <c r="G22" s="9" t="n">
        <f aca="false">IF(AND(ISNUMBER(E22),ISNUMBER(F22)),E22-F22,"No disponible")</f>
        <v>0</v>
      </c>
      <c r="H22" s="8" t="s">
        <v>64</v>
      </c>
      <c r="I22" s="8" t="s">
        <v>56</v>
      </c>
      <c r="J22" s="8" t="s">
        <v>43</v>
      </c>
      <c r="K22" s="8" t="s">
        <v>44</v>
      </c>
      <c r="L22" s="8" t="s">
        <v>45</v>
      </c>
      <c r="M22" s="8" t="s">
        <v>6</v>
      </c>
      <c r="N22" s="8" t="s">
        <v>46</v>
      </c>
      <c r="O22" s="8" t="s">
        <v>195</v>
      </c>
      <c r="P22" s="8" t="s">
        <v>196</v>
      </c>
      <c r="Q22" s="8" t="s">
        <v>59</v>
      </c>
      <c r="R22" s="8" t="s">
        <v>50</v>
      </c>
    </row>
    <row r="23" customFormat="false" ht="22.35" hidden="false" customHeight="false" outlineLevel="0" collapsed="false">
      <c r="A23" s="8" t="s">
        <v>187</v>
      </c>
      <c r="B23" s="8" t="s">
        <v>188</v>
      </c>
      <c r="C23" s="8" t="s">
        <v>197</v>
      </c>
      <c r="D23" s="8" t="s">
        <v>86</v>
      </c>
      <c r="E23" s="9" t="n">
        <v>10000</v>
      </c>
      <c r="F23" s="9" t="s">
        <v>87</v>
      </c>
      <c r="G23" s="9" t="str">
        <f aca="false">IF(AND(ISNUMBER(E23),ISNUMBER(F23)),E23-F23,"No disponible")</f>
        <v>No disponible</v>
      </c>
      <c r="H23" s="8" t="s">
        <v>86</v>
      </c>
      <c r="I23" s="8" t="s">
        <v>56</v>
      </c>
      <c r="J23" s="8" t="s">
        <v>87</v>
      </c>
      <c r="K23" s="8" t="s">
        <v>88</v>
      </c>
      <c r="L23" s="8" t="s">
        <v>89</v>
      </c>
      <c r="M23" s="8" t="s">
        <v>82</v>
      </c>
      <c r="N23" s="8" t="s">
        <v>46</v>
      </c>
      <c r="O23" s="8" t="s">
        <v>87</v>
      </c>
      <c r="P23" s="8"/>
      <c r="Q23" s="8" t="s">
        <v>87</v>
      </c>
      <c r="R23" s="8" t="s">
        <v>86</v>
      </c>
    </row>
    <row r="24" customFormat="false" ht="43.25" hidden="false" customHeight="false" outlineLevel="0" collapsed="false">
      <c r="A24" s="8" t="s">
        <v>198</v>
      </c>
      <c r="B24" s="8" t="s">
        <v>199</v>
      </c>
      <c r="C24" s="8" t="s">
        <v>200</v>
      </c>
      <c r="D24" s="8" t="s">
        <v>201</v>
      </c>
      <c r="E24" s="9" t="n">
        <v>2023000</v>
      </c>
      <c r="F24" s="9" t="n">
        <v>2023000</v>
      </c>
      <c r="G24" s="9" t="n">
        <f aca="false">IF(AND(ISNUMBER(E24),ISNUMBER(F24)),E24-F24,"No disponible")</f>
        <v>0</v>
      </c>
      <c r="H24" s="8" t="s">
        <v>202</v>
      </c>
      <c r="I24" s="8" t="s">
        <v>56</v>
      </c>
      <c r="J24" s="8" t="s">
        <v>43</v>
      </c>
      <c r="K24" s="8" t="s">
        <v>44</v>
      </c>
      <c r="L24" s="8" t="s">
        <v>45</v>
      </c>
      <c r="M24" s="8" t="s">
        <v>6</v>
      </c>
      <c r="N24" s="8" t="s">
        <v>46</v>
      </c>
      <c r="O24" s="8" t="s">
        <v>203</v>
      </c>
      <c r="P24" s="8" t="s">
        <v>204</v>
      </c>
      <c r="Q24" s="8" t="s">
        <v>59</v>
      </c>
      <c r="R24" s="8" t="s">
        <v>50</v>
      </c>
    </row>
    <row r="25" customFormat="false" ht="43.25" hidden="false" customHeight="false" outlineLevel="0" collapsed="false">
      <c r="A25" s="8" t="s">
        <v>205</v>
      </c>
      <c r="B25" s="8" t="s">
        <v>206</v>
      </c>
      <c r="C25" s="8" t="s">
        <v>207</v>
      </c>
      <c r="D25" s="8" t="s">
        <v>93</v>
      </c>
      <c r="E25" s="9" t="n">
        <v>178364</v>
      </c>
      <c r="F25" s="9" t="n">
        <v>178364</v>
      </c>
      <c r="G25" s="9" t="n">
        <f aca="false">IF(AND(ISNUMBER(E25),ISNUMBER(F25)),E25-F25,"No disponible")</f>
        <v>0</v>
      </c>
      <c r="H25" s="8" t="s">
        <v>208</v>
      </c>
      <c r="I25" s="8" t="s">
        <v>56</v>
      </c>
      <c r="J25" s="8" t="s">
        <v>43</v>
      </c>
      <c r="K25" s="8" t="s">
        <v>44</v>
      </c>
      <c r="L25" s="8" t="s">
        <v>45</v>
      </c>
      <c r="M25" s="8" t="s">
        <v>6</v>
      </c>
      <c r="N25" s="8" t="s">
        <v>46</v>
      </c>
      <c r="O25" s="8" t="s">
        <v>209</v>
      </c>
      <c r="P25" s="8" t="s">
        <v>210</v>
      </c>
      <c r="Q25" s="8" t="s">
        <v>59</v>
      </c>
      <c r="R25" s="8" t="s">
        <v>50</v>
      </c>
    </row>
    <row r="26" customFormat="false" ht="43.25" hidden="false" customHeight="false" outlineLevel="0" collapsed="false">
      <c r="A26" s="8" t="s">
        <v>211</v>
      </c>
      <c r="B26" s="8" t="s">
        <v>212</v>
      </c>
      <c r="C26" s="8" t="s">
        <v>213</v>
      </c>
      <c r="D26" s="8" t="s">
        <v>93</v>
      </c>
      <c r="E26" s="9" t="n">
        <v>942994</v>
      </c>
      <c r="F26" s="9" t="n">
        <v>942994</v>
      </c>
      <c r="G26" s="9" t="n">
        <f aca="false">IF(AND(ISNUMBER(E26),ISNUMBER(F26)),E26-F26,"No disponible")</f>
        <v>0</v>
      </c>
      <c r="H26" s="8" t="s">
        <v>214</v>
      </c>
      <c r="I26" s="8" t="s">
        <v>56</v>
      </c>
      <c r="J26" s="8" t="s">
        <v>43</v>
      </c>
      <c r="K26" s="8" t="s">
        <v>44</v>
      </c>
      <c r="L26" s="8" t="s">
        <v>45</v>
      </c>
      <c r="M26" s="8" t="s">
        <v>6</v>
      </c>
      <c r="N26" s="8" t="s">
        <v>46</v>
      </c>
      <c r="O26" s="8" t="s">
        <v>215</v>
      </c>
      <c r="P26" s="8" t="s">
        <v>216</v>
      </c>
      <c r="Q26" s="8" t="s">
        <v>59</v>
      </c>
      <c r="R26" s="8" t="s">
        <v>50</v>
      </c>
    </row>
    <row r="27" customFormat="false" ht="43.25" hidden="false" customHeight="false" outlineLevel="0" collapsed="false">
      <c r="A27" s="8" t="s">
        <v>217</v>
      </c>
      <c r="B27" s="8" t="s">
        <v>218</v>
      </c>
      <c r="C27" s="8" t="s">
        <v>219</v>
      </c>
      <c r="D27" s="8" t="s">
        <v>220</v>
      </c>
      <c r="E27" s="9" t="n">
        <v>11480000</v>
      </c>
      <c r="F27" s="9" t="n">
        <v>11480000</v>
      </c>
      <c r="G27" s="9" t="n">
        <f aca="false">IF(AND(ISNUMBER(E27),ISNUMBER(F27)),E27-F27,"No disponible")</f>
        <v>0</v>
      </c>
      <c r="H27" s="8" t="s">
        <v>221</v>
      </c>
      <c r="I27" s="8" t="s">
        <v>42</v>
      </c>
      <c r="J27" s="8" t="s">
        <v>43</v>
      </c>
      <c r="K27" s="8" t="s">
        <v>44</v>
      </c>
      <c r="L27" s="8" t="s">
        <v>45</v>
      </c>
      <c r="M27" s="8" t="s">
        <v>6</v>
      </c>
      <c r="N27" s="8" t="s">
        <v>46</v>
      </c>
      <c r="O27" s="8" t="s">
        <v>222</v>
      </c>
      <c r="P27" s="8" t="s">
        <v>223</v>
      </c>
      <c r="Q27" s="8" t="s">
        <v>59</v>
      </c>
      <c r="R27" s="8" t="s">
        <v>50</v>
      </c>
    </row>
    <row r="28" customFormat="false" ht="43.25" hidden="false" customHeight="false" outlineLevel="0" collapsed="false">
      <c r="A28" s="8" t="s">
        <v>224</v>
      </c>
      <c r="B28" s="8" t="s">
        <v>225</v>
      </c>
      <c r="C28" s="8" t="s">
        <v>226</v>
      </c>
      <c r="D28" s="8" t="s">
        <v>227</v>
      </c>
      <c r="E28" s="9" t="n">
        <v>20000</v>
      </c>
      <c r="F28" s="9" t="n">
        <v>20000</v>
      </c>
      <c r="G28" s="9" t="n">
        <f aca="false">IF(AND(ISNUMBER(E28),ISNUMBER(F28)),E28-F28,"No disponible")</f>
        <v>0</v>
      </c>
      <c r="H28" s="8" t="s">
        <v>64</v>
      </c>
      <c r="I28" s="8" t="s">
        <v>56</v>
      </c>
      <c r="J28" s="8" t="s">
        <v>43</v>
      </c>
      <c r="K28" s="8" t="s">
        <v>44</v>
      </c>
      <c r="L28" s="8" t="s">
        <v>45</v>
      </c>
      <c r="M28" s="8" t="s">
        <v>6</v>
      </c>
      <c r="N28" s="8" t="s">
        <v>46</v>
      </c>
      <c r="O28" s="8" t="s">
        <v>228</v>
      </c>
      <c r="P28" s="8" t="s">
        <v>229</v>
      </c>
      <c r="Q28" s="8" t="s">
        <v>59</v>
      </c>
      <c r="R28" s="8" t="s">
        <v>50</v>
      </c>
    </row>
    <row r="29" customFormat="false" ht="43.25" hidden="false" customHeight="false" outlineLevel="0" collapsed="false">
      <c r="A29" s="8" t="s">
        <v>230</v>
      </c>
      <c r="B29" s="8" t="s">
        <v>231</v>
      </c>
      <c r="C29" s="8" t="s">
        <v>232</v>
      </c>
      <c r="D29" s="8" t="s">
        <v>100</v>
      </c>
      <c r="E29" s="9" t="n">
        <v>145000</v>
      </c>
      <c r="F29" s="9" t="n">
        <v>145000</v>
      </c>
      <c r="G29" s="9" t="n">
        <f aca="false">IF(AND(ISNUMBER(E29),ISNUMBER(F29)),E29-F29,"No disponible")</f>
        <v>0</v>
      </c>
      <c r="H29" s="8" t="s">
        <v>233</v>
      </c>
      <c r="I29" s="8" t="s">
        <v>42</v>
      </c>
      <c r="J29" s="8" t="s">
        <v>43</v>
      </c>
      <c r="K29" s="8" t="s">
        <v>44</v>
      </c>
      <c r="L29" s="8" t="s">
        <v>45</v>
      </c>
      <c r="M29" s="8" t="s">
        <v>6</v>
      </c>
      <c r="N29" s="8" t="s">
        <v>46</v>
      </c>
      <c r="O29" s="8" t="s">
        <v>234</v>
      </c>
      <c r="P29" s="8" t="s">
        <v>235</v>
      </c>
      <c r="Q29" s="8" t="s">
        <v>49</v>
      </c>
      <c r="R29" s="8" t="s">
        <v>50</v>
      </c>
    </row>
    <row r="30" customFormat="false" ht="22.35" hidden="false" customHeight="false" outlineLevel="0" collapsed="false">
      <c r="A30" s="8" t="s">
        <v>236</v>
      </c>
      <c r="B30" s="8" t="s">
        <v>237</v>
      </c>
      <c r="C30" s="8" t="s">
        <v>238</v>
      </c>
      <c r="D30" s="8" t="s">
        <v>86</v>
      </c>
      <c r="E30" s="9" t="n">
        <v>137076.57</v>
      </c>
      <c r="F30" s="9" t="s">
        <v>87</v>
      </c>
      <c r="G30" s="9" t="str">
        <f aca="false">IF(AND(ISNUMBER(E30),ISNUMBER(F30)),E30-F30,"No disponible")</f>
        <v>No disponible</v>
      </c>
      <c r="H30" s="8" t="s">
        <v>86</v>
      </c>
      <c r="I30" s="8" t="s">
        <v>56</v>
      </c>
      <c r="J30" s="8" t="s">
        <v>87</v>
      </c>
      <c r="K30" s="8" t="s">
        <v>88</v>
      </c>
      <c r="L30" s="8" t="s">
        <v>89</v>
      </c>
      <c r="M30" s="8" t="s">
        <v>82</v>
      </c>
      <c r="N30" s="8" t="s">
        <v>46</v>
      </c>
      <c r="O30" s="8" t="s">
        <v>87</v>
      </c>
      <c r="P30" s="8"/>
      <c r="Q30" s="8" t="s">
        <v>87</v>
      </c>
      <c r="R30" s="8" t="s">
        <v>86</v>
      </c>
    </row>
    <row r="31" customFormat="false" ht="43.25" hidden="false" customHeight="false" outlineLevel="0" collapsed="false">
      <c r="A31" s="8" t="s">
        <v>239</v>
      </c>
      <c r="B31" s="8" t="s">
        <v>240</v>
      </c>
      <c r="C31" s="8" t="s">
        <v>241</v>
      </c>
      <c r="D31" s="8" t="s">
        <v>127</v>
      </c>
      <c r="E31" s="9" t="n">
        <v>1730560</v>
      </c>
      <c r="F31" s="9" t="n">
        <v>1730560</v>
      </c>
      <c r="G31" s="9" t="n">
        <f aca="false">IF(AND(ISNUMBER(E31),ISNUMBER(F31)),E31-F31,"No disponible")</f>
        <v>0</v>
      </c>
      <c r="H31" s="8" t="s">
        <v>64</v>
      </c>
      <c r="I31" s="8" t="s">
        <v>42</v>
      </c>
      <c r="J31" s="8" t="s">
        <v>43</v>
      </c>
      <c r="K31" s="8" t="s">
        <v>44</v>
      </c>
      <c r="L31" s="8" t="s">
        <v>45</v>
      </c>
      <c r="M31" s="8" t="s">
        <v>6</v>
      </c>
      <c r="N31" s="8" t="s">
        <v>46</v>
      </c>
      <c r="O31" s="8" t="s">
        <v>242</v>
      </c>
      <c r="P31" s="8" t="s">
        <v>243</v>
      </c>
      <c r="Q31" s="8" t="s">
        <v>59</v>
      </c>
      <c r="R31" s="8" t="s">
        <v>50</v>
      </c>
    </row>
    <row r="32" customFormat="false" ht="43.25" hidden="false" customHeight="false" outlineLevel="0" collapsed="false">
      <c r="A32" s="8" t="s">
        <v>239</v>
      </c>
      <c r="B32" s="8" t="s">
        <v>240</v>
      </c>
      <c r="C32" s="8" t="s">
        <v>244</v>
      </c>
      <c r="D32" s="8" t="s">
        <v>127</v>
      </c>
      <c r="E32" s="9" t="n">
        <v>1732000</v>
      </c>
      <c r="F32" s="9" t="n">
        <v>1732000</v>
      </c>
      <c r="G32" s="9" t="n">
        <f aca="false">IF(AND(ISNUMBER(E32),ISNUMBER(F32)),E32-F32,"No disponible")</f>
        <v>0</v>
      </c>
      <c r="H32" s="8" t="s">
        <v>64</v>
      </c>
      <c r="I32" s="8" t="s">
        <v>42</v>
      </c>
      <c r="J32" s="8" t="s">
        <v>43</v>
      </c>
      <c r="K32" s="8" t="s">
        <v>44</v>
      </c>
      <c r="L32" s="8" t="s">
        <v>45</v>
      </c>
      <c r="M32" s="8" t="s">
        <v>6</v>
      </c>
      <c r="N32" s="8" t="s">
        <v>46</v>
      </c>
      <c r="O32" s="8" t="s">
        <v>245</v>
      </c>
      <c r="P32" s="8" t="s">
        <v>246</v>
      </c>
      <c r="Q32" s="8" t="s">
        <v>59</v>
      </c>
      <c r="R32" s="8" t="s">
        <v>50</v>
      </c>
    </row>
    <row r="33" customFormat="false" ht="43.25" hidden="false" customHeight="false" outlineLevel="0" collapsed="false">
      <c r="A33" s="8" t="s">
        <v>247</v>
      </c>
      <c r="B33" s="8" t="s">
        <v>248</v>
      </c>
      <c r="C33" s="8" t="s">
        <v>249</v>
      </c>
      <c r="D33" s="8" t="s">
        <v>127</v>
      </c>
      <c r="E33" s="9" t="n">
        <v>79000</v>
      </c>
      <c r="F33" s="9" t="n">
        <v>79000</v>
      </c>
      <c r="G33" s="9" t="n">
        <f aca="false">IF(AND(ISNUMBER(E33),ISNUMBER(F33)),E33-F33,"No disponible")</f>
        <v>0</v>
      </c>
      <c r="H33" s="8" t="s">
        <v>64</v>
      </c>
      <c r="I33" s="8" t="s">
        <v>42</v>
      </c>
      <c r="J33" s="8" t="s">
        <v>43</v>
      </c>
      <c r="K33" s="8" t="s">
        <v>44</v>
      </c>
      <c r="L33" s="8" t="s">
        <v>45</v>
      </c>
      <c r="M33" s="8" t="s">
        <v>6</v>
      </c>
      <c r="N33" s="8" t="s">
        <v>46</v>
      </c>
      <c r="O33" s="8" t="s">
        <v>250</v>
      </c>
      <c r="P33" s="8" t="s">
        <v>251</v>
      </c>
      <c r="Q33" s="8" t="s">
        <v>59</v>
      </c>
      <c r="R33" s="8" t="s">
        <v>50</v>
      </c>
    </row>
    <row r="34" customFormat="false" ht="43.25" hidden="false" customHeight="false" outlineLevel="0" collapsed="false">
      <c r="A34" s="8" t="s">
        <v>247</v>
      </c>
      <c r="B34" s="8" t="s">
        <v>248</v>
      </c>
      <c r="C34" s="8" t="s">
        <v>252</v>
      </c>
      <c r="D34" s="8" t="s">
        <v>127</v>
      </c>
      <c r="E34" s="9" t="n">
        <v>119000</v>
      </c>
      <c r="F34" s="9" t="n">
        <v>119000</v>
      </c>
      <c r="G34" s="9" t="n">
        <f aca="false">IF(AND(ISNUMBER(E34),ISNUMBER(F34)),E34-F34,"No disponible")</f>
        <v>0</v>
      </c>
      <c r="H34" s="8" t="s">
        <v>64</v>
      </c>
      <c r="I34" s="8" t="s">
        <v>42</v>
      </c>
      <c r="J34" s="8" t="s">
        <v>43</v>
      </c>
      <c r="K34" s="8" t="s">
        <v>44</v>
      </c>
      <c r="L34" s="8" t="s">
        <v>45</v>
      </c>
      <c r="M34" s="8" t="s">
        <v>6</v>
      </c>
      <c r="N34" s="8" t="s">
        <v>46</v>
      </c>
      <c r="O34" s="8" t="s">
        <v>253</v>
      </c>
      <c r="P34" s="8" t="s">
        <v>254</v>
      </c>
      <c r="Q34" s="8" t="s">
        <v>59</v>
      </c>
      <c r="R34" s="8" t="s">
        <v>50</v>
      </c>
    </row>
    <row r="35" customFormat="false" ht="43.25" hidden="false" customHeight="false" outlineLevel="0" collapsed="false">
      <c r="A35" s="8" t="s">
        <v>247</v>
      </c>
      <c r="B35" s="8" t="s">
        <v>248</v>
      </c>
      <c r="C35" s="8" t="s">
        <v>255</v>
      </c>
      <c r="D35" s="8" t="s">
        <v>127</v>
      </c>
      <c r="E35" s="9" t="n">
        <v>316000</v>
      </c>
      <c r="F35" s="9" t="n">
        <v>316000</v>
      </c>
      <c r="G35" s="9" t="n">
        <f aca="false">IF(AND(ISNUMBER(E35),ISNUMBER(F35)),E35-F35,"No disponible")</f>
        <v>0</v>
      </c>
      <c r="H35" s="8" t="s">
        <v>64</v>
      </c>
      <c r="I35" s="8" t="s">
        <v>42</v>
      </c>
      <c r="J35" s="8" t="s">
        <v>43</v>
      </c>
      <c r="K35" s="8" t="s">
        <v>44</v>
      </c>
      <c r="L35" s="8" t="s">
        <v>45</v>
      </c>
      <c r="M35" s="8" t="s">
        <v>6</v>
      </c>
      <c r="N35" s="8" t="s">
        <v>46</v>
      </c>
      <c r="O35" s="8" t="s">
        <v>256</v>
      </c>
      <c r="P35" s="8" t="s">
        <v>257</v>
      </c>
      <c r="Q35" s="8" t="s">
        <v>59</v>
      </c>
      <c r="R35" s="8" t="s">
        <v>50</v>
      </c>
    </row>
    <row r="36" customFormat="false" ht="43.25" hidden="false" customHeight="false" outlineLevel="0" collapsed="false">
      <c r="A36" s="8" t="s">
        <v>258</v>
      </c>
      <c r="B36" s="8" t="s">
        <v>259</v>
      </c>
      <c r="C36" s="8" t="s">
        <v>260</v>
      </c>
      <c r="D36" s="8" t="s">
        <v>127</v>
      </c>
      <c r="E36" s="9" t="n">
        <v>2400</v>
      </c>
      <c r="F36" s="9" t="n">
        <v>2400</v>
      </c>
      <c r="G36" s="9" t="n">
        <f aca="false">IF(AND(ISNUMBER(E36),ISNUMBER(F36)),E36-F36,"No disponible")</f>
        <v>0</v>
      </c>
      <c r="H36" s="8" t="s">
        <v>64</v>
      </c>
      <c r="I36" s="8" t="s">
        <v>42</v>
      </c>
      <c r="J36" s="8" t="s">
        <v>43</v>
      </c>
      <c r="K36" s="8" t="s">
        <v>44</v>
      </c>
      <c r="L36" s="8" t="s">
        <v>45</v>
      </c>
      <c r="M36" s="8" t="s">
        <v>6</v>
      </c>
      <c r="N36" s="8" t="s">
        <v>46</v>
      </c>
      <c r="O36" s="8" t="s">
        <v>261</v>
      </c>
      <c r="P36" s="8" t="s">
        <v>262</v>
      </c>
      <c r="Q36" s="8" t="s">
        <v>49</v>
      </c>
      <c r="R36" s="8" t="s">
        <v>50</v>
      </c>
    </row>
    <row r="37" customFormat="false" ht="43.25" hidden="false" customHeight="false" outlineLevel="0" collapsed="false">
      <c r="A37" s="8" t="s">
        <v>263</v>
      </c>
      <c r="B37" s="8" t="s">
        <v>264</v>
      </c>
      <c r="C37" s="8" t="s">
        <v>265</v>
      </c>
      <c r="D37" s="8" t="s">
        <v>266</v>
      </c>
      <c r="E37" s="9" t="n">
        <v>6999152</v>
      </c>
      <c r="F37" s="9" t="n">
        <v>6999152</v>
      </c>
      <c r="G37" s="9" t="n">
        <f aca="false">IF(AND(ISNUMBER(E37),ISNUMBER(F37)),E37-F37,"No disponible")</f>
        <v>0</v>
      </c>
      <c r="H37" s="8" t="s">
        <v>267</v>
      </c>
      <c r="I37" s="8" t="s">
        <v>56</v>
      </c>
      <c r="J37" s="8" t="s">
        <v>43</v>
      </c>
      <c r="K37" s="8" t="s">
        <v>44</v>
      </c>
      <c r="L37" s="8" t="s">
        <v>45</v>
      </c>
      <c r="M37" s="8" t="s">
        <v>6</v>
      </c>
      <c r="N37" s="8" t="s">
        <v>46</v>
      </c>
      <c r="O37" s="8" t="s">
        <v>268</v>
      </c>
      <c r="P37" s="8" t="s">
        <v>269</v>
      </c>
      <c r="Q37" s="8" t="s">
        <v>59</v>
      </c>
      <c r="R37" s="8" t="s">
        <v>50</v>
      </c>
    </row>
    <row r="38" customFormat="false" ht="32.8" hidden="false" customHeight="false" outlineLevel="0" collapsed="false">
      <c r="A38" s="8" t="s">
        <v>270</v>
      </c>
      <c r="B38" s="8" t="s">
        <v>271</v>
      </c>
      <c r="C38" s="8" t="s">
        <v>272</v>
      </c>
      <c r="D38" s="8" t="s">
        <v>93</v>
      </c>
      <c r="E38" s="9" t="n">
        <v>142949.94</v>
      </c>
      <c r="F38" s="9" t="n">
        <v>142950</v>
      </c>
      <c r="G38" s="9" t="n">
        <f aca="false">IF(AND(ISNUMBER(E38),ISNUMBER(F38)),E38-F38,"No disponible")</f>
        <v>-0.0599999999976717</v>
      </c>
      <c r="H38" s="8" t="s">
        <v>273</v>
      </c>
      <c r="I38" s="8" t="s">
        <v>56</v>
      </c>
      <c r="J38" s="8" t="s">
        <v>43</v>
      </c>
      <c r="K38" s="8" t="s">
        <v>81</v>
      </c>
      <c r="L38" s="8" t="s">
        <v>45</v>
      </c>
      <c r="M38" s="8" t="s">
        <v>82</v>
      </c>
      <c r="N38" s="8" t="s">
        <v>46</v>
      </c>
      <c r="O38" s="8" t="s">
        <v>274</v>
      </c>
      <c r="P38" s="8" t="s">
        <v>275</v>
      </c>
      <c r="Q38" s="8" t="s">
        <v>59</v>
      </c>
      <c r="R38" s="8" t="s">
        <v>50</v>
      </c>
    </row>
    <row r="39" customFormat="false" ht="43.25" hidden="false" customHeight="false" outlineLevel="0" collapsed="false">
      <c r="A39" s="8" t="s">
        <v>276</v>
      </c>
      <c r="B39" s="8" t="s">
        <v>277</v>
      </c>
      <c r="C39" s="8" t="s">
        <v>278</v>
      </c>
      <c r="D39" s="8" t="s">
        <v>127</v>
      </c>
      <c r="E39" s="9" t="n">
        <v>133000</v>
      </c>
      <c r="F39" s="9" t="n">
        <v>133000</v>
      </c>
      <c r="G39" s="9" t="n">
        <f aca="false">IF(AND(ISNUMBER(E39),ISNUMBER(F39)),E39-F39,"No disponible")</f>
        <v>0</v>
      </c>
      <c r="H39" s="8" t="s">
        <v>64</v>
      </c>
      <c r="I39" s="8" t="s">
        <v>42</v>
      </c>
      <c r="J39" s="8" t="s">
        <v>43</v>
      </c>
      <c r="K39" s="8" t="s">
        <v>44</v>
      </c>
      <c r="L39" s="8" t="s">
        <v>45</v>
      </c>
      <c r="M39" s="8" t="s">
        <v>6</v>
      </c>
      <c r="N39" s="8" t="s">
        <v>46</v>
      </c>
      <c r="O39" s="8" t="s">
        <v>279</v>
      </c>
      <c r="P39" s="8" t="s">
        <v>280</v>
      </c>
      <c r="Q39" s="8" t="s">
        <v>49</v>
      </c>
      <c r="R39" s="8" t="s">
        <v>50</v>
      </c>
    </row>
    <row r="40" customFormat="false" ht="32.8" hidden="false" customHeight="false" outlineLevel="0" collapsed="false">
      <c r="A40" s="8" t="s">
        <v>281</v>
      </c>
      <c r="B40" s="8" t="s">
        <v>282</v>
      </c>
      <c r="C40" s="8" t="s">
        <v>283</v>
      </c>
      <c r="D40" s="8" t="s">
        <v>266</v>
      </c>
      <c r="E40" s="9" t="n">
        <v>34000</v>
      </c>
      <c r="F40" s="9" t="n">
        <v>33999</v>
      </c>
      <c r="G40" s="9" t="n">
        <f aca="false">IF(AND(ISNUMBER(E40),ISNUMBER(F40)),E40-F40,"No disponible")</f>
        <v>1</v>
      </c>
      <c r="H40" s="8" t="s">
        <v>284</v>
      </c>
      <c r="I40" s="8" t="s">
        <v>56</v>
      </c>
      <c r="J40" s="8" t="s">
        <v>43</v>
      </c>
      <c r="K40" s="8" t="s">
        <v>81</v>
      </c>
      <c r="L40" s="8" t="s">
        <v>45</v>
      </c>
      <c r="M40" s="8" t="s">
        <v>82</v>
      </c>
      <c r="N40" s="8" t="s">
        <v>46</v>
      </c>
      <c r="O40" s="8" t="s">
        <v>285</v>
      </c>
      <c r="P40" s="8" t="s">
        <v>286</v>
      </c>
      <c r="Q40" s="8" t="s">
        <v>59</v>
      </c>
      <c r="R40" s="8" t="s">
        <v>50</v>
      </c>
    </row>
    <row r="41" customFormat="false" ht="43.25" hidden="false" customHeight="false" outlineLevel="0" collapsed="false">
      <c r="A41" s="8" t="s">
        <v>287</v>
      </c>
      <c r="B41" s="8" t="s">
        <v>288</v>
      </c>
      <c r="C41" s="8" t="s">
        <v>289</v>
      </c>
      <c r="D41" s="8" t="s">
        <v>127</v>
      </c>
      <c r="E41" s="9" t="n">
        <v>450000</v>
      </c>
      <c r="F41" s="9" t="n">
        <v>450000</v>
      </c>
      <c r="G41" s="9" t="n">
        <f aca="false">IF(AND(ISNUMBER(E41),ISNUMBER(F41)),E41-F41,"No disponible")</f>
        <v>0</v>
      </c>
      <c r="H41" s="8" t="s">
        <v>64</v>
      </c>
      <c r="I41" s="8" t="s">
        <v>42</v>
      </c>
      <c r="J41" s="8" t="s">
        <v>43</v>
      </c>
      <c r="K41" s="8" t="s">
        <v>44</v>
      </c>
      <c r="L41" s="8" t="s">
        <v>45</v>
      </c>
      <c r="M41" s="8" t="s">
        <v>6</v>
      </c>
      <c r="N41" s="8" t="s">
        <v>46</v>
      </c>
      <c r="O41" s="8" t="s">
        <v>290</v>
      </c>
      <c r="P41" s="8" t="s">
        <v>291</v>
      </c>
      <c r="Q41" s="8" t="s">
        <v>59</v>
      </c>
      <c r="R41" s="8" t="s">
        <v>50</v>
      </c>
    </row>
    <row r="42" customFormat="false" ht="22.35" hidden="false" customHeight="false" outlineLevel="0" collapsed="false">
      <c r="A42" s="8" t="s">
        <v>292</v>
      </c>
      <c r="B42" s="8" t="s">
        <v>293</v>
      </c>
      <c r="C42" s="8" t="s">
        <v>294</v>
      </c>
      <c r="D42" s="8" t="s">
        <v>86</v>
      </c>
      <c r="E42" s="9" t="n">
        <v>28000</v>
      </c>
      <c r="F42" s="9" t="s">
        <v>87</v>
      </c>
      <c r="G42" s="9" t="str">
        <f aca="false">IF(AND(ISNUMBER(E42),ISNUMBER(F42)),E42-F42,"No disponible")</f>
        <v>No disponible</v>
      </c>
      <c r="H42" s="8" t="s">
        <v>86</v>
      </c>
      <c r="I42" s="8" t="s">
        <v>56</v>
      </c>
      <c r="J42" s="8" t="s">
        <v>87</v>
      </c>
      <c r="K42" s="8" t="s">
        <v>140</v>
      </c>
      <c r="L42" s="8" t="s">
        <v>141</v>
      </c>
      <c r="M42" s="8" t="s">
        <v>82</v>
      </c>
      <c r="N42" s="8" t="s">
        <v>46</v>
      </c>
      <c r="O42" s="8" t="s">
        <v>87</v>
      </c>
      <c r="P42" s="8"/>
      <c r="Q42" s="8" t="s">
        <v>87</v>
      </c>
      <c r="R42" s="8" t="s">
        <v>86</v>
      </c>
    </row>
    <row r="43" customFormat="false" ht="22.35" hidden="false" customHeight="false" outlineLevel="0" collapsed="false">
      <c r="A43" s="8" t="s">
        <v>292</v>
      </c>
      <c r="B43" s="8" t="s">
        <v>293</v>
      </c>
      <c r="C43" s="8" t="s">
        <v>295</v>
      </c>
      <c r="D43" s="8" t="s">
        <v>86</v>
      </c>
      <c r="E43" s="9" t="n">
        <v>23000</v>
      </c>
      <c r="F43" s="9" t="s">
        <v>87</v>
      </c>
      <c r="G43" s="9" t="str">
        <f aca="false">IF(AND(ISNUMBER(E43),ISNUMBER(F43)),E43-F43,"No disponible")</f>
        <v>No disponible</v>
      </c>
      <c r="H43" s="8" t="s">
        <v>86</v>
      </c>
      <c r="I43" s="8" t="s">
        <v>56</v>
      </c>
      <c r="J43" s="8" t="s">
        <v>87</v>
      </c>
      <c r="K43" s="8" t="s">
        <v>140</v>
      </c>
      <c r="L43" s="8" t="s">
        <v>141</v>
      </c>
      <c r="M43" s="8" t="s">
        <v>82</v>
      </c>
      <c r="N43" s="8" t="s">
        <v>46</v>
      </c>
      <c r="O43" s="8" t="s">
        <v>87</v>
      </c>
      <c r="P43" s="8"/>
      <c r="Q43" s="8" t="s">
        <v>87</v>
      </c>
      <c r="R43" s="8" t="s">
        <v>86</v>
      </c>
    </row>
    <row r="44" customFormat="false" ht="32.8" hidden="false" customHeight="false" outlineLevel="0" collapsed="false">
      <c r="A44" s="8" t="s">
        <v>296</v>
      </c>
      <c r="B44" s="8" t="s">
        <v>297</v>
      </c>
      <c r="C44" s="8" t="s">
        <v>298</v>
      </c>
      <c r="D44" s="8" t="s">
        <v>127</v>
      </c>
      <c r="E44" s="9" t="n">
        <v>28000</v>
      </c>
      <c r="F44" s="9" t="n">
        <v>28000</v>
      </c>
      <c r="G44" s="9" t="n">
        <f aca="false">IF(AND(ISNUMBER(E44),ISNUMBER(F44)),E44-F44,"No disponible")</f>
        <v>0</v>
      </c>
      <c r="H44" s="8" t="s">
        <v>64</v>
      </c>
      <c r="I44" s="8" t="s">
        <v>56</v>
      </c>
      <c r="J44" s="8" t="s">
        <v>43</v>
      </c>
      <c r="K44" s="8" t="s">
        <v>190</v>
      </c>
      <c r="L44" s="8" t="s">
        <v>45</v>
      </c>
      <c r="M44" s="8" t="s">
        <v>6</v>
      </c>
      <c r="N44" s="8" t="s">
        <v>46</v>
      </c>
      <c r="O44" s="8" t="s">
        <v>299</v>
      </c>
      <c r="P44" s="8" t="s">
        <v>300</v>
      </c>
      <c r="Q44" s="8" t="s">
        <v>193</v>
      </c>
      <c r="R44" s="8" t="s">
        <v>50</v>
      </c>
    </row>
    <row r="45" customFormat="false" ht="32.8" hidden="false" customHeight="false" outlineLevel="0" collapsed="false">
      <c r="A45" s="8" t="s">
        <v>296</v>
      </c>
      <c r="B45" s="8" t="s">
        <v>297</v>
      </c>
      <c r="C45" s="8" t="s">
        <v>301</v>
      </c>
      <c r="D45" s="8" t="s">
        <v>266</v>
      </c>
      <c r="E45" s="9" t="n">
        <v>60999.9</v>
      </c>
      <c r="F45" s="9" t="n">
        <v>61000</v>
      </c>
      <c r="G45" s="9" t="n">
        <f aca="false">IF(AND(ISNUMBER(E45),ISNUMBER(F45)),E45-F45,"No disponible")</f>
        <v>-0.0999999999985448</v>
      </c>
      <c r="H45" s="8" t="s">
        <v>302</v>
      </c>
      <c r="I45" s="8" t="s">
        <v>56</v>
      </c>
      <c r="J45" s="8" t="s">
        <v>43</v>
      </c>
      <c r="K45" s="8" t="s">
        <v>81</v>
      </c>
      <c r="L45" s="8" t="s">
        <v>45</v>
      </c>
      <c r="M45" s="8" t="s">
        <v>82</v>
      </c>
      <c r="N45" s="8" t="s">
        <v>46</v>
      </c>
      <c r="O45" s="8" t="s">
        <v>303</v>
      </c>
      <c r="P45" s="8" t="s">
        <v>304</v>
      </c>
      <c r="Q45" s="8" t="s">
        <v>59</v>
      </c>
      <c r="R45" s="8" t="s">
        <v>50</v>
      </c>
    </row>
    <row r="46" customFormat="false" ht="32.8" hidden="false" customHeight="false" outlineLevel="0" collapsed="false">
      <c r="A46" s="8" t="s">
        <v>305</v>
      </c>
      <c r="B46" s="8" t="s">
        <v>306</v>
      </c>
      <c r="C46" s="8" t="s">
        <v>307</v>
      </c>
      <c r="D46" s="8" t="s">
        <v>308</v>
      </c>
      <c r="E46" s="9" t="n">
        <v>418000</v>
      </c>
      <c r="F46" s="9" t="n">
        <v>418001</v>
      </c>
      <c r="G46" s="9" t="n">
        <f aca="false">IF(AND(ISNUMBER(E46),ISNUMBER(F46)),E46-F46,"No disponible")</f>
        <v>-1</v>
      </c>
      <c r="H46" s="8" t="s">
        <v>309</v>
      </c>
      <c r="I46" s="8" t="s">
        <v>56</v>
      </c>
      <c r="J46" s="8" t="s">
        <v>43</v>
      </c>
      <c r="K46" s="8" t="s">
        <v>114</v>
      </c>
      <c r="L46" s="8" t="s">
        <v>45</v>
      </c>
      <c r="M46" s="8" t="s">
        <v>82</v>
      </c>
      <c r="N46" s="8" t="s">
        <v>46</v>
      </c>
      <c r="O46" s="8" t="s">
        <v>310</v>
      </c>
      <c r="P46" s="8" t="s">
        <v>311</v>
      </c>
      <c r="Q46" s="8" t="s">
        <v>59</v>
      </c>
      <c r="R46" s="8" t="s">
        <v>111</v>
      </c>
    </row>
    <row r="47" customFormat="false" ht="22.35" hidden="false" customHeight="false" outlineLevel="0" collapsed="false">
      <c r="A47" s="8" t="s">
        <v>312</v>
      </c>
      <c r="B47" s="8" t="s">
        <v>313</v>
      </c>
      <c r="C47" s="8" t="s">
        <v>314</v>
      </c>
      <c r="D47" s="8" t="s">
        <v>86</v>
      </c>
      <c r="E47" s="9" t="n">
        <v>15000</v>
      </c>
      <c r="F47" s="9" t="s">
        <v>87</v>
      </c>
      <c r="G47" s="9" t="str">
        <f aca="false">IF(AND(ISNUMBER(E47),ISNUMBER(F47)),E47-F47,"No disponible")</f>
        <v>No disponible</v>
      </c>
      <c r="H47" s="8" t="s">
        <v>86</v>
      </c>
      <c r="I47" s="8" t="s">
        <v>56</v>
      </c>
      <c r="J47" s="8" t="s">
        <v>87</v>
      </c>
      <c r="K47" s="8" t="s">
        <v>140</v>
      </c>
      <c r="L47" s="8" t="s">
        <v>141</v>
      </c>
      <c r="M47" s="8" t="s">
        <v>82</v>
      </c>
      <c r="N47" s="8" t="s">
        <v>46</v>
      </c>
      <c r="O47" s="8" t="s">
        <v>87</v>
      </c>
      <c r="P47" s="8"/>
      <c r="Q47" s="8" t="s">
        <v>87</v>
      </c>
      <c r="R47" s="8" t="s">
        <v>86</v>
      </c>
    </row>
    <row r="48" customFormat="false" ht="22.35" hidden="false" customHeight="false" outlineLevel="0" collapsed="false">
      <c r="A48" s="8" t="s">
        <v>312</v>
      </c>
      <c r="B48" s="8" t="s">
        <v>313</v>
      </c>
      <c r="C48" s="8" t="s">
        <v>315</v>
      </c>
      <c r="D48" s="8" t="s">
        <v>86</v>
      </c>
      <c r="E48" s="9" t="n">
        <v>10000</v>
      </c>
      <c r="F48" s="9" t="s">
        <v>87</v>
      </c>
      <c r="G48" s="9" t="str">
        <f aca="false">IF(AND(ISNUMBER(E48),ISNUMBER(F48)),E48-F48,"No disponible")</f>
        <v>No disponible</v>
      </c>
      <c r="H48" s="8" t="s">
        <v>86</v>
      </c>
      <c r="I48" s="8" t="s">
        <v>56</v>
      </c>
      <c r="J48" s="8" t="s">
        <v>87</v>
      </c>
      <c r="K48" s="8" t="s">
        <v>140</v>
      </c>
      <c r="L48" s="8" t="s">
        <v>141</v>
      </c>
      <c r="M48" s="8" t="s">
        <v>82</v>
      </c>
      <c r="N48" s="8" t="s">
        <v>46</v>
      </c>
      <c r="O48" s="8" t="s">
        <v>87</v>
      </c>
      <c r="P48" s="8"/>
      <c r="Q48" s="8" t="s">
        <v>87</v>
      </c>
      <c r="R48" s="8" t="s">
        <v>86</v>
      </c>
    </row>
    <row r="49" customFormat="false" ht="43.25" hidden="false" customHeight="false" outlineLevel="0" collapsed="false">
      <c r="A49" s="8" t="s">
        <v>316</v>
      </c>
      <c r="B49" s="8" t="s">
        <v>317</v>
      </c>
      <c r="C49" s="8" t="s">
        <v>318</v>
      </c>
      <c r="D49" s="8" t="s">
        <v>93</v>
      </c>
      <c r="E49" s="9" t="n">
        <v>21995</v>
      </c>
      <c r="F49" s="9" t="n">
        <v>21995</v>
      </c>
      <c r="G49" s="9" t="n">
        <f aca="false">IF(AND(ISNUMBER(E49),ISNUMBER(F49)),E49-F49,"No disponible")</f>
        <v>0</v>
      </c>
      <c r="H49" s="8" t="s">
        <v>319</v>
      </c>
      <c r="I49" s="8" t="s">
        <v>56</v>
      </c>
      <c r="J49" s="8" t="s">
        <v>43</v>
      </c>
      <c r="K49" s="8" t="s">
        <v>44</v>
      </c>
      <c r="L49" s="8" t="s">
        <v>45</v>
      </c>
      <c r="M49" s="8" t="s">
        <v>6</v>
      </c>
      <c r="N49" s="8" t="s">
        <v>46</v>
      </c>
      <c r="O49" s="8" t="s">
        <v>320</v>
      </c>
      <c r="P49" s="8" t="s">
        <v>321</v>
      </c>
      <c r="Q49" s="8" t="s">
        <v>59</v>
      </c>
      <c r="R49" s="8" t="s">
        <v>50</v>
      </c>
    </row>
    <row r="50" customFormat="false" ht="32.8" hidden="false" customHeight="false" outlineLevel="0" collapsed="false">
      <c r="A50" s="8" t="s">
        <v>316</v>
      </c>
      <c r="B50" s="8" t="s">
        <v>317</v>
      </c>
      <c r="C50" s="8" t="s">
        <v>322</v>
      </c>
      <c r="D50" s="8" t="s">
        <v>93</v>
      </c>
      <c r="E50" s="9" t="n">
        <v>10996</v>
      </c>
      <c r="F50" s="9" t="n">
        <v>10996</v>
      </c>
      <c r="G50" s="9" t="n">
        <f aca="false">IF(AND(ISNUMBER(E50),ISNUMBER(F50)),E50-F50,"No disponible")</f>
        <v>0</v>
      </c>
      <c r="H50" s="8" t="s">
        <v>323</v>
      </c>
      <c r="I50" s="8" t="s">
        <v>56</v>
      </c>
      <c r="J50" s="8" t="s">
        <v>43</v>
      </c>
      <c r="K50" s="8" t="s">
        <v>190</v>
      </c>
      <c r="L50" s="8" t="s">
        <v>45</v>
      </c>
      <c r="M50" s="8" t="s">
        <v>6</v>
      </c>
      <c r="N50" s="8" t="s">
        <v>46</v>
      </c>
      <c r="O50" s="8" t="s">
        <v>324</v>
      </c>
      <c r="P50" s="8" t="s">
        <v>325</v>
      </c>
      <c r="Q50" s="8" t="s">
        <v>193</v>
      </c>
      <c r="R50" s="8" t="s">
        <v>50</v>
      </c>
    </row>
    <row r="51" customFormat="false" ht="43.25" hidden="false" customHeight="false" outlineLevel="0" collapsed="false">
      <c r="A51" s="8" t="s">
        <v>316</v>
      </c>
      <c r="B51" s="8" t="s">
        <v>317</v>
      </c>
      <c r="C51" s="8" t="s">
        <v>326</v>
      </c>
      <c r="D51" s="8" t="s">
        <v>93</v>
      </c>
      <c r="E51" s="9" t="n">
        <v>44875</v>
      </c>
      <c r="F51" s="9" t="n">
        <v>44875</v>
      </c>
      <c r="G51" s="9" t="n">
        <f aca="false">IF(AND(ISNUMBER(E51),ISNUMBER(F51)),E51-F51,"No disponible")</f>
        <v>0</v>
      </c>
      <c r="H51" s="8" t="s">
        <v>327</v>
      </c>
      <c r="I51" s="8" t="s">
        <v>56</v>
      </c>
      <c r="J51" s="8" t="s">
        <v>43</v>
      </c>
      <c r="K51" s="8" t="s">
        <v>44</v>
      </c>
      <c r="L51" s="8" t="s">
        <v>45</v>
      </c>
      <c r="M51" s="8" t="s">
        <v>6</v>
      </c>
      <c r="N51" s="8" t="s">
        <v>46</v>
      </c>
      <c r="O51" s="8" t="s">
        <v>328</v>
      </c>
      <c r="P51" s="8" t="s">
        <v>329</v>
      </c>
      <c r="Q51" s="8" t="s">
        <v>59</v>
      </c>
      <c r="R51" s="8" t="s">
        <v>50</v>
      </c>
    </row>
    <row r="52" customFormat="false" ht="43.25" hidden="false" customHeight="false" outlineLevel="0" collapsed="false">
      <c r="A52" s="8" t="s">
        <v>316</v>
      </c>
      <c r="B52" s="8" t="s">
        <v>317</v>
      </c>
      <c r="C52" s="8" t="s">
        <v>330</v>
      </c>
      <c r="D52" s="8" t="s">
        <v>93</v>
      </c>
      <c r="E52" s="9" t="n">
        <v>21995</v>
      </c>
      <c r="F52" s="9" t="n">
        <v>21995</v>
      </c>
      <c r="G52" s="9" t="n">
        <f aca="false">IF(AND(ISNUMBER(E52),ISNUMBER(F52)),E52-F52,"No disponible")</f>
        <v>0</v>
      </c>
      <c r="H52" s="8" t="s">
        <v>319</v>
      </c>
      <c r="I52" s="8" t="s">
        <v>56</v>
      </c>
      <c r="J52" s="8" t="s">
        <v>43</v>
      </c>
      <c r="K52" s="8" t="s">
        <v>44</v>
      </c>
      <c r="L52" s="8" t="s">
        <v>45</v>
      </c>
      <c r="M52" s="8" t="s">
        <v>6</v>
      </c>
      <c r="N52" s="8" t="s">
        <v>46</v>
      </c>
      <c r="O52" s="8" t="s">
        <v>331</v>
      </c>
      <c r="P52" s="8" t="s">
        <v>332</v>
      </c>
      <c r="Q52" s="8" t="s">
        <v>59</v>
      </c>
      <c r="R52" s="8" t="s">
        <v>50</v>
      </c>
    </row>
    <row r="53" customFormat="false" ht="43.25" hidden="false" customHeight="false" outlineLevel="0" collapsed="false">
      <c r="A53" s="8" t="s">
        <v>316</v>
      </c>
      <c r="B53" s="8" t="s">
        <v>317</v>
      </c>
      <c r="C53" s="8" t="s">
        <v>333</v>
      </c>
      <c r="D53" s="8" t="s">
        <v>93</v>
      </c>
      <c r="E53" s="9" t="n">
        <v>66348</v>
      </c>
      <c r="F53" s="9" t="n">
        <v>66348</v>
      </c>
      <c r="G53" s="9" t="n">
        <f aca="false">IF(AND(ISNUMBER(E53),ISNUMBER(F53)),E53-F53,"No disponible")</f>
        <v>0</v>
      </c>
      <c r="H53" s="8" t="s">
        <v>334</v>
      </c>
      <c r="I53" s="8" t="s">
        <v>56</v>
      </c>
      <c r="J53" s="8" t="s">
        <v>43</v>
      </c>
      <c r="K53" s="8" t="s">
        <v>44</v>
      </c>
      <c r="L53" s="8" t="s">
        <v>45</v>
      </c>
      <c r="M53" s="8" t="s">
        <v>6</v>
      </c>
      <c r="N53" s="8" t="s">
        <v>46</v>
      </c>
      <c r="O53" s="8" t="s">
        <v>335</v>
      </c>
      <c r="P53" s="8" t="s">
        <v>336</v>
      </c>
      <c r="Q53" s="8" t="s">
        <v>59</v>
      </c>
      <c r="R53" s="8" t="s">
        <v>50</v>
      </c>
    </row>
    <row r="54" customFormat="false" ht="43.25" hidden="false" customHeight="false" outlineLevel="0" collapsed="false">
      <c r="A54" s="8" t="s">
        <v>316</v>
      </c>
      <c r="B54" s="8" t="s">
        <v>317</v>
      </c>
      <c r="C54" s="8" t="s">
        <v>337</v>
      </c>
      <c r="D54" s="8" t="s">
        <v>93</v>
      </c>
      <c r="E54" s="9" t="n">
        <v>10996</v>
      </c>
      <c r="F54" s="9" t="n">
        <v>10996</v>
      </c>
      <c r="G54" s="9" t="n">
        <f aca="false">IF(AND(ISNUMBER(E54),ISNUMBER(F54)),E54-F54,"No disponible")</f>
        <v>0</v>
      </c>
      <c r="H54" s="8" t="s">
        <v>323</v>
      </c>
      <c r="I54" s="8" t="s">
        <v>56</v>
      </c>
      <c r="J54" s="8" t="s">
        <v>43</v>
      </c>
      <c r="K54" s="8" t="s">
        <v>44</v>
      </c>
      <c r="L54" s="8" t="s">
        <v>45</v>
      </c>
      <c r="M54" s="8" t="s">
        <v>6</v>
      </c>
      <c r="N54" s="8" t="s">
        <v>46</v>
      </c>
      <c r="O54" s="8" t="s">
        <v>324</v>
      </c>
      <c r="P54" s="8" t="s">
        <v>325</v>
      </c>
      <c r="Q54" s="8" t="s">
        <v>59</v>
      </c>
      <c r="R54" s="8" t="s">
        <v>50</v>
      </c>
    </row>
    <row r="55" customFormat="false" ht="43.25" hidden="false" customHeight="false" outlineLevel="0" collapsed="false">
      <c r="A55" s="8" t="s">
        <v>316</v>
      </c>
      <c r="B55" s="8" t="s">
        <v>317</v>
      </c>
      <c r="C55" s="8" t="s">
        <v>338</v>
      </c>
      <c r="D55" s="8" t="s">
        <v>93</v>
      </c>
      <c r="E55" s="9" t="n">
        <v>21995</v>
      </c>
      <c r="F55" s="9" t="n">
        <v>21995</v>
      </c>
      <c r="G55" s="9" t="n">
        <f aca="false">IF(AND(ISNUMBER(E55),ISNUMBER(F55)),E55-F55,"No disponible")</f>
        <v>0</v>
      </c>
      <c r="H55" s="8" t="s">
        <v>319</v>
      </c>
      <c r="I55" s="8" t="s">
        <v>56</v>
      </c>
      <c r="J55" s="8" t="s">
        <v>43</v>
      </c>
      <c r="K55" s="8" t="s">
        <v>44</v>
      </c>
      <c r="L55" s="8" t="s">
        <v>45</v>
      </c>
      <c r="M55" s="8" t="s">
        <v>6</v>
      </c>
      <c r="N55" s="8" t="s">
        <v>46</v>
      </c>
      <c r="O55" s="8" t="s">
        <v>339</v>
      </c>
      <c r="P55" s="8" t="s">
        <v>340</v>
      </c>
      <c r="Q55" s="8" t="s">
        <v>59</v>
      </c>
      <c r="R55" s="8" t="s">
        <v>50</v>
      </c>
    </row>
    <row r="56" customFormat="false" ht="43.25" hidden="false" customHeight="false" outlineLevel="0" collapsed="false">
      <c r="A56" s="8" t="s">
        <v>316</v>
      </c>
      <c r="B56" s="8" t="s">
        <v>317</v>
      </c>
      <c r="C56" s="8" t="s">
        <v>341</v>
      </c>
      <c r="D56" s="8" t="s">
        <v>342</v>
      </c>
      <c r="E56" s="9" t="n">
        <v>65852</v>
      </c>
      <c r="F56" s="9" t="n">
        <v>65852</v>
      </c>
      <c r="G56" s="9" t="n">
        <f aca="false">IF(AND(ISNUMBER(E56),ISNUMBER(F56)),E56-F56,"No disponible")</f>
        <v>0</v>
      </c>
      <c r="H56" s="8" t="s">
        <v>343</v>
      </c>
      <c r="I56" s="8" t="s">
        <v>56</v>
      </c>
      <c r="J56" s="8" t="s">
        <v>43</v>
      </c>
      <c r="K56" s="8" t="s">
        <v>44</v>
      </c>
      <c r="L56" s="8" t="s">
        <v>45</v>
      </c>
      <c r="M56" s="8" t="s">
        <v>6</v>
      </c>
      <c r="N56" s="8" t="s">
        <v>46</v>
      </c>
      <c r="O56" s="8" t="s">
        <v>344</v>
      </c>
      <c r="P56" s="8" t="s">
        <v>345</v>
      </c>
      <c r="Q56" s="8" t="s">
        <v>59</v>
      </c>
      <c r="R56" s="8" t="s">
        <v>50</v>
      </c>
    </row>
    <row r="57" customFormat="false" ht="43.25" hidden="false" customHeight="false" outlineLevel="0" collapsed="false">
      <c r="A57" s="8" t="s">
        <v>316</v>
      </c>
      <c r="B57" s="8" t="s">
        <v>317</v>
      </c>
      <c r="C57" s="8" t="s">
        <v>346</v>
      </c>
      <c r="D57" s="8" t="s">
        <v>342</v>
      </c>
      <c r="E57" s="9" t="n">
        <v>21995</v>
      </c>
      <c r="F57" s="9" t="n">
        <v>21995</v>
      </c>
      <c r="G57" s="9" t="n">
        <f aca="false">IF(AND(ISNUMBER(E57),ISNUMBER(F57)),E57-F57,"No disponible")</f>
        <v>0</v>
      </c>
      <c r="H57" s="8" t="s">
        <v>347</v>
      </c>
      <c r="I57" s="8" t="s">
        <v>56</v>
      </c>
      <c r="J57" s="8" t="s">
        <v>43</v>
      </c>
      <c r="K57" s="8" t="s">
        <v>44</v>
      </c>
      <c r="L57" s="8" t="s">
        <v>45</v>
      </c>
      <c r="M57" s="8" t="s">
        <v>6</v>
      </c>
      <c r="N57" s="8" t="s">
        <v>46</v>
      </c>
      <c r="O57" s="8" t="s">
        <v>348</v>
      </c>
      <c r="P57" s="8" t="s">
        <v>349</v>
      </c>
      <c r="Q57" s="8" t="s">
        <v>59</v>
      </c>
      <c r="R57" s="8" t="s">
        <v>50</v>
      </c>
    </row>
    <row r="58" customFormat="false" ht="43.25" hidden="false" customHeight="false" outlineLevel="0" collapsed="false">
      <c r="A58" s="8" t="s">
        <v>316</v>
      </c>
      <c r="B58" s="8" t="s">
        <v>317</v>
      </c>
      <c r="C58" s="8" t="s">
        <v>350</v>
      </c>
      <c r="D58" s="8" t="s">
        <v>93</v>
      </c>
      <c r="E58" s="9" t="n">
        <v>44875</v>
      </c>
      <c r="F58" s="9" t="n">
        <v>44875</v>
      </c>
      <c r="G58" s="9" t="n">
        <f aca="false">IF(AND(ISNUMBER(E58),ISNUMBER(F58)),E58-F58,"No disponible")</f>
        <v>0</v>
      </c>
      <c r="H58" s="8" t="s">
        <v>327</v>
      </c>
      <c r="I58" s="8" t="s">
        <v>56</v>
      </c>
      <c r="J58" s="8" t="s">
        <v>43</v>
      </c>
      <c r="K58" s="8" t="s">
        <v>44</v>
      </c>
      <c r="L58" s="8" t="s">
        <v>45</v>
      </c>
      <c r="M58" s="8" t="s">
        <v>6</v>
      </c>
      <c r="N58" s="8" t="s">
        <v>46</v>
      </c>
      <c r="O58" s="8" t="s">
        <v>351</v>
      </c>
      <c r="P58" s="8" t="s">
        <v>352</v>
      </c>
      <c r="Q58" s="8" t="s">
        <v>59</v>
      </c>
      <c r="R58" s="8" t="s">
        <v>50</v>
      </c>
    </row>
    <row r="59" customFormat="false" ht="43.25" hidden="false" customHeight="false" outlineLevel="0" collapsed="false">
      <c r="A59" s="8" t="s">
        <v>316</v>
      </c>
      <c r="B59" s="8" t="s">
        <v>317</v>
      </c>
      <c r="C59" s="8" t="s">
        <v>353</v>
      </c>
      <c r="D59" s="8" t="s">
        <v>93</v>
      </c>
      <c r="E59" s="9" t="n">
        <v>12000</v>
      </c>
      <c r="F59" s="9" t="n">
        <v>12000</v>
      </c>
      <c r="G59" s="9" t="n">
        <f aca="false">IF(AND(ISNUMBER(E59),ISNUMBER(F59)),E59-F59,"No disponible")</f>
        <v>0</v>
      </c>
      <c r="H59" s="8" t="s">
        <v>354</v>
      </c>
      <c r="I59" s="8" t="s">
        <v>56</v>
      </c>
      <c r="J59" s="8" t="s">
        <v>43</v>
      </c>
      <c r="K59" s="8" t="s">
        <v>44</v>
      </c>
      <c r="L59" s="8" t="s">
        <v>45</v>
      </c>
      <c r="M59" s="8" t="s">
        <v>6</v>
      </c>
      <c r="N59" s="8" t="s">
        <v>46</v>
      </c>
      <c r="O59" s="8" t="s">
        <v>355</v>
      </c>
      <c r="P59" s="8" t="s">
        <v>356</v>
      </c>
      <c r="Q59" s="8" t="s">
        <v>59</v>
      </c>
      <c r="R59" s="8" t="s">
        <v>50</v>
      </c>
    </row>
    <row r="60" customFormat="false" ht="43.25" hidden="false" customHeight="false" outlineLevel="0" collapsed="false">
      <c r="A60" s="8" t="s">
        <v>316</v>
      </c>
      <c r="B60" s="8" t="s">
        <v>317</v>
      </c>
      <c r="C60" s="8" t="s">
        <v>357</v>
      </c>
      <c r="D60" s="8" t="s">
        <v>93</v>
      </c>
      <c r="E60" s="9" t="n">
        <v>53293</v>
      </c>
      <c r="F60" s="9" t="n">
        <v>53293</v>
      </c>
      <c r="G60" s="9" t="n">
        <f aca="false">IF(AND(ISNUMBER(E60),ISNUMBER(F60)),E60-F60,"No disponible")</f>
        <v>0</v>
      </c>
      <c r="H60" s="8" t="s">
        <v>358</v>
      </c>
      <c r="I60" s="8" t="s">
        <v>56</v>
      </c>
      <c r="J60" s="8" t="s">
        <v>43</v>
      </c>
      <c r="K60" s="8" t="s">
        <v>44</v>
      </c>
      <c r="L60" s="8" t="s">
        <v>45</v>
      </c>
      <c r="M60" s="8" t="s">
        <v>6</v>
      </c>
      <c r="N60" s="8" t="s">
        <v>46</v>
      </c>
      <c r="O60" s="8" t="s">
        <v>359</v>
      </c>
      <c r="P60" s="8" t="s">
        <v>360</v>
      </c>
      <c r="Q60" s="8" t="s">
        <v>59</v>
      </c>
      <c r="R60" s="8" t="s">
        <v>50</v>
      </c>
    </row>
    <row r="61" customFormat="false" ht="43.25" hidden="false" customHeight="false" outlineLevel="0" collapsed="false">
      <c r="A61" s="8" t="s">
        <v>316</v>
      </c>
      <c r="B61" s="8" t="s">
        <v>317</v>
      </c>
      <c r="C61" s="8" t="s">
        <v>361</v>
      </c>
      <c r="D61" s="8" t="s">
        <v>93</v>
      </c>
      <c r="E61" s="9" t="n">
        <v>44875</v>
      </c>
      <c r="F61" s="9" t="n">
        <v>44875</v>
      </c>
      <c r="G61" s="9" t="n">
        <f aca="false">IF(AND(ISNUMBER(E61),ISNUMBER(F61)),E61-F61,"No disponible")</f>
        <v>0</v>
      </c>
      <c r="H61" s="8" t="s">
        <v>327</v>
      </c>
      <c r="I61" s="8" t="s">
        <v>56</v>
      </c>
      <c r="J61" s="8" t="s">
        <v>43</v>
      </c>
      <c r="K61" s="8" t="s">
        <v>44</v>
      </c>
      <c r="L61" s="8" t="s">
        <v>45</v>
      </c>
      <c r="M61" s="8" t="s">
        <v>6</v>
      </c>
      <c r="N61" s="8" t="s">
        <v>46</v>
      </c>
      <c r="O61" s="8" t="s">
        <v>362</v>
      </c>
      <c r="P61" s="8" t="s">
        <v>363</v>
      </c>
      <c r="Q61" s="8" t="s">
        <v>59</v>
      </c>
      <c r="R61" s="8" t="s">
        <v>50</v>
      </c>
    </row>
    <row r="62" customFormat="false" ht="43.25" hidden="false" customHeight="false" outlineLevel="0" collapsed="false">
      <c r="A62" s="8" t="s">
        <v>316</v>
      </c>
      <c r="B62" s="8" t="s">
        <v>317</v>
      </c>
      <c r="C62" s="8" t="s">
        <v>364</v>
      </c>
      <c r="D62" s="8" t="s">
        <v>342</v>
      </c>
      <c r="E62" s="9" t="n">
        <v>21995</v>
      </c>
      <c r="F62" s="9" t="n">
        <v>21995</v>
      </c>
      <c r="G62" s="9" t="n">
        <f aca="false">IF(AND(ISNUMBER(E62),ISNUMBER(F62)),E62-F62,"No disponible")</f>
        <v>0</v>
      </c>
      <c r="H62" s="8" t="s">
        <v>347</v>
      </c>
      <c r="I62" s="8" t="s">
        <v>56</v>
      </c>
      <c r="J62" s="8" t="s">
        <v>43</v>
      </c>
      <c r="K62" s="8" t="s">
        <v>44</v>
      </c>
      <c r="L62" s="8" t="s">
        <v>45</v>
      </c>
      <c r="M62" s="8" t="s">
        <v>6</v>
      </c>
      <c r="N62" s="8" t="s">
        <v>46</v>
      </c>
      <c r="O62" s="8" t="s">
        <v>365</v>
      </c>
      <c r="P62" s="8" t="s">
        <v>366</v>
      </c>
      <c r="Q62" s="8" t="s">
        <v>59</v>
      </c>
      <c r="R62" s="8" t="s">
        <v>50</v>
      </c>
    </row>
    <row r="63" customFormat="false" ht="43.25" hidden="false" customHeight="false" outlineLevel="0" collapsed="false">
      <c r="A63" s="8" t="s">
        <v>316</v>
      </c>
      <c r="B63" s="8" t="s">
        <v>317</v>
      </c>
      <c r="C63" s="8" t="s">
        <v>367</v>
      </c>
      <c r="D63" s="8" t="s">
        <v>93</v>
      </c>
      <c r="E63" s="9" t="n">
        <v>66348</v>
      </c>
      <c r="F63" s="9" t="n">
        <v>66348</v>
      </c>
      <c r="G63" s="9" t="n">
        <f aca="false">IF(AND(ISNUMBER(E63),ISNUMBER(F63)),E63-F63,"No disponible")</f>
        <v>0</v>
      </c>
      <c r="H63" s="8" t="s">
        <v>334</v>
      </c>
      <c r="I63" s="8" t="s">
        <v>56</v>
      </c>
      <c r="J63" s="8" t="s">
        <v>43</v>
      </c>
      <c r="K63" s="8" t="s">
        <v>44</v>
      </c>
      <c r="L63" s="8" t="s">
        <v>45</v>
      </c>
      <c r="M63" s="8" t="s">
        <v>6</v>
      </c>
      <c r="N63" s="8" t="s">
        <v>46</v>
      </c>
      <c r="O63" s="8" t="s">
        <v>368</v>
      </c>
      <c r="P63" s="8" t="s">
        <v>369</v>
      </c>
      <c r="Q63" s="8" t="s">
        <v>59</v>
      </c>
      <c r="R63" s="8" t="s">
        <v>50</v>
      </c>
    </row>
    <row r="64" customFormat="false" ht="43.25" hidden="false" customHeight="false" outlineLevel="0" collapsed="false">
      <c r="A64" s="8" t="s">
        <v>316</v>
      </c>
      <c r="B64" s="8" t="s">
        <v>317</v>
      </c>
      <c r="C64" s="8" t="s">
        <v>370</v>
      </c>
      <c r="D64" s="8" t="s">
        <v>342</v>
      </c>
      <c r="E64" s="9" t="n">
        <v>21995</v>
      </c>
      <c r="F64" s="9" t="n">
        <v>21995</v>
      </c>
      <c r="G64" s="9" t="n">
        <f aca="false">IF(AND(ISNUMBER(E64),ISNUMBER(F64)),E64-F64,"No disponible")</f>
        <v>0</v>
      </c>
      <c r="H64" s="8" t="s">
        <v>347</v>
      </c>
      <c r="I64" s="8" t="s">
        <v>56</v>
      </c>
      <c r="J64" s="8" t="s">
        <v>43</v>
      </c>
      <c r="K64" s="8" t="s">
        <v>44</v>
      </c>
      <c r="L64" s="8" t="s">
        <v>45</v>
      </c>
      <c r="M64" s="8" t="s">
        <v>6</v>
      </c>
      <c r="N64" s="8" t="s">
        <v>46</v>
      </c>
      <c r="O64" s="8" t="s">
        <v>371</v>
      </c>
      <c r="P64" s="8" t="s">
        <v>372</v>
      </c>
      <c r="Q64" s="8" t="s">
        <v>59</v>
      </c>
      <c r="R64" s="8" t="s">
        <v>50</v>
      </c>
    </row>
    <row r="65" customFormat="false" ht="43.25" hidden="false" customHeight="false" outlineLevel="0" collapsed="false">
      <c r="A65" s="8" t="s">
        <v>316</v>
      </c>
      <c r="B65" s="8" t="s">
        <v>317</v>
      </c>
      <c r="C65" s="8" t="s">
        <v>373</v>
      </c>
      <c r="D65" s="8" t="s">
        <v>342</v>
      </c>
      <c r="E65" s="9" t="n">
        <v>94261</v>
      </c>
      <c r="F65" s="9" t="n">
        <v>94261</v>
      </c>
      <c r="G65" s="9" t="n">
        <f aca="false">IF(AND(ISNUMBER(E65),ISNUMBER(F65)),E65-F65,"No disponible")</f>
        <v>0</v>
      </c>
      <c r="H65" s="8" t="s">
        <v>374</v>
      </c>
      <c r="I65" s="8" t="s">
        <v>56</v>
      </c>
      <c r="J65" s="8" t="s">
        <v>43</v>
      </c>
      <c r="K65" s="8" t="s">
        <v>44</v>
      </c>
      <c r="L65" s="8" t="s">
        <v>45</v>
      </c>
      <c r="M65" s="8" t="s">
        <v>6</v>
      </c>
      <c r="N65" s="8" t="s">
        <v>46</v>
      </c>
      <c r="O65" s="8" t="s">
        <v>375</v>
      </c>
      <c r="P65" s="8" t="s">
        <v>376</v>
      </c>
      <c r="Q65" s="8" t="s">
        <v>59</v>
      </c>
      <c r="R65" s="8" t="s">
        <v>50</v>
      </c>
    </row>
    <row r="66" customFormat="false" ht="147.75" hidden="false" customHeight="false" outlineLevel="0" collapsed="false">
      <c r="A66" s="8" t="s">
        <v>316</v>
      </c>
      <c r="B66" s="8" t="s">
        <v>317</v>
      </c>
      <c r="C66" s="8" t="s">
        <v>377</v>
      </c>
      <c r="D66" s="8" t="s">
        <v>378</v>
      </c>
      <c r="E66" s="9" t="n">
        <v>21995</v>
      </c>
      <c r="F66" s="9" t="n">
        <v>131970</v>
      </c>
      <c r="G66" s="9" t="n">
        <f aca="false">IF(AND(ISNUMBER(E66),ISNUMBER(F66)),E66-F66,"No disponible")</f>
        <v>-109975</v>
      </c>
      <c r="H66" s="8" t="s">
        <v>379</v>
      </c>
      <c r="I66" s="8" t="s">
        <v>56</v>
      </c>
      <c r="J66" s="8" t="s">
        <v>43</v>
      </c>
      <c r="K66" s="8" t="s">
        <v>190</v>
      </c>
      <c r="L66" s="8" t="s">
        <v>380</v>
      </c>
      <c r="M66" s="8" t="s">
        <v>6</v>
      </c>
      <c r="N66" s="8" t="s">
        <v>46</v>
      </c>
      <c r="O66" s="8" t="s">
        <v>381</v>
      </c>
      <c r="P66" s="8" t="s">
        <v>382</v>
      </c>
      <c r="Q66" s="8" t="s">
        <v>193</v>
      </c>
      <c r="R66" s="8" t="s">
        <v>50</v>
      </c>
    </row>
    <row r="67" customFormat="false" ht="43.25" hidden="false" customHeight="false" outlineLevel="0" collapsed="false">
      <c r="A67" s="8" t="s">
        <v>316</v>
      </c>
      <c r="B67" s="8" t="s">
        <v>317</v>
      </c>
      <c r="C67" s="8" t="s">
        <v>383</v>
      </c>
      <c r="D67" s="8" t="s">
        <v>93</v>
      </c>
      <c r="E67" s="9" t="n">
        <v>44875</v>
      </c>
      <c r="F67" s="9" t="n">
        <v>44875</v>
      </c>
      <c r="G67" s="9" t="n">
        <f aca="false">IF(AND(ISNUMBER(E67),ISNUMBER(F67)),E67-F67,"No disponible")</f>
        <v>0</v>
      </c>
      <c r="H67" s="8" t="s">
        <v>327</v>
      </c>
      <c r="I67" s="8" t="s">
        <v>56</v>
      </c>
      <c r="J67" s="8" t="s">
        <v>43</v>
      </c>
      <c r="K67" s="8" t="s">
        <v>44</v>
      </c>
      <c r="L67" s="8" t="s">
        <v>45</v>
      </c>
      <c r="M67" s="8" t="s">
        <v>6</v>
      </c>
      <c r="N67" s="8" t="s">
        <v>46</v>
      </c>
      <c r="O67" s="8" t="s">
        <v>384</v>
      </c>
      <c r="P67" s="8" t="s">
        <v>385</v>
      </c>
      <c r="Q67" s="8" t="s">
        <v>59</v>
      </c>
      <c r="R67" s="8" t="s">
        <v>50</v>
      </c>
    </row>
    <row r="68" customFormat="false" ht="22.35" hidden="false" customHeight="false" outlineLevel="0" collapsed="false">
      <c r="A68" s="8" t="s">
        <v>316</v>
      </c>
      <c r="B68" s="8" t="s">
        <v>317</v>
      </c>
      <c r="C68" s="8" t="s">
        <v>386</v>
      </c>
      <c r="D68" s="8" t="s">
        <v>86</v>
      </c>
      <c r="E68" s="9" t="n">
        <v>8800</v>
      </c>
      <c r="F68" s="9" t="s">
        <v>87</v>
      </c>
      <c r="G68" s="9" t="str">
        <f aca="false">IF(AND(ISNUMBER(E68),ISNUMBER(F68)),E68-F68,"No disponible")</f>
        <v>No disponible</v>
      </c>
      <c r="H68" s="8" t="s">
        <v>86</v>
      </c>
      <c r="I68" s="8" t="s">
        <v>56</v>
      </c>
      <c r="J68" s="8" t="s">
        <v>87</v>
      </c>
      <c r="K68" s="8" t="s">
        <v>88</v>
      </c>
      <c r="L68" s="8" t="s">
        <v>89</v>
      </c>
      <c r="M68" s="8" t="s">
        <v>82</v>
      </c>
      <c r="N68" s="8" t="s">
        <v>46</v>
      </c>
      <c r="O68" s="8" t="s">
        <v>87</v>
      </c>
      <c r="P68" s="8"/>
      <c r="Q68" s="8" t="s">
        <v>87</v>
      </c>
      <c r="R68" s="8" t="s">
        <v>86</v>
      </c>
    </row>
    <row r="69" customFormat="false" ht="22.35" hidden="false" customHeight="false" outlineLevel="0" collapsed="false">
      <c r="A69" s="8" t="s">
        <v>316</v>
      </c>
      <c r="B69" s="8" t="s">
        <v>317</v>
      </c>
      <c r="C69" s="8" t="s">
        <v>387</v>
      </c>
      <c r="D69" s="8" t="s">
        <v>86</v>
      </c>
      <c r="E69" s="9" t="n">
        <v>8800</v>
      </c>
      <c r="F69" s="9" t="s">
        <v>87</v>
      </c>
      <c r="G69" s="9" t="str">
        <f aca="false">IF(AND(ISNUMBER(E69),ISNUMBER(F69)),E69-F69,"No disponible")</f>
        <v>No disponible</v>
      </c>
      <c r="H69" s="8" t="s">
        <v>86</v>
      </c>
      <c r="I69" s="8" t="s">
        <v>56</v>
      </c>
      <c r="J69" s="8" t="s">
        <v>87</v>
      </c>
      <c r="K69" s="8" t="s">
        <v>88</v>
      </c>
      <c r="L69" s="8" t="s">
        <v>89</v>
      </c>
      <c r="M69" s="8" t="s">
        <v>82</v>
      </c>
      <c r="N69" s="8" t="s">
        <v>46</v>
      </c>
      <c r="O69" s="8" t="s">
        <v>87</v>
      </c>
      <c r="P69" s="8"/>
      <c r="Q69" s="8" t="s">
        <v>87</v>
      </c>
      <c r="R69" s="8" t="s">
        <v>86</v>
      </c>
    </row>
    <row r="70" customFormat="false" ht="43.25" hidden="false" customHeight="false" outlineLevel="0" collapsed="false">
      <c r="A70" s="8" t="s">
        <v>388</v>
      </c>
      <c r="B70" s="8" t="s">
        <v>389</v>
      </c>
      <c r="C70" s="8" t="s">
        <v>390</v>
      </c>
      <c r="D70" s="8" t="s">
        <v>63</v>
      </c>
      <c r="E70" s="9" t="n">
        <v>843093</v>
      </c>
      <c r="F70" s="9" t="n">
        <v>843093</v>
      </c>
      <c r="G70" s="9" t="n">
        <f aca="false">IF(AND(ISNUMBER(E70),ISNUMBER(F70)),E70-F70,"No disponible")</f>
        <v>0</v>
      </c>
      <c r="H70" s="8" t="s">
        <v>64</v>
      </c>
      <c r="I70" s="8" t="s">
        <v>56</v>
      </c>
      <c r="J70" s="8" t="s">
        <v>43</v>
      </c>
      <c r="K70" s="8" t="s">
        <v>44</v>
      </c>
      <c r="L70" s="8" t="s">
        <v>45</v>
      </c>
      <c r="M70" s="8" t="s">
        <v>6</v>
      </c>
      <c r="N70" s="8" t="s">
        <v>46</v>
      </c>
      <c r="O70" s="8" t="s">
        <v>391</v>
      </c>
      <c r="P70" s="8" t="s">
        <v>392</v>
      </c>
      <c r="Q70" s="8" t="s">
        <v>59</v>
      </c>
      <c r="R70" s="8" t="s">
        <v>50</v>
      </c>
    </row>
    <row r="71" customFormat="false" ht="43.25" hidden="false" customHeight="false" outlineLevel="0" collapsed="false">
      <c r="A71" s="8" t="s">
        <v>388</v>
      </c>
      <c r="B71" s="8" t="s">
        <v>389</v>
      </c>
      <c r="C71" s="8" t="s">
        <v>393</v>
      </c>
      <c r="D71" s="8" t="s">
        <v>63</v>
      </c>
      <c r="E71" s="9" t="n">
        <v>8375367</v>
      </c>
      <c r="F71" s="9" t="n">
        <v>8375367</v>
      </c>
      <c r="G71" s="9" t="n">
        <f aca="false">IF(AND(ISNUMBER(E71),ISNUMBER(F71)),E71-F71,"No disponible")</f>
        <v>0</v>
      </c>
      <c r="H71" s="8" t="s">
        <v>64</v>
      </c>
      <c r="I71" s="8" t="s">
        <v>56</v>
      </c>
      <c r="J71" s="8" t="s">
        <v>43</v>
      </c>
      <c r="K71" s="8" t="s">
        <v>44</v>
      </c>
      <c r="L71" s="8" t="s">
        <v>45</v>
      </c>
      <c r="M71" s="8" t="s">
        <v>6</v>
      </c>
      <c r="N71" s="8" t="s">
        <v>46</v>
      </c>
      <c r="O71" s="8" t="s">
        <v>394</v>
      </c>
      <c r="P71" s="8" t="s">
        <v>395</v>
      </c>
      <c r="Q71" s="8" t="s">
        <v>59</v>
      </c>
      <c r="R71" s="8" t="s">
        <v>50</v>
      </c>
    </row>
    <row r="72" customFormat="false" ht="43.25" hidden="false" customHeight="false" outlineLevel="0" collapsed="false">
      <c r="A72" s="8" t="s">
        <v>388</v>
      </c>
      <c r="B72" s="8" t="s">
        <v>389</v>
      </c>
      <c r="C72" s="8" t="s">
        <v>396</v>
      </c>
      <c r="D72" s="8" t="s">
        <v>63</v>
      </c>
      <c r="E72" s="9" t="n">
        <v>584463</v>
      </c>
      <c r="F72" s="9" t="n">
        <v>584463</v>
      </c>
      <c r="G72" s="9" t="n">
        <f aca="false">IF(AND(ISNUMBER(E72),ISNUMBER(F72)),E72-F72,"No disponible")</f>
        <v>0</v>
      </c>
      <c r="H72" s="8" t="s">
        <v>64</v>
      </c>
      <c r="I72" s="8" t="s">
        <v>56</v>
      </c>
      <c r="J72" s="8" t="s">
        <v>43</v>
      </c>
      <c r="K72" s="8" t="s">
        <v>44</v>
      </c>
      <c r="L72" s="8" t="s">
        <v>45</v>
      </c>
      <c r="M72" s="8" t="s">
        <v>6</v>
      </c>
      <c r="N72" s="8" t="s">
        <v>46</v>
      </c>
      <c r="O72" s="8" t="s">
        <v>397</v>
      </c>
      <c r="P72" s="8" t="s">
        <v>398</v>
      </c>
      <c r="Q72" s="8" t="s">
        <v>59</v>
      </c>
      <c r="R72" s="8" t="s">
        <v>50</v>
      </c>
    </row>
    <row r="73" customFormat="false" ht="43.25" hidden="false" customHeight="false" outlineLevel="0" collapsed="false">
      <c r="A73" s="8" t="s">
        <v>388</v>
      </c>
      <c r="B73" s="8" t="s">
        <v>389</v>
      </c>
      <c r="C73" s="8" t="s">
        <v>399</v>
      </c>
      <c r="D73" s="8" t="s">
        <v>63</v>
      </c>
      <c r="E73" s="9" t="n">
        <v>8723906</v>
      </c>
      <c r="F73" s="9" t="n">
        <v>8723906</v>
      </c>
      <c r="G73" s="9" t="n">
        <f aca="false">IF(AND(ISNUMBER(E73),ISNUMBER(F73)),E73-F73,"No disponible")</f>
        <v>0</v>
      </c>
      <c r="H73" s="8" t="s">
        <v>64</v>
      </c>
      <c r="I73" s="8" t="s">
        <v>56</v>
      </c>
      <c r="J73" s="8" t="s">
        <v>43</v>
      </c>
      <c r="K73" s="8" t="s">
        <v>44</v>
      </c>
      <c r="L73" s="8" t="s">
        <v>45</v>
      </c>
      <c r="M73" s="8" t="s">
        <v>6</v>
      </c>
      <c r="N73" s="8" t="s">
        <v>46</v>
      </c>
      <c r="O73" s="8" t="s">
        <v>400</v>
      </c>
      <c r="P73" s="8" t="s">
        <v>401</v>
      </c>
      <c r="Q73" s="8" t="s">
        <v>59</v>
      </c>
      <c r="R73" s="8" t="s">
        <v>50</v>
      </c>
    </row>
    <row r="74" customFormat="false" ht="32.8" hidden="false" customHeight="false" outlineLevel="0" collapsed="false">
      <c r="A74" s="8" t="s">
        <v>402</v>
      </c>
      <c r="B74" s="8" t="s">
        <v>403</v>
      </c>
      <c r="C74" s="8" t="s">
        <v>404</v>
      </c>
      <c r="D74" s="8" t="s">
        <v>127</v>
      </c>
      <c r="E74" s="9" t="n">
        <v>96900</v>
      </c>
      <c r="F74" s="9" t="n">
        <v>96900</v>
      </c>
      <c r="G74" s="9" t="n">
        <f aca="false">IF(AND(ISNUMBER(E74),ISNUMBER(F74)),E74-F74,"No disponible")</f>
        <v>0</v>
      </c>
      <c r="H74" s="8" t="s">
        <v>64</v>
      </c>
      <c r="I74" s="8" t="s">
        <v>56</v>
      </c>
      <c r="J74" s="8" t="s">
        <v>43</v>
      </c>
      <c r="K74" s="8" t="s">
        <v>190</v>
      </c>
      <c r="L74" s="8" t="s">
        <v>45</v>
      </c>
      <c r="M74" s="8" t="s">
        <v>6</v>
      </c>
      <c r="N74" s="8" t="s">
        <v>46</v>
      </c>
      <c r="O74" s="8" t="s">
        <v>405</v>
      </c>
      <c r="P74" s="8" t="s">
        <v>406</v>
      </c>
      <c r="Q74" s="8" t="s">
        <v>193</v>
      </c>
      <c r="R74" s="8" t="s">
        <v>50</v>
      </c>
    </row>
    <row r="75" customFormat="false" ht="32.8" hidden="false" customHeight="false" outlineLevel="0" collapsed="false">
      <c r="A75" s="8" t="s">
        <v>402</v>
      </c>
      <c r="B75" s="8" t="s">
        <v>403</v>
      </c>
      <c r="C75" s="8" t="s">
        <v>407</v>
      </c>
      <c r="D75" s="8" t="s">
        <v>127</v>
      </c>
      <c r="E75" s="9" t="n">
        <v>98900</v>
      </c>
      <c r="F75" s="9" t="n">
        <v>98900</v>
      </c>
      <c r="G75" s="9" t="n">
        <f aca="false">IF(AND(ISNUMBER(E75),ISNUMBER(F75)),E75-F75,"No disponible")</f>
        <v>0</v>
      </c>
      <c r="H75" s="8" t="s">
        <v>64</v>
      </c>
      <c r="I75" s="8" t="s">
        <v>56</v>
      </c>
      <c r="J75" s="8" t="s">
        <v>43</v>
      </c>
      <c r="K75" s="8" t="s">
        <v>190</v>
      </c>
      <c r="L75" s="8" t="s">
        <v>45</v>
      </c>
      <c r="M75" s="8" t="s">
        <v>6</v>
      </c>
      <c r="N75" s="8" t="s">
        <v>46</v>
      </c>
      <c r="O75" s="8" t="s">
        <v>408</v>
      </c>
      <c r="P75" s="8" t="s">
        <v>409</v>
      </c>
      <c r="Q75" s="8" t="s">
        <v>193</v>
      </c>
      <c r="R75" s="8" t="s">
        <v>50</v>
      </c>
    </row>
    <row r="76" customFormat="false" ht="32.8" hidden="false" customHeight="false" outlineLevel="0" collapsed="false">
      <c r="A76" s="8" t="s">
        <v>410</v>
      </c>
      <c r="B76" s="8" t="s">
        <v>411</v>
      </c>
      <c r="C76" s="8" t="s">
        <v>412</v>
      </c>
      <c r="D76" s="8" t="s">
        <v>266</v>
      </c>
      <c r="E76" s="9" t="n">
        <v>27399.75</v>
      </c>
      <c r="F76" s="9" t="n">
        <v>27400</v>
      </c>
      <c r="G76" s="9" t="n">
        <f aca="false">IF(AND(ISNUMBER(E76),ISNUMBER(F76)),E76-F76,"No disponible")</f>
        <v>-0.25</v>
      </c>
      <c r="H76" s="8" t="s">
        <v>413</v>
      </c>
      <c r="I76" s="8" t="s">
        <v>56</v>
      </c>
      <c r="J76" s="8" t="s">
        <v>43</v>
      </c>
      <c r="K76" s="8" t="s">
        <v>81</v>
      </c>
      <c r="L76" s="8" t="s">
        <v>45</v>
      </c>
      <c r="M76" s="8" t="s">
        <v>82</v>
      </c>
      <c r="N76" s="8" t="s">
        <v>46</v>
      </c>
      <c r="O76" s="8" t="s">
        <v>414</v>
      </c>
      <c r="P76" s="8" t="s">
        <v>415</v>
      </c>
      <c r="Q76" s="8" t="s">
        <v>59</v>
      </c>
      <c r="R76" s="8" t="s">
        <v>50</v>
      </c>
    </row>
    <row r="77" customFormat="false" ht="22.35" hidden="false" customHeight="false" outlineLevel="0" collapsed="false">
      <c r="A77" s="8" t="s">
        <v>416</v>
      </c>
      <c r="B77" s="8" t="s">
        <v>417</v>
      </c>
      <c r="C77" s="8" t="s">
        <v>418</v>
      </c>
      <c r="D77" s="8" t="s">
        <v>86</v>
      </c>
      <c r="E77" s="9" t="n">
        <v>946600</v>
      </c>
      <c r="F77" s="9" t="s">
        <v>87</v>
      </c>
      <c r="G77" s="9" t="str">
        <f aca="false">IF(AND(ISNUMBER(E77),ISNUMBER(F77)),E77-F77,"No disponible")</f>
        <v>No disponible</v>
      </c>
      <c r="H77" s="8" t="s">
        <v>86</v>
      </c>
      <c r="I77" s="8" t="s">
        <v>56</v>
      </c>
      <c r="J77" s="8" t="s">
        <v>87</v>
      </c>
      <c r="K77" s="8" t="s">
        <v>140</v>
      </c>
      <c r="L77" s="8" t="s">
        <v>141</v>
      </c>
      <c r="M77" s="8" t="s">
        <v>82</v>
      </c>
      <c r="N77" s="8" t="s">
        <v>46</v>
      </c>
      <c r="O77" s="8" t="s">
        <v>87</v>
      </c>
      <c r="P77" s="8"/>
      <c r="Q77" s="8" t="s">
        <v>87</v>
      </c>
      <c r="R77" s="8" t="s">
        <v>86</v>
      </c>
    </row>
    <row r="78" customFormat="false" ht="43.25" hidden="false" customHeight="false" outlineLevel="0" collapsed="false">
      <c r="A78" s="8" t="s">
        <v>419</v>
      </c>
      <c r="B78" s="8" t="s">
        <v>420</v>
      </c>
      <c r="C78" s="8" t="s">
        <v>421</v>
      </c>
      <c r="D78" s="8" t="s">
        <v>93</v>
      </c>
      <c r="E78" s="9" t="n">
        <v>511867</v>
      </c>
      <c r="F78" s="9" t="n">
        <v>511867</v>
      </c>
      <c r="G78" s="9" t="n">
        <f aca="false">IF(AND(ISNUMBER(E78),ISNUMBER(F78)),E78-F78,"No disponible")</f>
        <v>0</v>
      </c>
      <c r="H78" s="8" t="s">
        <v>422</v>
      </c>
      <c r="I78" s="8" t="s">
        <v>56</v>
      </c>
      <c r="J78" s="8" t="s">
        <v>43</v>
      </c>
      <c r="K78" s="8" t="s">
        <v>44</v>
      </c>
      <c r="L78" s="8" t="s">
        <v>45</v>
      </c>
      <c r="M78" s="8" t="s">
        <v>6</v>
      </c>
      <c r="N78" s="8" t="s">
        <v>46</v>
      </c>
      <c r="O78" s="8" t="s">
        <v>423</v>
      </c>
      <c r="P78" s="8" t="s">
        <v>424</v>
      </c>
      <c r="Q78" s="8" t="s">
        <v>59</v>
      </c>
      <c r="R78" s="8" t="s">
        <v>50</v>
      </c>
    </row>
    <row r="79" customFormat="false" ht="53.7" hidden="false" customHeight="false" outlineLevel="0" collapsed="false">
      <c r="A79" s="8" t="s">
        <v>425</v>
      </c>
      <c r="B79" s="8" t="s">
        <v>426</v>
      </c>
      <c r="C79" s="8" t="s">
        <v>427</v>
      </c>
      <c r="D79" s="8" t="s">
        <v>428</v>
      </c>
      <c r="E79" s="9" t="n">
        <v>9520000</v>
      </c>
      <c r="F79" s="9" t="n">
        <v>9520000</v>
      </c>
      <c r="G79" s="9" t="n">
        <f aca="false">IF(AND(ISNUMBER(E79),ISNUMBER(F79)),E79-F79,"No disponible")</f>
        <v>0</v>
      </c>
      <c r="H79" s="8" t="s">
        <v>429</v>
      </c>
      <c r="I79" s="8" t="s">
        <v>56</v>
      </c>
      <c r="J79" s="8" t="s">
        <v>43</v>
      </c>
      <c r="K79" s="8" t="s">
        <v>44</v>
      </c>
      <c r="L79" s="8" t="s">
        <v>45</v>
      </c>
      <c r="M79" s="8" t="s">
        <v>6</v>
      </c>
      <c r="N79" s="8" t="s">
        <v>46</v>
      </c>
      <c r="O79" s="8" t="s">
        <v>430</v>
      </c>
      <c r="P79" s="8" t="s">
        <v>431</v>
      </c>
      <c r="Q79" s="8" t="s">
        <v>59</v>
      </c>
      <c r="R79" s="8" t="s">
        <v>50</v>
      </c>
    </row>
    <row r="80" customFormat="false" ht="32.8" hidden="false" customHeight="false" outlineLevel="0" collapsed="false">
      <c r="A80" s="8" t="s">
        <v>432</v>
      </c>
      <c r="B80" s="8" t="s">
        <v>433</v>
      </c>
      <c r="C80" s="8" t="s">
        <v>434</v>
      </c>
      <c r="D80" s="8" t="s">
        <v>86</v>
      </c>
      <c r="E80" s="9" t="n">
        <v>6500</v>
      </c>
      <c r="F80" s="9" t="s">
        <v>87</v>
      </c>
      <c r="G80" s="9" t="str">
        <f aca="false">IF(AND(ISNUMBER(E80),ISNUMBER(F80)),E80-F80,"No disponible")</f>
        <v>No disponible</v>
      </c>
      <c r="H80" s="8" t="s">
        <v>86</v>
      </c>
      <c r="I80" s="8" t="s">
        <v>435</v>
      </c>
      <c r="J80" s="8" t="s">
        <v>87</v>
      </c>
      <c r="K80" s="8" t="s">
        <v>140</v>
      </c>
      <c r="L80" s="8" t="s">
        <v>141</v>
      </c>
      <c r="M80" s="8" t="s">
        <v>82</v>
      </c>
      <c r="N80" s="8" t="s">
        <v>46</v>
      </c>
      <c r="O80" s="8" t="s">
        <v>87</v>
      </c>
      <c r="P80" s="8"/>
      <c r="Q80" s="8" t="s">
        <v>87</v>
      </c>
      <c r="R80" s="8" t="s">
        <v>86</v>
      </c>
    </row>
    <row r="81" customFormat="false" ht="32.8" hidden="false" customHeight="false" outlineLevel="0" collapsed="false">
      <c r="A81" s="8" t="s">
        <v>432</v>
      </c>
      <c r="B81" s="8" t="s">
        <v>433</v>
      </c>
      <c r="C81" s="8" t="s">
        <v>436</v>
      </c>
      <c r="D81" s="8" t="s">
        <v>86</v>
      </c>
      <c r="E81" s="9" t="n">
        <v>33000</v>
      </c>
      <c r="F81" s="9" t="s">
        <v>87</v>
      </c>
      <c r="G81" s="9" t="str">
        <f aca="false">IF(AND(ISNUMBER(E81),ISNUMBER(F81)),E81-F81,"No disponible")</f>
        <v>No disponible</v>
      </c>
      <c r="H81" s="8" t="s">
        <v>86</v>
      </c>
      <c r="I81" s="8" t="s">
        <v>435</v>
      </c>
      <c r="J81" s="8" t="s">
        <v>87</v>
      </c>
      <c r="K81" s="8" t="s">
        <v>140</v>
      </c>
      <c r="L81" s="8" t="s">
        <v>141</v>
      </c>
      <c r="M81" s="8" t="s">
        <v>82</v>
      </c>
      <c r="N81" s="8" t="s">
        <v>46</v>
      </c>
      <c r="O81" s="8" t="s">
        <v>87</v>
      </c>
      <c r="P81" s="8"/>
      <c r="Q81" s="8" t="s">
        <v>87</v>
      </c>
      <c r="R81" s="8" t="s">
        <v>86</v>
      </c>
    </row>
    <row r="82" customFormat="false" ht="32.8" hidden="false" customHeight="false" outlineLevel="0" collapsed="false">
      <c r="A82" s="8" t="s">
        <v>437</v>
      </c>
      <c r="B82" s="8" t="s">
        <v>438</v>
      </c>
      <c r="C82" s="8" t="s">
        <v>439</v>
      </c>
      <c r="D82" s="8" t="s">
        <v>127</v>
      </c>
      <c r="E82" s="9" t="n">
        <v>65830</v>
      </c>
      <c r="F82" s="9" t="n">
        <v>65830</v>
      </c>
      <c r="G82" s="9" t="n">
        <f aca="false">IF(AND(ISNUMBER(E82),ISNUMBER(F82)),E82-F82,"No disponible")</f>
        <v>0</v>
      </c>
      <c r="H82" s="8" t="s">
        <v>64</v>
      </c>
      <c r="I82" s="8" t="s">
        <v>56</v>
      </c>
      <c r="J82" s="8" t="s">
        <v>43</v>
      </c>
      <c r="K82" s="8" t="s">
        <v>190</v>
      </c>
      <c r="L82" s="8" t="s">
        <v>45</v>
      </c>
      <c r="M82" s="8" t="s">
        <v>6</v>
      </c>
      <c r="N82" s="8" t="s">
        <v>46</v>
      </c>
      <c r="O82" s="8" t="s">
        <v>440</v>
      </c>
      <c r="P82" s="8" t="s">
        <v>441</v>
      </c>
      <c r="Q82" s="8" t="s">
        <v>193</v>
      </c>
      <c r="R82" s="8" t="s">
        <v>50</v>
      </c>
    </row>
    <row r="83" customFormat="false" ht="43.25" hidden="false" customHeight="false" outlineLevel="0" collapsed="false">
      <c r="A83" s="8" t="s">
        <v>442</v>
      </c>
      <c r="B83" s="8" t="s">
        <v>443</v>
      </c>
      <c r="C83" s="8" t="s">
        <v>444</v>
      </c>
      <c r="D83" s="8" t="s">
        <v>127</v>
      </c>
      <c r="E83" s="9" t="n">
        <v>80000</v>
      </c>
      <c r="F83" s="9" t="n">
        <v>80000</v>
      </c>
      <c r="G83" s="9" t="n">
        <f aca="false">IF(AND(ISNUMBER(E83),ISNUMBER(F83)),E83-F83,"No disponible")</f>
        <v>0</v>
      </c>
      <c r="H83" s="8" t="s">
        <v>64</v>
      </c>
      <c r="I83" s="8" t="s">
        <v>42</v>
      </c>
      <c r="J83" s="8" t="s">
        <v>43</v>
      </c>
      <c r="K83" s="8" t="s">
        <v>44</v>
      </c>
      <c r="L83" s="8" t="s">
        <v>45</v>
      </c>
      <c r="M83" s="8" t="s">
        <v>6</v>
      </c>
      <c r="N83" s="8" t="s">
        <v>46</v>
      </c>
      <c r="O83" s="8" t="s">
        <v>445</v>
      </c>
      <c r="P83" s="8" t="s">
        <v>446</v>
      </c>
      <c r="Q83" s="8" t="s">
        <v>59</v>
      </c>
      <c r="R83" s="8" t="s">
        <v>50</v>
      </c>
    </row>
    <row r="84" customFormat="false" ht="43.25" hidden="false" customHeight="false" outlineLevel="0" collapsed="false">
      <c r="A84" s="8" t="s">
        <v>447</v>
      </c>
      <c r="B84" s="8" t="s">
        <v>448</v>
      </c>
      <c r="C84" s="8" t="s">
        <v>449</v>
      </c>
      <c r="D84" s="8" t="s">
        <v>86</v>
      </c>
      <c r="E84" s="9" t="n">
        <v>42000</v>
      </c>
      <c r="F84" s="9" t="s">
        <v>87</v>
      </c>
      <c r="G84" s="9" t="str">
        <f aca="false">IF(AND(ISNUMBER(E84),ISNUMBER(F84)),E84-F84,"No disponible")</f>
        <v>No disponible</v>
      </c>
      <c r="H84" s="8" t="s">
        <v>86</v>
      </c>
      <c r="I84" s="8" t="s">
        <v>450</v>
      </c>
      <c r="J84" s="8" t="s">
        <v>87</v>
      </c>
      <c r="K84" s="8" t="s">
        <v>140</v>
      </c>
      <c r="L84" s="8" t="s">
        <v>141</v>
      </c>
      <c r="M84" s="8" t="s">
        <v>82</v>
      </c>
      <c r="N84" s="8" t="s">
        <v>46</v>
      </c>
      <c r="O84" s="8" t="s">
        <v>87</v>
      </c>
      <c r="P84" s="8"/>
      <c r="Q84" s="8" t="s">
        <v>87</v>
      </c>
      <c r="R84" s="8" t="s">
        <v>86</v>
      </c>
    </row>
    <row r="85" customFormat="false" ht="43.25" hidden="false" customHeight="false" outlineLevel="0" collapsed="false">
      <c r="A85" s="8" t="s">
        <v>451</v>
      </c>
      <c r="B85" s="8" t="s">
        <v>452</v>
      </c>
      <c r="C85" s="8" t="s">
        <v>453</v>
      </c>
      <c r="D85" s="8" t="s">
        <v>127</v>
      </c>
      <c r="E85" s="9" t="n">
        <v>600000</v>
      </c>
      <c r="F85" s="9" t="n">
        <v>600000</v>
      </c>
      <c r="G85" s="9" t="n">
        <f aca="false">IF(AND(ISNUMBER(E85),ISNUMBER(F85)),E85-F85,"No disponible")</f>
        <v>0</v>
      </c>
      <c r="H85" s="8" t="s">
        <v>64</v>
      </c>
      <c r="I85" s="8" t="s">
        <v>42</v>
      </c>
      <c r="J85" s="8" t="s">
        <v>43</v>
      </c>
      <c r="K85" s="8" t="s">
        <v>44</v>
      </c>
      <c r="L85" s="8" t="s">
        <v>45</v>
      </c>
      <c r="M85" s="8" t="s">
        <v>6</v>
      </c>
      <c r="N85" s="8" t="s">
        <v>46</v>
      </c>
      <c r="O85" s="8" t="s">
        <v>454</v>
      </c>
      <c r="P85" s="8" t="s">
        <v>455</v>
      </c>
      <c r="Q85" s="8" t="s">
        <v>59</v>
      </c>
      <c r="R85" s="8" t="s">
        <v>50</v>
      </c>
    </row>
    <row r="86" customFormat="false" ht="43.25" hidden="false" customHeight="false" outlineLevel="0" collapsed="false">
      <c r="A86" s="8" t="s">
        <v>456</v>
      </c>
      <c r="B86" s="8" t="s">
        <v>457</v>
      </c>
      <c r="C86" s="8" t="s">
        <v>458</v>
      </c>
      <c r="D86" s="8" t="s">
        <v>459</v>
      </c>
      <c r="E86" s="9" t="n">
        <v>11656675</v>
      </c>
      <c r="F86" s="9" t="n">
        <v>11656675</v>
      </c>
      <c r="G86" s="9" t="n">
        <f aca="false">IF(AND(ISNUMBER(E86),ISNUMBER(F86)),E86-F86,"No disponible")</f>
        <v>0</v>
      </c>
      <c r="H86" s="8" t="s">
        <v>460</v>
      </c>
      <c r="I86" s="8" t="s">
        <v>56</v>
      </c>
      <c r="J86" s="8" t="s">
        <v>43</v>
      </c>
      <c r="K86" s="8" t="s">
        <v>44</v>
      </c>
      <c r="L86" s="8" t="s">
        <v>45</v>
      </c>
      <c r="M86" s="8" t="s">
        <v>6</v>
      </c>
      <c r="N86" s="8" t="s">
        <v>46</v>
      </c>
      <c r="O86" s="8" t="s">
        <v>461</v>
      </c>
      <c r="P86" s="8" t="s">
        <v>462</v>
      </c>
      <c r="Q86" s="8" t="s">
        <v>59</v>
      </c>
      <c r="R86" s="8" t="s">
        <v>50</v>
      </c>
    </row>
    <row r="87" customFormat="false" ht="43.25" hidden="false" customHeight="false" outlineLevel="0" collapsed="false">
      <c r="A87" s="8" t="s">
        <v>463</v>
      </c>
      <c r="B87" s="8" t="s">
        <v>464</v>
      </c>
      <c r="C87" s="8" t="s">
        <v>465</v>
      </c>
      <c r="D87" s="8" t="s">
        <v>100</v>
      </c>
      <c r="E87" s="9" t="n">
        <v>250000</v>
      </c>
      <c r="F87" s="9" t="n">
        <v>250000</v>
      </c>
      <c r="G87" s="9" t="n">
        <f aca="false">IF(AND(ISNUMBER(E87),ISNUMBER(F87)),E87-F87,"No disponible")</f>
        <v>0</v>
      </c>
      <c r="H87" s="8" t="s">
        <v>466</v>
      </c>
      <c r="I87" s="8" t="s">
        <v>56</v>
      </c>
      <c r="J87" s="8" t="s">
        <v>43</v>
      </c>
      <c r="K87" s="8" t="s">
        <v>44</v>
      </c>
      <c r="L87" s="8" t="s">
        <v>45</v>
      </c>
      <c r="M87" s="8" t="s">
        <v>6</v>
      </c>
      <c r="N87" s="8" t="s">
        <v>46</v>
      </c>
      <c r="O87" s="8" t="s">
        <v>467</v>
      </c>
      <c r="P87" s="8" t="s">
        <v>468</v>
      </c>
      <c r="Q87" s="8" t="s">
        <v>59</v>
      </c>
      <c r="R87" s="8" t="s">
        <v>50</v>
      </c>
    </row>
    <row r="88" customFormat="false" ht="43.25" hidden="false" customHeight="false" outlineLevel="0" collapsed="false">
      <c r="A88" s="8" t="s">
        <v>469</v>
      </c>
      <c r="B88" s="8" t="s">
        <v>470</v>
      </c>
      <c r="C88" s="8" t="s">
        <v>471</v>
      </c>
      <c r="D88" s="8" t="s">
        <v>93</v>
      </c>
      <c r="E88" s="9" t="n">
        <v>10710000</v>
      </c>
      <c r="F88" s="9" t="n">
        <v>10710000</v>
      </c>
      <c r="G88" s="9" t="n">
        <f aca="false">IF(AND(ISNUMBER(E88),ISNUMBER(F88)),E88-F88,"No disponible")</f>
        <v>0</v>
      </c>
      <c r="H88" s="8" t="s">
        <v>472</v>
      </c>
      <c r="I88" s="8" t="s">
        <v>56</v>
      </c>
      <c r="J88" s="8" t="s">
        <v>43</v>
      </c>
      <c r="K88" s="8" t="s">
        <v>44</v>
      </c>
      <c r="L88" s="8" t="s">
        <v>45</v>
      </c>
      <c r="M88" s="8" t="s">
        <v>6</v>
      </c>
      <c r="N88" s="8" t="s">
        <v>46</v>
      </c>
      <c r="O88" s="8" t="s">
        <v>473</v>
      </c>
      <c r="P88" s="8" t="s">
        <v>474</v>
      </c>
      <c r="Q88" s="8" t="s">
        <v>59</v>
      </c>
      <c r="R88" s="8" t="s">
        <v>50</v>
      </c>
    </row>
    <row r="89" customFormat="false" ht="43.25" hidden="false" customHeight="false" outlineLevel="0" collapsed="false">
      <c r="A89" s="8" t="s">
        <v>469</v>
      </c>
      <c r="B89" s="8" t="s">
        <v>470</v>
      </c>
      <c r="C89" s="8" t="s">
        <v>475</v>
      </c>
      <c r="D89" s="8" t="s">
        <v>476</v>
      </c>
      <c r="E89" s="9" t="n">
        <v>10710000</v>
      </c>
      <c r="F89" s="9" t="n">
        <v>10710000</v>
      </c>
      <c r="G89" s="9" t="n">
        <f aca="false">IF(AND(ISNUMBER(E89),ISNUMBER(F89)),E89-F89,"No disponible")</f>
        <v>0</v>
      </c>
      <c r="H89" s="8" t="s">
        <v>472</v>
      </c>
      <c r="I89" s="8" t="s">
        <v>56</v>
      </c>
      <c r="J89" s="8" t="s">
        <v>43</v>
      </c>
      <c r="K89" s="8" t="s">
        <v>44</v>
      </c>
      <c r="L89" s="8" t="s">
        <v>477</v>
      </c>
      <c r="M89" s="8" t="s">
        <v>6</v>
      </c>
      <c r="N89" s="8" t="s">
        <v>46</v>
      </c>
      <c r="O89" s="8" t="s">
        <v>478</v>
      </c>
      <c r="P89" s="8" t="s">
        <v>479</v>
      </c>
      <c r="Q89" s="8" t="s">
        <v>59</v>
      </c>
      <c r="R89" s="8" t="s">
        <v>50</v>
      </c>
    </row>
    <row r="90" customFormat="false" ht="32.8" hidden="false" customHeight="false" outlineLevel="0" collapsed="false">
      <c r="A90" s="8" t="s">
        <v>487</v>
      </c>
      <c r="B90" s="8" t="s">
        <v>488</v>
      </c>
      <c r="C90" s="8" t="s">
        <v>489</v>
      </c>
      <c r="D90" s="8" t="s">
        <v>127</v>
      </c>
      <c r="E90" s="9" t="n">
        <v>374594.27</v>
      </c>
      <c r="F90" s="9" t="n">
        <v>374595</v>
      </c>
      <c r="G90" s="9" t="n">
        <f aca="false">IF(AND(ISNUMBER(E90),ISNUMBER(F90)),E90-F90,"No disponible")</f>
        <v>-0.729999999981374</v>
      </c>
      <c r="H90" s="8" t="s">
        <v>64</v>
      </c>
      <c r="I90" s="8" t="s">
        <v>56</v>
      </c>
      <c r="J90" s="8" t="s">
        <v>43</v>
      </c>
      <c r="K90" s="8" t="s">
        <v>81</v>
      </c>
      <c r="L90" s="8" t="s">
        <v>45</v>
      </c>
      <c r="M90" s="8" t="s">
        <v>82</v>
      </c>
      <c r="N90" s="8" t="s">
        <v>46</v>
      </c>
      <c r="O90" s="8" t="s">
        <v>490</v>
      </c>
      <c r="P90" s="8" t="s">
        <v>491</v>
      </c>
      <c r="Q90" s="8" t="s">
        <v>59</v>
      </c>
      <c r="R90" s="8" t="s">
        <v>50</v>
      </c>
    </row>
    <row r="91" customFormat="false" ht="22.35" hidden="false" customHeight="false" outlineLevel="0" collapsed="false">
      <c r="A91" s="8" t="s">
        <v>492</v>
      </c>
      <c r="B91" s="8" t="s">
        <v>493</v>
      </c>
      <c r="C91" s="8" t="s">
        <v>494</v>
      </c>
      <c r="D91" s="8" t="s">
        <v>86</v>
      </c>
      <c r="E91" s="9" t="n">
        <v>29049.99</v>
      </c>
      <c r="F91" s="9" t="s">
        <v>87</v>
      </c>
      <c r="G91" s="9" t="str">
        <f aca="false">IF(AND(ISNUMBER(E91),ISNUMBER(F91)),E91-F91,"No disponible")</f>
        <v>No disponible</v>
      </c>
      <c r="H91" s="8" t="s">
        <v>86</v>
      </c>
      <c r="I91" s="8" t="s">
        <v>56</v>
      </c>
      <c r="J91" s="8" t="s">
        <v>87</v>
      </c>
      <c r="K91" s="8" t="s">
        <v>88</v>
      </c>
      <c r="L91" s="8" t="s">
        <v>89</v>
      </c>
      <c r="M91" s="8" t="s">
        <v>82</v>
      </c>
      <c r="N91" s="8" t="s">
        <v>46</v>
      </c>
      <c r="O91" s="8" t="s">
        <v>87</v>
      </c>
      <c r="P91" s="8"/>
      <c r="Q91" s="8" t="s">
        <v>87</v>
      </c>
      <c r="R91" s="8" t="s">
        <v>86</v>
      </c>
    </row>
    <row r="92" customFormat="false" ht="32.8" hidden="false" customHeight="false" outlineLevel="0" collapsed="false">
      <c r="A92" s="8" t="s">
        <v>492</v>
      </c>
      <c r="B92" s="8" t="s">
        <v>493</v>
      </c>
      <c r="C92" s="8" t="s">
        <v>495</v>
      </c>
      <c r="D92" s="8" t="s">
        <v>127</v>
      </c>
      <c r="E92" s="9" t="n">
        <v>5380</v>
      </c>
      <c r="F92" s="9" t="n">
        <v>5380</v>
      </c>
      <c r="G92" s="9" t="n">
        <f aca="false">IF(AND(ISNUMBER(E92),ISNUMBER(F92)),E92-F92,"No disponible")</f>
        <v>0</v>
      </c>
      <c r="H92" s="8" t="s">
        <v>64</v>
      </c>
      <c r="I92" s="8" t="s">
        <v>56</v>
      </c>
      <c r="J92" s="8" t="s">
        <v>43</v>
      </c>
      <c r="K92" s="8" t="s">
        <v>190</v>
      </c>
      <c r="L92" s="8" t="s">
        <v>45</v>
      </c>
      <c r="M92" s="8" t="s">
        <v>6</v>
      </c>
      <c r="N92" s="8" t="s">
        <v>46</v>
      </c>
      <c r="O92" s="8" t="s">
        <v>496</v>
      </c>
      <c r="P92" s="8" t="s">
        <v>497</v>
      </c>
      <c r="Q92" s="8" t="s">
        <v>193</v>
      </c>
      <c r="R92" s="8" t="s">
        <v>50</v>
      </c>
    </row>
    <row r="93" customFormat="false" ht="32.8" hidden="false" customHeight="false" outlineLevel="0" collapsed="false">
      <c r="A93" s="8" t="s">
        <v>492</v>
      </c>
      <c r="B93" s="8" t="s">
        <v>493</v>
      </c>
      <c r="C93" s="8" t="s">
        <v>498</v>
      </c>
      <c r="D93" s="8" t="s">
        <v>127</v>
      </c>
      <c r="E93" s="9" t="n">
        <v>1950</v>
      </c>
      <c r="F93" s="9" t="n">
        <v>2000</v>
      </c>
      <c r="G93" s="9" t="n">
        <f aca="false">IF(AND(ISNUMBER(E93),ISNUMBER(F93)),E93-F93,"No disponible")</f>
        <v>-50</v>
      </c>
      <c r="H93" s="8" t="s">
        <v>64</v>
      </c>
      <c r="I93" s="8" t="s">
        <v>56</v>
      </c>
      <c r="J93" s="8" t="s">
        <v>43</v>
      </c>
      <c r="K93" s="8" t="s">
        <v>81</v>
      </c>
      <c r="L93" s="8" t="s">
        <v>45</v>
      </c>
      <c r="M93" s="8" t="s">
        <v>82</v>
      </c>
      <c r="N93" s="8" t="s">
        <v>46</v>
      </c>
      <c r="O93" s="8" t="s">
        <v>499</v>
      </c>
      <c r="P93" s="8" t="s">
        <v>500</v>
      </c>
      <c r="Q93" s="8" t="s">
        <v>59</v>
      </c>
      <c r="R93" s="8" t="s">
        <v>50</v>
      </c>
    </row>
    <row r="94" customFormat="false" ht="32.8" hidden="false" customHeight="false" outlineLevel="0" collapsed="false">
      <c r="A94" s="8" t="s">
        <v>492</v>
      </c>
      <c r="B94" s="8" t="s">
        <v>493</v>
      </c>
      <c r="C94" s="8" t="s">
        <v>501</v>
      </c>
      <c r="D94" s="8" t="s">
        <v>127</v>
      </c>
      <c r="E94" s="9" t="n">
        <v>1950</v>
      </c>
      <c r="F94" s="9" t="n">
        <v>1980</v>
      </c>
      <c r="G94" s="9" t="n">
        <f aca="false">IF(AND(ISNUMBER(E94),ISNUMBER(F94)),E94-F94,"No disponible")</f>
        <v>-30</v>
      </c>
      <c r="H94" s="8" t="s">
        <v>64</v>
      </c>
      <c r="I94" s="8" t="s">
        <v>56</v>
      </c>
      <c r="J94" s="8" t="s">
        <v>43</v>
      </c>
      <c r="K94" s="8" t="s">
        <v>81</v>
      </c>
      <c r="L94" s="8" t="s">
        <v>45</v>
      </c>
      <c r="M94" s="8" t="s">
        <v>82</v>
      </c>
      <c r="N94" s="8" t="s">
        <v>46</v>
      </c>
      <c r="O94" s="8" t="s">
        <v>502</v>
      </c>
      <c r="P94" s="8" t="s">
        <v>503</v>
      </c>
      <c r="Q94" s="8" t="s">
        <v>59</v>
      </c>
      <c r="R94" s="8" t="s">
        <v>50</v>
      </c>
    </row>
    <row r="95" customFormat="false" ht="32.8" hidden="false" customHeight="false" outlineLevel="0" collapsed="false">
      <c r="A95" s="8" t="s">
        <v>504</v>
      </c>
      <c r="B95" s="8" t="s">
        <v>505</v>
      </c>
      <c r="C95" s="8" t="s">
        <v>506</v>
      </c>
      <c r="D95" s="8" t="s">
        <v>266</v>
      </c>
      <c r="E95" s="9" t="n">
        <v>4500</v>
      </c>
      <c r="F95" s="9" t="n">
        <v>4501</v>
      </c>
      <c r="G95" s="9" t="n">
        <f aca="false">IF(AND(ISNUMBER(E95),ISNUMBER(F95)),E95-F95,"No disponible")</f>
        <v>-1</v>
      </c>
      <c r="H95" s="8" t="s">
        <v>507</v>
      </c>
      <c r="I95" s="8" t="s">
        <v>56</v>
      </c>
      <c r="J95" s="8" t="s">
        <v>43</v>
      </c>
      <c r="K95" s="8" t="s">
        <v>81</v>
      </c>
      <c r="L95" s="8" t="s">
        <v>45</v>
      </c>
      <c r="M95" s="8" t="s">
        <v>82</v>
      </c>
      <c r="N95" s="8" t="s">
        <v>46</v>
      </c>
      <c r="O95" s="8" t="s">
        <v>508</v>
      </c>
      <c r="P95" s="8" t="s">
        <v>509</v>
      </c>
      <c r="Q95" s="8" t="s">
        <v>59</v>
      </c>
      <c r="R95" s="8" t="s">
        <v>50</v>
      </c>
    </row>
    <row r="96" customFormat="false" ht="22.35" hidden="false" customHeight="false" outlineLevel="0" collapsed="false">
      <c r="A96" s="8" t="s">
        <v>510</v>
      </c>
      <c r="B96" s="8" t="s">
        <v>511</v>
      </c>
      <c r="C96" s="8" t="s">
        <v>512</v>
      </c>
      <c r="D96" s="8" t="s">
        <v>86</v>
      </c>
      <c r="E96" s="9" t="n">
        <v>844372</v>
      </c>
      <c r="F96" s="9" t="s">
        <v>87</v>
      </c>
      <c r="G96" s="9" t="str">
        <f aca="false">IF(AND(ISNUMBER(E96),ISNUMBER(F96)),E96-F96,"No disponible")</f>
        <v>No disponible</v>
      </c>
      <c r="H96" s="8" t="s">
        <v>86</v>
      </c>
      <c r="I96" s="8" t="s">
        <v>56</v>
      </c>
      <c r="J96" s="8" t="s">
        <v>87</v>
      </c>
      <c r="K96" s="8" t="s">
        <v>140</v>
      </c>
      <c r="L96" s="8" t="s">
        <v>141</v>
      </c>
      <c r="M96" s="8" t="s">
        <v>82</v>
      </c>
      <c r="N96" s="8" t="s">
        <v>46</v>
      </c>
      <c r="O96" s="8" t="s">
        <v>87</v>
      </c>
      <c r="P96" s="8"/>
      <c r="Q96" s="8" t="s">
        <v>87</v>
      </c>
      <c r="R96" s="8" t="s">
        <v>86</v>
      </c>
    </row>
    <row r="97" customFormat="false" ht="22.35" hidden="false" customHeight="false" outlineLevel="0" collapsed="false">
      <c r="A97" s="8" t="s">
        <v>513</v>
      </c>
      <c r="B97" s="8" t="s">
        <v>514</v>
      </c>
      <c r="C97" s="8" t="s">
        <v>515</v>
      </c>
      <c r="D97" s="8" t="s">
        <v>86</v>
      </c>
      <c r="E97" s="9" t="n">
        <v>12000</v>
      </c>
      <c r="F97" s="9" t="s">
        <v>87</v>
      </c>
      <c r="G97" s="9" t="str">
        <f aca="false">IF(AND(ISNUMBER(E97),ISNUMBER(F97)),E97-F97,"No disponible")</f>
        <v>No disponible</v>
      </c>
      <c r="H97" s="8" t="s">
        <v>86</v>
      </c>
      <c r="I97" s="8" t="s">
        <v>56</v>
      </c>
      <c r="J97" s="8" t="s">
        <v>87</v>
      </c>
      <c r="K97" s="8" t="s">
        <v>140</v>
      </c>
      <c r="L97" s="8" t="s">
        <v>141</v>
      </c>
      <c r="M97" s="8" t="s">
        <v>82</v>
      </c>
      <c r="N97" s="8" t="s">
        <v>46</v>
      </c>
      <c r="O97" s="8" t="s">
        <v>87</v>
      </c>
      <c r="P97" s="8"/>
      <c r="Q97" s="8" t="s">
        <v>87</v>
      </c>
      <c r="R97" s="8" t="s">
        <v>86</v>
      </c>
    </row>
    <row r="98" customFormat="false" ht="43.25" hidden="false" customHeight="false" outlineLevel="0" collapsed="false">
      <c r="A98" s="8" t="s">
        <v>516</v>
      </c>
      <c r="B98" s="8" t="s">
        <v>517</v>
      </c>
      <c r="C98" s="8" t="s">
        <v>518</v>
      </c>
      <c r="D98" s="8" t="s">
        <v>519</v>
      </c>
      <c r="E98" s="9" t="n">
        <v>163377</v>
      </c>
      <c r="F98" s="9" t="n">
        <v>163377</v>
      </c>
      <c r="G98" s="9" t="n">
        <f aca="false">IF(AND(ISNUMBER(E98),ISNUMBER(F98)),E98-F98,"No disponible")</f>
        <v>0</v>
      </c>
      <c r="H98" s="8" t="s">
        <v>520</v>
      </c>
      <c r="I98" s="8" t="s">
        <v>56</v>
      </c>
      <c r="J98" s="8" t="s">
        <v>43</v>
      </c>
      <c r="K98" s="8" t="s">
        <v>44</v>
      </c>
      <c r="L98" s="8" t="s">
        <v>45</v>
      </c>
      <c r="M98" s="8" t="s">
        <v>6</v>
      </c>
      <c r="N98" s="8" t="s">
        <v>46</v>
      </c>
      <c r="O98" s="8" t="s">
        <v>521</v>
      </c>
      <c r="P98" s="8" t="s">
        <v>522</v>
      </c>
      <c r="Q98" s="8" t="s">
        <v>59</v>
      </c>
      <c r="R98" s="8" t="s">
        <v>50</v>
      </c>
    </row>
    <row r="99" customFormat="false" ht="32.8" hidden="false" customHeight="false" outlineLevel="0" collapsed="false">
      <c r="A99" s="8" t="s">
        <v>516</v>
      </c>
      <c r="B99" s="8" t="s">
        <v>517</v>
      </c>
      <c r="C99" s="8" t="s">
        <v>523</v>
      </c>
      <c r="D99" s="8" t="s">
        <v>86</v>
      </c>
      <c r="E99" s="9" t="n">
        <v>17284533</v>
      </c>
      <c r="F99" s="9" t="s">
        <v>87</v>
      </c>
      <c r="G99" s="9" t="str">
        <f aca="false">IF(AND(ISNUMBER(E99),ISNUMBER(F99)),E99-F99,"No disponible")</f>
        <v>No disponible</v>
      </c>
      <c r="H99" s="8" t="s">
        <v>86</v>
      </c>
      <c r="I99" s="8" t="s">
        <v>56</v>
      </c>
      <c r="J99" s="8" t="s">
        <v>524</v>
      </c>
      <c r="K99" s="8" t="s">
        <v>525</v>
      </c>
      <c r="L99" s="8" t="s">
        <v>526</v>
      </c>
      <c r="M99" s="8" t="s">
        <v>82</v>
      </c>
      <c r="N99" s="8" t="s">
        <v>46</v>
      </c>
      <c r="O99" s="8" t="s">
        <v>527</v>
      </c>
      <c r="P99" s="8"/>
      <c r="Q99" s="8" t="s">
        <v>59</v>
      </c>
      <c r="R99" s="8" t="s">
        <v>86</v>
      </c>
    </row>
    <row r="100" customFormat="false" ht="43.25" hidden="false" customHeight="false" outlineLevel="0" collapsed="false">
      <c r="A100" s="8" t="s">
        <v>516</v>
      </c>
      <c r="B100" s="8" t="s">
        <v>517</v>
      </c>
      <c r="C100" s="8" t="s">
        <v>528</v>
      </c>
      <c r="D100" s="8" t="s">
        <v>519</v>
      </c>
      <c r="E100" s="9" t="n">
        <v>936203</v>
      </c>
      <c r="F100" s="9" t="n">
        <v>936203</v>
      </c>
      <c r="G100" s="9" t="n">
        <f aca="false">IF(AND(ISNUMBER(E100),ISNUMBER(F100)),E100-F100,"No disponible")</f>
        <v>0</v>
      </c>
      <c r="H100" s="8" t="s">
        <v>529</v>
      </c>
      <c r="I100" s="8" t="s">
        <v>56</v>
      </c>
      <c r="J100" s="8" t="s">
        <v>43</v>
      </c>
      <c r="K100" s="8" t="s">
        <v>44</v>
      </c>
      <c r="L100" s="8" t="s">
        <v>45</v>
      </c>
      <c r="M100" s="8" t="s">
        <v>6</v>
      </c>
      <c r="N100" s="8" t="s">
        <v>46</v>
      </c>
      <c r="O100" s="8" t="s">
        <v>530</v>
      </c>
      <c r="P100" s="8" t="s">
        <v>531</v>
      </c>
      <c r="Q100" s="8" t="s">
        <v>59</v>
      </c>
      <c r="R100" s="8" t="s">
        <v>50</v>
      </c>
    </row>
    <row r="101" customFormat="false" ht="43.25" hidden="false" customHeight="false" outlineLevel="0" collapsed="false">
      <c r="A101" s="8" t="s">
        <v>516</v>
      </c>
      <c r="B101" s="8" t="s">
        <v>517</v>
      </c>
      <c r="C101" s="8" t="s">
        <v>532</v>
      </c>
      <c r="D101" s="8" t="s">
        <v>519</v>
      </c>
      <c r="E101" s="9" t="n">
        <v>1524400</v>
      </c>
      <c r="F101" s="9" t="n">
        <v>1524400</v>
      </c>
      <c r="G101" s="9" t="n">
        <f aca="false">IF(AND(ISNUMBER(E101),ISNUMBER(F101)),E101-F101,"No disponible")</f>
        <v>0</v>
      </c>
      <c r="H101" s="8" t="s">
        <v>533</v>
      </c>
      <c r="I101" s="8" t="s">
        <v>56</v>
      </c>
      <c r="J101" s="8" t="s">
        <v>43</v>
      </c>
      <c r="K101" s="8" t="s">
        <v>44</v>
      </c>
      <c r="L101" s="8" t="s">
        <v>45</v>
      </c>
      <c r="M101" s="8" t="s">
        <v>6</v>
      </c>
      <c r="N101" s="8" t="s">
        <v>46</v>
      </c>
      <c r="O101" s="8" t="s">
        <v>534</v>
      </c>
      <c r="P101" s="8" t="s">
        <v>535</v>
      </c>
      <c r="Q101" s="8" t="s">
        <v>59</v>
      </c>
      <c r="R101" s="8" t="s">
        <v>50</v>
      </c>
    </row>
    <row r="102" customFormat="false" ht="43.25" hidden="false" customHeight="false" outlineLevel="0" collapsed="false">
      <c r="A102" s="8" t="s">
        <v>516</v>
      </c>
      <c r="B102" s="8" t="s">
        <v>517</v>
      </c>
      <c r="C102" s="8" t="s">
        <v>536</v>
      </c>
      <c r="D102" s="8" t="s">
        <v>537</v>
      </c>
      <c r="E102" s="9" t="n">
        <v>17182828</v>
      </c>
      <c r="F102" s="9" t="n">
        <v>17182828</v>
      </c>
      <c r="G102" s="9" t="n">
        <f aca="false">IF(AND(ISNUMBER(E102),ISNUMBER(F102)),E102-F102,"No disponible")</f>
        <v>0</v>
      </c>
      <c r="H102" s="8" t="s">
        <v>538</v>
      </c>
      <c r="I102" s="8" t="s">
        <v>56</v>
      </c>
      <c r="J102" s="8" t="s">
        <v>43</v>
      </c>
      <c r="K102" s="8" t="s">
        <v>44</v>
      </c>
      <c r="L102" s="8" t="s">
        <v>45</v>
      </c>
      <c r="M102" s="8" t="s">
        <v>6</v>
      </c>
      <c r="N102" s="8" t="s">
        <v>46</v>
      </c>
      <c r="O102" s="8" t="s">
        <v>539</v>
      </c>
      <c r="P102" s="8" t="s">
        <v>540</v>
      </c>
      <c r="Q102" s="8" t="s">
        <v>59</v>
      </c>
      <c r="R102" s="8" t="s">
        <v>50</v>
      </c>
    </row>
    <row r="103" customFormat="false" ht="53.7" hidden="false" customHeight="false" outlineLevel="0" collapsed="false">
      <c r="A103" s="8" t="s">
        <v>579</v>
      </c>
      <c r="B103" s="8" t="s">
        <v>580</v>
      </c>
      <c r="C103" s="8" t="s">
        <v>581</v>
      </c>
      <c r="D103" s="8" t="s">
        <v>428</v>
      </c>
      <c r="E103" s="9" t="n">
        <v>954751.28</v>
      </c>
      <c r="F103" s="9" t="n">
        <v>954751</v>
      </c>
      <c r="G103" s="9" t="n">
        <f aca="false">IF(AND(ISNUMBER(E103),ISNUMBER(F103)),E103-F103,"No disponible")</f>
        <v>0.28000000002794</v>
      </c>
      <c r="H103" s="8" t="s">
        <v>582</v>
      </c>
      <c r="I103" s="8" t="s">
        <v>56</v>
      </c>
      <c r="J103" s="8" t="s">
        <v>43</v>
      </c>
      <c r="K103" s="8" t="s">
        <v>81</v>
      </c>
      <c r="L103" s="8" t="s">
        <v>45</v>
      </c>
      <c r="M103" s="8" t="s">
        <v>82</v>
      </c>
      <c r="N103" s="8" t="s">
        <v>46</v>
      </c>
      <c r="O103" s="8" t="s">
        <v>583</v>
      </c>
      <c r="P103" s="8" t="s">
        <v>584</v>
      </c>
      <c r="Q103" s="8" t="s">
        <v>59</v>
      </c>
      <c r="R103" s="8" t="s">
        <v>50</v>
      </c>
    </row>
    <row r="104" customFormat="false" ht="43.25" hidden="false" customHeight="false" outlineLevel="0" collapsed="false">
      <c r="A104" s="8" t="s">
        <v>592</v>
      </c>
      <c r="B104" s="8" t="s">
        <v>593</v>
      </c>
      <c r="C104" s="8" t="s">
        <v>594</v>
      </c>
      <c r="D104" s="8" t="s">
        <v>266</v>
      </c>
      <c r="E104" s="9" t="n">
        <v>9639</v>
      </c>
      <c r="F104" s="9" t="n">
        <v>9639</v>
      </c>
      <c r="G104" s="9" t="n">
        <f aca="false">IF(AND(ISNUMBER(E104),ISNUMBER(F104)),E104-F104,"No disponible")</f>
        <v>0</v>
      </c>
      <c r="H104" s="8" t="s">
        <v>595</v>
      </c>
      <c r="I104" s="8" t="s">
        <v>65</v>
      </c>
      <c r="J104" s="8" t="s">
        <v>43</v>
      </c>
      <c r="K104" s="8" t="s">
        <v>44</v>
      </c>
      <c r="L104" s="8" t="s">
        <v>45</v>
      </c>
      <c r="M104" s="8" t="s">
        <v>6</v>
      </c>
      <c r="N104" s="8" t="s">
        <v>46</v>
      </c>
      <c r="O104" s="8" t="s">
        <v>596</v>
      </c>
      <c r="P104" s="8" t="s">
        <v>597</v>
      </c>
      <c r="Q104" s="8" t="s">
        <v>69</v>
      </c>
      <c r="R104" s="8" t="s">
        <v>50</v>
      </c>
    </row>
    <row r="105" customFormat="false" ht="43.25" hidden="false" customHeight="false" outlineLevel="0" collapsed="false">
      <c r="A105" s="8" t="s">
        <v>592</v>
      </c>
      <c r="B105" s="8" t="s">
        <v>593</v>
      </c>
      <c r="C105" s="8" t="s">
        <v>598</v>
      </c>
      <c r="D105" s="8" t="s">
        <v>266</v>
      </c>
      <c r="E105" s="9" t="n">
        <v>291312</v>
      </c>
      <c r="F105" s="9" t="n">
        <v>291312</v>
      </c>
      <c r="G105" s="9" t="n">
        <f aca="false">IF(AND(ISNUMBER(E105),ISNUMBER(F105)),E105-F105,"No disponible")</f>
        <v>0</v>
      </c>
      <c r="H105" s="8" t="s">
        <v>599</v>
      </c>
      <c r="I105" s="8" t="s">
        <v>56</v>
      </c>
      <c r="J105" s="8" t="s">
        <v>43</v>
      </c>
      <c r="K105" s="8" t="s">
        <v>44</v>
      </c>
      <c r="L105" s="8" t="s">
        <v>45</v>
      </c>
      <c r="M105" s="8" t="s">
        <v>6</v>
      </c>
      <c r="N105" s="8" t="s">
        <v>46</v>
      </c>
      <c r="O105" s="8" t="s">
        <v>600</v>
      </c>
      <c r="P105" s="8" t="s">
        <v>601</v>
      </c>
      <c r="Q105" s="8" t="s">
        <v>59</v>
      </c>
      <c r="R105" s="8" t="s">
        <v>50</v>
      </c>
    </row>
    <row r="106" customFormat="false" ht="32.8" hidden="false" customHeight="false" outlineLevel="0" collapsed="false">
      <c r="A106" s="8" t="s">
        <v>592</v>
      </c>
      <c r="B106" s="8" t="s">
        <v>593</v>
      </c>
      <c r="C106" s="8" t="s">
        <v>602</v>
      </c>
      <c r="D106" s="8" t="s">
        <v>266</v>
      </c>
      <c r="E106" s="9" t="n">
        <v>67026.75</v>
      </c>
      <c r="F106" s="9" t="n">
        <v>67027</v>
      </c>
      <c r="G106" s="9" t="n">
        <f aca="false">IF(AND(ISNUMBER(E106),ISNUMBER(F106)),E106-F106,"No disponible")</f>
        <v>-0.25</v>
      </c>
      <c r="H106" s="8" t="s">
        <v>603</v>
      </c>
      <c r="I106" s="8" t="s">
        <v>56</v>
      </c>
      <c r="J106" s="8" t="s">
        <v>43</v>
      </c>
      <c r="K106" s="8" t="s">
        <v>81</v>
      </c>
      <c r="L106" s="8" t="s">
        <v>45</v>
      </c>
      <c r="M106" s="8" t="s">
        <v>82</v>
      </c>
      <c r="N106" s="8" t="s">
        <v>46</v>
      </c>
      <c r="O106" s="8" t="s">
        <v>604</v>
      </c>
      <c r="P106" s="8" t="s">
        <v>605</v>
      </c>
      <c r="Q106" s="8" t="s">
        <v>59</v>
      </c>
      <c r="R106" s="8" t="s">
        <v>50</v>
      </c>
    </row>
    <row r="107" customFormat="false" ht="32.8" hidden="false" customHeight="false" outlineLevel="0" collapsed="false">
      <c r="A107" s="8" t="s">
        <v>592</v>
      </c>
      <c r="B107" s="8" t="s">
        <v>593</v>
      </c>
      <c r="C107" s="8" t="s">
        <v>606</v>
      </c>
      <c r="D107" s="8" t="s">
        <v>266</v>
      </c>
      <c r="E107" s="9" t="n">
        <v>16912.88</v>
      </c>
      <c r="F107" s="9" t="n">
        <v>16913</v>
      </c>
      <c r="G107" s="9" t="n">
        <f aca="false">IF(AND(ISNUMBER(E107),ISNUMBER(F107)),E107-F107,"No disponible")</f>
        <v>-0.119999999998981</v>
      </c>
      <c r="H107" s="8" t="s">
        <v>607</v>
      </c>
      <c r="I107" s="8" t="s">
        <v>56</v>
      </c>
      <c r="J107" s="8" t="s">
        <v>43</v>
      </c>
      <c r="K107" s="8" t="s">
        <v>81</v>
      </c>
      <c r="L107" s="8" t="s">
        <v>45</v>
      </c>
      <c r="M107" s="8" t="s">
        <v>82</v>
      </c>
      <c r="N107" s="8" t="s">
        <v>46</v>
      </c>
      <c r="O107" s="8" t="s">
        <v>608</v>
      </c>
      <c r="P107" s="8" t="s">
        <v>609</v>
      </c>
      <c r="Q107" s="8" t="s">
        <v>59</v>
      </c>
      <c r="R107" s="8" t="s">
        <v>50</v>
      </c>
    </row>
    <row r="108" customFormat="false" ht="32.8" hidden="false" customHeight="false" outlineLevel="0" collapsed="false">
      <c r="A108" s="8" t="s">
        <v>592</v>
      </c>
      <c r="B108" s="8" t="s">
        <v>593</v>
      </c>
      <c r="C108" s="8" t="s">
        <v>610</v>
      </c>
      <c r="D108" s="8" t="s">
        <v>266</v>
      </c>
      <c r="E108" s="9" t="n">
        <v>1844.5</v>
      </c>
      <c r="F108" s="9" t="n">
        <v>1845</v>
      </c>
      <c r="G108" s="9" t="n">
        <f aca="false">IF(AND(ISNUMBER(E108),ISNUMBER(F108)),E108-F108,"No disponible")</f>
        <v>-0.5</v>
      </c>
      <c r="H108" s="8" t="s">
        <v>611</v>
      </c>
      <c r="I108" s="8" t="s">
        <v>56</v>
      </c>
      <c r="J108" s="8" t="s">
        <v>43</v>
      </c>
      <c r="K108" s="8" t="s">
        <v>81</v>
      </c>
      <c r="L108" s="8" t="s">
        <v>45</v>
      </c>
      <c r="M108" s="8" t="s">
        <v>82</v>
      </c>
      <c r="N108" s="8" t="s">
        <v>46</v>
      </c>
      <c r="O108" s="8" t="s">
        <v>612</v>
      </c>
      <c r="P108" s="8" t="s">
        <v>613</v>
      </c>
      <c r="Q108" s="8" t="s">
        <v>59</v>
      </c>
      <c r="R108" s="8" t="s">
        <v>50</v>
      </c>
    </row>
    <row r="109" customFormat="false" ht="32.8" hidden="false" customHeight="false" outlineLevel="0" collapsed="false">
      <c r="A109" s="8" t="s">
        <v>614</v>
      </c>
      <c r="B109" s="8" t="s">
        <v>615</v>
      </c>
      <c r="C109" s="8" t="s">
        <v>616</v>
      </c>
      <c r="D109" s="8" t="s">
        <v>127</v>
      </c>
      <c r="E109" s="9" t="n">
        <v>67100</v>
      </c>
      <c r="F109" s="9" t="n">
        <v>67100</v>
      </c>
      <c r="G109" s="9" t="n">
        <f aca="false">IF(AND(ISNUMBER(E109),ISNUMBER(F109)),E109-F109,"No disponible")</f>
        <v>0</v>
      </c>
      <c r="H109" s="8" t="s">
        <v>64</v>
      </c>
      <c r="I109" s="8" t="s">
        <v>56</v>
      </c>
      <c r="J109" s="8" t="s">
        <v>43</v>
      </c>
      <c r="K109" s="8" t="s">
        <v>190</v>
      </c>
      <c r="L109" s="8" t="s">
        <v>45</v>
      </c>
      <c r="M109" s="8" t="s">
        <v>6</v>
      </c>
      <c r="N109" s="8" t="s">
        <v>46</v>
      </c>
      <c r="O109" s="8" t="s">
        <v>617</v>
      </c>
      <c r="P109" s="8" t="s">
        <v>618</v>
      </c>
      <c r="Q109" s="8" t="s">
        <v>193</v>
      </c>
      <c r="R109" s="8" t="s">
        <v>50</v>
      </c>
    </row>
    <row r="110" customFormat="false" ht="43.25" hidden="false" customHeight="false" outlineLevel="0" collapsed="false">
      <c r="A110" s="8" t="s">
        <v>614</v>
      </c>
      <c r="B110" s="8" t="s">
        <v>615</v>
      </c>
      <c r="C110" s="8" t="s">
        <v>619</v>
      </c>
      <c r="D110" s="8" t="s">
        <v>127</v>
      </c>
      <c r="E110" s="9" t="n">
        <v>6800</v>
      </c>
      <c r="F110" s="9" t="n">
        <v>6800</v>
      </c>
      <c r="G110" s="9" t="n">
        <f aca="false">IF(AND(ISNUMBER(E110),ISNUMBER(F110)),E110-F110,"No disponible")</f>
        <v>0</v>
      </c>
      <c r="H110" s="8" t="s">
        <v>64</v>
      </c>
      <c r="I110" s="8" t="s">
        <v>56</v>
      </c>
      <c r="J110" s="8" t="s">
        <v>43</v>
      </c>
      <c r="K110" s="8" t="s">
        <v>44</v>
      </c>
      <c r="L110" s="8" t="s">
        <v>45</v>
      </c>
      <c r="M110" s="8" t="s">
        <v>6</v>
      </c>
      <c r="N110" s="8" t="s">
        <v>46</v>
      </c>
      <c r="O110" s="8" t="s">
        <v>620</v>
      </c>
      <c r="P110" s="8" t="s">
        <v>621</v>
      </c>
      <c r="Q110" s="8" t="s">
        <v>59</v>
      </c>
      <c r="R110" s="8" t="s">
        <v>50</v>
      </c>
    </row>
    <row r="111" customFormat="false" ht="22.35" hidden="false" customHeight="false" outlineLevel="0" collapsed="false">
      <c r="A111" s="8" t="s">
        <v>622</v>
      </c>
      <c r="B111" s="8" t="s">
        <v>623</v>
      </c>
      <c r="C111" s="8" t="s">
        <v>624</v>
      </c>
      <c r="D111" s="8" t="s">
        <v>86</v>
      </c>
      <c r="E111" s="9" t="n">
        <v>24000</v>
      </c>
      <c r="F111" s="9" t="s">
        <v>87</v>
      </c>
      <c r="G111" s="9" t="str">
        <f aca="false">IF(AND(ISNUMBER(E111),ISNUMBER(F111)),E111-F111,"No disponible")</f>
        <v>No disponible</v>
      </c>
      <c r="H111" s="8" t="s">
        <v>86</v>
      </c>
      <c r="I111" s="8" t="s">
        <v>56</v>
      </c>
      <c r="J111" s="8" t="s">
        <v>87</v>
      </c>
      <c r="K111" s="8" t="s">
        <v>140</v>
      </c>
      <c r="L111" s="8" t="s">
        <v>141</v>
      </c>
      <c r="M111" s="8" t="s">
        <v>82</v>
      </c>
      <c r="N111" s="8" t="s">
        <v>46</v>
      </c>
      <c r="O111" s="8" t="s">
        <v>87</v>
      </c>
      <c r="P111" s="8"/>
      <c r="Q111" s="8" t="s">
        <v>87</v>
      </c>
      <c r="R111" s="8" t="s">
        <v>86</v>
      </c>
    </row>
    <row r="112" customFormat="false" ht="43.25" hidden="false" customHeight="false" outlineLevel="0" collapsed="false">
      <c r="A112" s="8" t="s">
        <v>625</v>
      </c>
      <c r="B112" s="8" t="s">
        <v>626</v>
      </c>
      <c r="C112" s="8" t="s">
        <v>627</v>
      </c>
      <c r="D112" s="8" t="s">
        <v>93</v>
      </c>
      <c r="E112" s="9" t="n">
        <v>189867</v>
      </c>
      <c r="F112" s="9" t="n">
        <v>189867</v>
      </c>
      <c r="G112" s="9" t="n">
        <f aca="false">IF(AND(ISNUMBER(E112),ISNUMBER(F112)),E112-F112,"No disponible")</f>
        <v>0</v>
      </c>
      <c r="H112" s="8" t="s">
        <v>628</v>
      </c>
      <c r="I112" s="8" t="s">
        <v>56</v>
      </c>
      <c r="J112" s="8" t="s">
        <v>43</v>
      </c>
      <c r="K112" s="8" t="s">
        <v>44</v>
      </c>
      <c r="L112" s="8" t="s">
        <v>45</v>
      </c>
      <c r="M112" s="8" t="s">
        <v>6</v>
      </c>
      <c r="N112" s="8" t="s">
        <v>46</v>
      </c>
      <c r="O112" s="8" t="s">
        <v>629</v>
      </c>
      <c r="P112" s="8" t="s">
        <v>630</v>
      </c>
      <c r="Q112" s="8" t="s">
        <v>59</v>
      </c>
      <c r="R112" s="8" t="s">
        <v>50</v>
      </c>
    </row>
    <row r="113" customFormat="false" ht="43.25" hidden="false" customHeight="false" outlineLevel="0" collapsed="false">
      <c r="A113" s="8" t="s">
        <v>625</v>
      </c>
      <c r="B113" s="8" t="s">
        <v>626</v>
      </c>
      <c r="C113" s="8" t="s">
        <v>631</v>
      </c>
      <c r="D113" s="8" t="s">
        <v>93</v>
      </c>
      <c r="E113" s="9" t="n">
        <v>16387</v>
      </c>
      <c r="F113" s="9" t="n">
        <v>16387</v>
      </c>
      <c r="G113" s="9" t="n">
        <f aca="false">IF(AND(ISNUMBER(E113),ISNUMBER(F113)),E113-F113,"No disponible")</f>
        <v>0</v>
      </c>
      <c r="H113" s="8" t="s">
        <v>632</v>
      </c>
      <c r="I113" s="8" t="s">
        <v>56</v>
      </c>
      <c r="J113" s="8" t="s">
        <v>43</v>
      </c>
      <c r="K113" s="8" t="s">
        <v>44</v>
      </c>
      <c r="L113" s="8" t="s">
        <v>45</v>
      </c>
      <c r="M113" s="8" t="s">
        <v>6</v>
      </c>
      <c r="N113" s="8" t="s">
        <v>46</v>
      </c>
      <c r="O113" s="8" t="s">
        <v>633</v>
      </c>
      <c r="P113" s="8" t="s">
        <v>634</v>
      </c>
      <c r="Q113" s="8" t="s">
        <v>59</v>
      </c>
      <c r="R113" s="8" t="s">
        <v>50</v>
      </c>
    </row>
    <row r="114" customFormat="false" ht="43.25" hidden="false" customHeight="false" outlineLevel="0" collapsed="false">
      <c r="A114" s="8" t="s">
        <v>625</v>
      </c>
      <c r="B114" s="8" t="s">
        <v>626</v>
      </c>
      <c r="C114" s="8" t="s">
        <v>635</v>
      </c>
      <c r="D114" s="8" t="s">
        <v>93</v>
      </c>
      <c r="E114" s="9" t="n">
        <v>428400</v>
      </c>
      <c r="F114" s="9" t="n">
        <v>428400</v>
      </c>
      <c r="G114" s="9" t="n">
        <f aca="false">IF(AND(ISNUMBER(E114),ISNUMBER(F114)),E114-F114,"No disponible")</f>
        <v>0</v>
      </c>
      <c r="H114" s="8" t="s">
        <v>636</v>
      </c>
      <c r="I114" s="8" t="s">
        <v>56</v>
      </c>
      <c r="J114" s="8" t="s">
        <v>43</v>
      </c>
      <c r="K114" s="8" t="s">
        <v>44</v>
      </c>
      <c r="L114" s="8" t="s">
        <v>45</v>
      </c>
      <c r="M114" s="8" t="s">
        <v>6</v>
      </c>
      <c r="N114" s="8" t="s">
        <v>46</v>
      </c>
      <c r="O114" s="8" t="s">
        <v>637</v>
      </c>
      <c r="P114" s="8" t="s">
        <v>638</v>
      </c>
      <c r="Q114" s="8" t="s">
        <v>59</v>
      </c>
      <c r="R114" s="8" t="s">
        <v>50</v>
      </c>
    </row>
    <row r="115" customFormat="false" ht="43.25" hidden="false" customHeight="false" outlineLevel="0" collapsed="false">
      <c r="A115" s="8" t="s">
        <v>625</v>
      </c>
      <c r="B115" s="8" t="s">
        <v>626</v>
      </c>
      <c r="C115" s="8" t="s">
        <v>639</v>
      </c>
      <c r="D115" s="8" t="s">
        <v>93</v>
      </c>
      <c r="E115" s="9" t="n">
        <v>968223</v>
      </c>
      <c r="F115" s="9" t="n">
        <v>968223</v>
      </c>
      <c r="G115" s="9" t="n">
        <f aca="false">IF(AND(ISNUMBER(E115),ISNUMBER(F115)),E115-F115,"No disponible")</f>
        <v>0</v>
      </c>
      <c r="H115" s="8" t="s">
        <v>640</v>
      </c>
      <c r="I115" s="8" t="s">
        <v>56</v>
      </c>
      <c r="J115" s="8" t="s">
        <v>43</v>
      </c>
      <c r="K115" s="8" t="s">
        <v>44</v>
      </c>
      <c r="L115" s="8" t="s">
        <v>45</v>
      </c>
      <c r="M115" s="8" t="s">
        <v>6</v>
      </c>
      <c r="N115" s="8" t="s">
        <v>46</v>
      </c>
      <c r="O115" s="8" t="s">
        <v>641</v>
      </c>
      <c r="P115" s="8" t="s">
        <v>642</v>
      </c>
      <c r="Q115" s="8" t="s">
        <v>59</v>
      </c>
      <c r="R115" s="8" t="s">
        <v>50</v>
      </c>
    </row>
    <row r="116" customFormat="false" ht="43.25" hidden="false" customHeight="false" outlineLevel="0" collapsed="false">
      <c r="A116" s="8" t="s">
        <v>625</v>
      </c>
      <c r="B116" s="8" t="s">
        <v>626</v>
      </c>
      <c r="C116" s="8" t="s">
        <v>643</v>
      </c>
      <c r="D116" s="8" t="s">
        <v>127</v>
      </c>
      <c r="E116" s="9" t="n">
        <v>621434</v>
      </c>
      <c r="F116" s="9" t="n">
        <v>621434</v>
      </c>
      <c r="G116" s="9" t="n">
        <f aca="false">IF(AND(ISNUMBER(E116),ISNUMBER(F116)),E116-F116,"No disponible")</f>
        <v>0</v>
      </c>
      <c r="H116" s="8" t="s">
        <v>64</v>
      </c>
      <c r="I116" s="8" t="s">
        <v>644</v>
      </c>
      <c r="J116" s="8" t="s">
        <v>43</v>
      </c>
      <c r="K116" s="8" t="s">
        <v>44</v>
      </c>
      <c r="L116" s="8" t="s">
        <v>45</v>
      </c>
      <c r="M116" s="8" t="s">
        <v>6</v>
      </c>
      <c r="N116" s="8" t="s">
        <v>46</v>
      </c>
      <c r="O116" s="8" t="s">
        <v>645</v>
      </c>
      <c r="P116" s="8" t="s">
        <v>646</v>
      </c>
      <c r="Q116" s="8" t="s">
        <v>59</v>
      </c>
      <c r="R116" s="8" t="s">
        <v>50</v>
      </c>
    </row>
    <row r="117" customFormat="false" ht="43.25" hidden="false" customHeight="false" outlineLevel="0" collapsed="false">
      <c r="A117" s="8" t="s">
        <v>625</v>
      </c>
      <c r="B117" s="8" t="s">
        <v>626</v>
      </c>
      <c r="C117" s="8" t="s">
        <v>647</v>
      </c>
      <c r="D117" s="8" t="s">
        <v>127</v>
      </c>
      <c r="E117" s="9" t="n">
        <v>3916515</v>
      </c>
      <c r="F117" s="9" t="n">
        <v>3916515</v>
      </c>
      <c r="G117" s="9" t="n">
        <f aca="false">IF(AND(ISNUMBER(E117),ISNUMBER(F117)),E117-F117,"No disponible")</f>
        <v>0</v>
      </c>
      <c r="H117" s="8" t="s">
        <v>64</v>
      </c>
      <c r="I117" s="8" t="s">
        <v>644</v>
      </c>
      <c r="J117" s="8" t="s">
        <v>43</v>
      </c>
      <c r="K117" s="8" t="s">
        <v>44</v>
      </c>
      <c r="L117" s="8" t="s">
        <v>45</v>
      </c>
      <c r="M117" s="8" t="s">
        <v>6</v>
      </c>
      <c r="N117" s="8" t="s">
        <v>46</v>
      </c>
      <c r="O117" s="8" t="s">
        <v>648</v>
      </c>
      <c r="P117" s="8" t="s">
        <v>649</v>
      </c>
      <c r="Q117" s="8" t="s">
        <v>59</v>
      </c>
      <c r="R117" s="8" t="s">
        <v>50</v>
      </c>
    </row>
    <row r="118" customFormat="false" ht="22.35" hidden="false" customHeight="false" outlineLevel="0" collapsed="false">
      <c r="A118" s="8" t="s">
        <v>650</v>
      </c>
      <c r="B118" s="8" t="s">
        <v>651</v>
      </c>
      <c r="C118" s="8" t="s">
        <v>652</v>
      </c>
      <c r="D118" s="8" t="s">
        <v>86</v>
      </c>
      <c r="E118" s="9" t="n">
        <v>10000.25</v>
      </c>
      <c r="F118" s="9" t="s">
        <v>87</v>
      </c>
      <c r="G118" s="9" t="str">
        <f aca="false">IF(AND(ISNUMBER(E118),ISNUMBER(F118)),E118-F118,"No disponible")</f>
        <v>No disponible</v>
      </c>
      <c r="H118" s="8" t="s">
        <v>86</v>
      </c>
      <c r="I118" s="8" t="s">
        <v>56</v>
      </c>
      <c r="J118" s="8" t="s">
        <v>87</v>
      </c>
      <c r="K118" s="8" t="s">
        <v>140</v>
      </c>
      <c r="L118" s="8" t="s">
        <v>141</v>
      </c>
      <c r="M118" s="8" t="s">
        <v>82</v>
      </c>
      <c r="N118" s="8" t="s">
        <v>46</v>
      </c>
      <c r="O118" s="8" t="s">
        <v>87</v>
      </c>
      <c r="P118" s="8"/>
      <c r="Q118" s="8" t="s">
        <v>87</v>
      </c>
      <c r="R118" s="8" t="s">
        <v>86</v>
      </c>
    </row>
    <row r="119" customFormat="false" ht="32.8" hidden="false" customHeight="false" outlineLevel="0" collapsed="false">
      <c r="A119" s="8" t="s">
        <v>653</v>
      </c>
      <c r="B119" s="8" t="s">
        <v>654</v>
      </c>
      <c r="C119" s="8" t="s">
        <v>655</v>
      </c>
      <c r="D119" s="8" t="s">
        <v>266</v>
      </c>
      <c r="E119" s="9" t="n">
        <v>33204.57</v>
      </c>
      <c r="F119" s="9" t="n">
        <v>33205</v>
      </c>
      <c r="G119" s="9" t="n">
        <f aca="false">IF(AND(ISNUMBER(E119),ISNUMBER(F119)),E119-F119,"No disponible")</f>
        <v>-0.430000000000291</v>
      </c>
      <c r="H119" s="8" t="s">
        <v>656</v>
      </c>
      <c r="I119" s="8" t="s">
        <v>56</v>
      </c>
      <c r="J119" s="8" t="s">
        <v>43</v>
      </c>
      <c r="K119" s="8" t="s">
        <v>81</v>
      </c>
      <c r="L119" s="8" t="s">
        <v>45</v>
      </c>
      <c r="M119" s="8" t="s">
        <v>82</v>
      </c>
      <c r="N119" s="8" t="s">
        <v>46</v>
      </c>
      <c r="O119" s="8" t="s">
        <v>657</v>
      </c>
      <c r="P119" s="8" t="s">
        <v>658</v>
      </c>
      <c r="Q119" s="8" t="s">
        <v>59</v>
      </c>
      <c r="R119" s="8" t="s">
        <v>50</v>
      </c>
    </row>
    <row r="120" customFormat="false" ht="32.8" hidden="false" customHeight="false" outlineLevel="0" collapsed="false">
      <c r="A120" s="8" t="s">
        <v>653</v>
      </c>
      <c r="B120" s="8" t="s">
        <v>654</v>
      </c>
      <c r="C120" s="8" t="s">
        <v>659</v>
      </c>
      <c r="D120" s="8" t="s">
        <v>660</v>
      </c>
      <c r="E120" s="9" t="n">
        <v>1024007.94</v>
      </c>
      <c r="F120" s="9" t="n">
        <v>1024008</v>
      </c>
      <c r="G120" s="9" t="n">
        <f aca="false">IF(AND(ISNUMBER(E120),ISNUMBER(F120)),E120-F120,"No disponible")</f>
        <v>-0.0600000000558794</v>
      </c>
      <c r="H120" s="8" t="s">
        <v>661</v>
      </c>
      <c r="I120" s="8" t="s">
        <v>56</v>
      </c>
      <c r="J120" s="8" t="s">
        <v>43</v>
      </c>
      <c r="K120" s="8" t="s">
        <v>114</v>
      </c>
      <c r="L120" s="8" t="s">
        <v>662</v>
      </c>
      <c r="M120" s="8" t="s">
        <v>82</v>
      </c>
      <c r="N120" s="8" t="s">
        <v>46</v>
      </c>
      <c r="O120" s="8" t="s">
        <v>663</v>
      </c>
      <c r="P120" s="8" t="s">
        <v>664</v>
      </c>
      <c r="Q120" s="8" t="s">
        <v>59</v>
      </c>
      <c r="R120" s="8" t="s">
        <v>111</v>
      </c>
    </row>
    <row r="121" customFormat="false" ht="53.7" hidden="false" customHeight="false" outlineLevel="0" collapsed="false">
      <c r="A121" s="8" t="s">
        <v>665</v>
      </c>
      <c r="B121" s="8" t="s">
        <v>666</v>
      </c>
      <c r="C121" s="8" t="s">
        <v>667</v>
      </c>
      <c r="D121" s="8" t="s">
        <v>668</v>
      </c>
      <c r="E121" s="9" t="n">
        <v>34145878.49</v>
      </c>
      <c r="F121" s="9" t="n">
        <v>34145878</v>
      </c>
      <c r="G121" s="9" t="n">
        <f aca="false">IF(AND(ISNUMBER(E121),ISNUMBER(F121)),E121-F121,"No disponible")</f>
        <v>0.490000002086163</v>
      </c>
      <c r="H121" s="8" t="s">
        <v>669</v>
      </c>
      <c r="I121" s="8" t="s">
        <v>56</v>
      </c>
      <c r="J121" s="8" t="s">
        <v>43</v>
      </c>
      <c r="K121" s="8" t="s">
        <v>81</v>
      </c>
      <c r="L121" s="8" t="s">
        <v>45</v>
      </c>
      <c r="M121" s="8" t="s">
        <v>82</v>
      </c>
      <c r="N121" s="8" t="s">
        <v>46</v>
      </c>
      <c r="O121" s="8" t="s">
        <v>670</v>
      </c>
      <c r="P121" s="8" t="s">
        <v>671</v>
      </c>
      <c r="Q121" s="8" t="s">
        <v>59</v>
      </c>
      <c r="R121" s="8" t="s">
        <v>50</v>
      </c>
    </row>
    <row r="122" customFormat="false" ht="43.25" hidden="false" customHeight="false" outlineLevel="0" collapsed="false">
      <c r="A122" s="8" t="s">
        <v>672</v>
      </c>
      <c r="B122" s="8" t="s">
        <v>673</v>
      </c>
      <c r="C122" s="8" t="s">
        <v>674</v>
      </c>
      <c r="D122" s="8" t="s">
        <v>127</v>
      </c>
      <c r="E122" s="9" t="n">
        <v>1000000</v>
      </c>
      <c r="F122" s="9" t="n">
        <v>1000000</v>
      </c>
      <c r="G122" s="9" t="n">
        <f aca="false">IF(AND(ISNUMBER(E122),ISNUMBER(F122)),E122-F122,"No disponible")</f>
        <v>0</v>
      </c>
      <c r="H122" s="8" t="s">
        <v>64</v>
      </c>
      <c r="I122" s="8" t="s">
        <v>56</v>
      </c>
      <c r="J122" s="8" t="s">
        <v>43</v>
      </c>
      <c r="K122" s="8" t="s">
        <v>44</v>
      </c>
      <c r="L122" s="8" t="s">
        <v>45</v>
      </c>
      <c r="M122" s="8" t="s">
        <v>6</v>
      </c>
      <c r="N122" s="8" t="s">
        <v>46</v>
      </c>
      <c r="O122" s="8" t="s">
        <v>675</v>
      </c>
      <c r="P122" s="8" t="s">
        <v>676</v>
      </c>
      <c r="Q122" s="8" t="s">
        <v>59</v>
      </c>
      <c r="R122" s="8" t="s">
        <v>50</v>
      </c>
    </row>
    <row r="123" customFormat="false" ht="43.25" hidden="false" customHeight="false" outlineLevel="0" collapsed="false">
      <c r="A123" s="8" t="s">
        <v>672</v>
      </c>
      <c r="B123" s="8" t="s">
        <v>673</v>
      </c>
      <c r="C123" s="8" t="s">
        <v>677</v>
      </c>
      <c r="D123" s="8" t="s">
        <v>127</v>
      </c>
      <c r="E123" s="9" t="n">
        <v>4000000</v>
      </c>
      <c r="F123" s="9" t="n">
        <v>4000000</v>
      </c>
      <c r="G123" s="9" t="n">
        <f aca="false">IF(AND(ISNUMBER(E123),ISNUMBER(F123)),E123-F123,"No disponible")</f>
        <v>0</v>
      </c>
      <c r="H123" s="8" t="s">
        <v>64</v>
      </c>
      <c r="I123" s="8" t="s">
        <v>56</v>
      </c>
      <c r="J123" s="8" t="s">
        <v>43</v>
      </c>
      <c r="K123" s="8" t="s">
        <v>44</v>
      </c>
      <c r="L123" s="8" t="s">
        <v>45</v>
      </c>
      <c r="M123" s="8" t="s">
        <v>6</v>
      </c>
      <c r="N123" s="8" t="s">
        <v>46</v>
      </c>
      <c r="O123" s="8" t="s">
        <v>678</v>
      </c>
      <c r="P123" s="8" t="s">
        <v>679</v>
      </c>
      <c r="Q123" s="8" t="s">
        <v>59</v>
      </c>
      <c r="R123" s="8" t="s">
        <v>50</v>
      </c>
    </row>
    <row r="124" customFormat="false" ht="53.7" hidden="false" customHeight="false" outlineLevel="0" collapsed="false">
      <c r="A124" s="8" t="s">
        <v>672</v>
      </c>
      <c r="B124" s="8" t="s">
        <v>673</v>
      </c>
      <c r="C124" s="8" t="s">
        <v>680</v>
      </c>
      <c r="D124" s="8" t="s">
        <v>681</v>
      </c>
      <c r="E124" s="9" t="n">
        <v>35700000</v>
      </c>
      <c r="F124" s="9" t="n">
        <v>35700000</v>
      </c>
      <c r="G124" s="9" t="n">
        <f aca="false">IF(AND(ISNUMBER(E124),ISNUMBER(F124)),E124-F124,"No disponible")</f>
        <v>0</v>
      </c>
      <c r="H124" s="8" t="s">
        <v>682</v>
      </c>
      <c r="I124" s="8" t="s">
        <v>56</v>
      </c>
      <c r="J124" s="8" t="s">
        <v>43</v>
      </c>
      <c r="K124" s="8" t="s">
        <v>44</v>
      </c>
      <c r="L124" s="8" t="s">
        <v>45</v>
      </c>
      <c r="M124" s="8" t="s">
        <v>6</v>
      </c>
      <c r="N124" s="8" t="s">
        <v>46</v>
      </c>
      <c r="O124" s="8" t="s">
        <v>683</v>
      </c>
      <c r="P124" s="8" t="s">
        <v>684</v>
      </c>
      <c r="Q124" s="8" t="s">
        <v>59</v>
      </c>
      <c r="R124" s="8" t="s">
        <v>50</v>
      </c>
    </row>
    <row r="125" customFormat="false" ht="43.25" hidden="false" customHeight="false" outlineLevel="0" collapsed="false">
      <c r="A125" s="8" t="s">
        <v>672</v>
      </c>
      <c r="B125" s="8" t="s">
        <v>673</v>
      </c>
      <c r="C125" s="8" t="s">
        <v>685</v>
      </c>
      <c r="D125" s="8" t="s">
        <v>127</v>
      </c>
      <c r="E125" s="9" t="n">
        <v>1000000</v>
      </c>
      <c r="F125" s="9" t="n">
        <v>1000000</v>
      </c>
      <c r="G125" s="9" t="n">
        <f aca="false">IF(AND(ISNUMBER(E125),ISNUMBER(F125)),E125-F125,"No disponible")</f>
        <v>0</v>
      </c>
      <c r="H125" s="8" t="s">
        <v>64</v>
      </c>
      <c r="I125" s="8" t="s">
        <v>65</v>
      </c>
      <c r="J125" s="8" t="s">
        <v>43</v>
      </c>
      <c r="K125" s="8" t="s">
        <v>44</v>
      </c>
      <c r="L125" s="8" t="s">
        <v>45</v>
      </c>
      <c r="M125" s="8" t="s">
        <v>6</v>
      </c>
      <c r="N125" s="8" t="s">
        <v>46</v>
      </c>
      <c r="O125" s="8" t="s">
        <v>686</v>
      </c>
      <c r="P125" s="8" t="s">
        <v>687</v>
      </c>
      <c r="Q125" s="8" t="s">
        <v>69</v>
      </c>
      <c r="R125" s="8" t="s">
        <v>50</v>
      </c>
    </row>
    <row r="126" customFormat="false" ht="43.25" hidden="false" customHeight="false" outlineLevel="0" collapsed="false">
      <c r="A126" s="8" t="s">
        <v>688</v>
      </c>
      <c r="B126" s="8" t="s">
        <v>689</v>
      </c>
      <c r="C126" s="8" t="s">
        <v>690</v>
      </c>
      <c r="D126" s="8" t="s">
        <v>127</v>
      </c>
      <c r="E126" s="9" t="n">
        <v>4125334</v>
      </c>
      <c r="F126" s="9" t="n">
        <v>4125334</v>
      </c>
      <c r="G126" s="9" t="n">
        <f aca="false">IF(AND(ISNUMBER(E126),ISNUMBER(F126)),E126-F126,"No disponible")</f>
        <v>0</v>
      </c>
      <c r="H126" s="8" t="s">
        <v>64</v>
      </c>
      <c r="I126" s="8" t="s">
        <v>42</v>
      </c>
      <c r="J126" s="8" t="s">
        <v>43</v>
      </c>
      <c r="K126" s="8" t="s">
        <v>44</v>
      </c>
      <c r="L126" s="8" t="s">
        <v>45</v>
      </c>
      <c r="M126" s="8" t="s">
        <v>6</v>
      </c>
      <c r="N126" s="8" t="s">
        <v>46</v>
      </c>
      <c r="O126" s="8" t="s">
        <v>691</v>
      </c>
      <c r="P126" s="8" t="s">
        <v>692</v>
      </c>
      <c r="Q126" s="8" t="s">
        <v>59</v>
      </c>
      <c r="R126" s="8" t="s">
        <v>50</v>
      </c>
    </row>
    <row r="127" customFormat="false" ht="43.25" hidden="false" customHeight="false" outlineLevel="0" collapsed="false">
      <c r="A127" s="8" t="s">
        <v>693</v>
      </c>
      <c r="B127" s="8" t="s">
        <v>694</v>
      </c>
      <c r="C127" s="8" t="s">
        <v>695</v>
      </c>
      <c r="D127" s="8" t="s">
        <v>266</v>
      </c>
      <c r="E127" s="9" t="n">
        <v>190400</v>
      </c>
      <c r="F127" s="9" t="n">
        <v>190400</v>
      </c>
      <c r="G127" s="9" t="n">
        <f aca="false">IF(AND(ISNUMBER(E127),ISNUMBER(F127)),E127-F127,"No disponible")</f>
        <v>0</v>
      </c>
      <c r="H127" s="8" t="s">
        <v>696</v>
      </c>
      <c r="I127" s="8" t="s">
        <v>56</v>
      </c>
      <c r="J127" s="8" t="s">
        <v>43</v>
      </c>
      <c r="K127" s="8" t="s">
        <v>44</v>
      </c>
      <c r="L127" s="8" t="s">
        <v>45</v>
      </c>
      <c r="M127" s="8" t="s">
        <v>6</v>
      </c>
      <c r="N127" s="8" t="s">
        <v>46</v>
      </c>
      <c r="O127" s="8" t="s">
        <v>697</v>
      </c>
      <c r="P127" s="8" t="s">
        <v>698</v>
      </c>
      <c r="Q127" s="8" t="s">
        <v>59</v>
      </c>
      <c r="R127" s="8" t="s">
        <v>50</v>
      </c>
    </row>
    <row r="128" customFormat="false" ht="22.35" hidden="false" customHeight="false" outlineLevel="0" collapsed="false">
      <c r="A128" s="8" t="s">
        <v>699</v>
      </c>
      <c r="B128" s="8" t="s">
        <v>700</v>
      </c>
      <c r="C128" s="8" t="s">
        <v>701</v>
      </c>
      <c r="D128" s="8" t="s">
        <v>86</v>
      </c>
      <c r="E128" s="9" t="n">
        <v>210000</v>
      </c>
      <c r="F128" s="9" t="s">
        <v>87</v>
      </c>
      <c r="G128" s="9" t="str">
        <f aca="false">IF(AND(ISNUMBER(E128),ISNUMBER(F128)),E128-F128,"No disponible")</f>
        <v>No disponible</v>
      </c>
      <c r="H128" s="8" t="s">
        <v>86</v>
      </c>
      <c r="I128" s="8" t="s">
        <v>56</v>
      </c>
      <c r="J128" s="8" t="s">
        <v>87</v>
      </c>
      <c r="K128" s="8" t="s">
        <v>88</v>
      </c>
      <c r="L128" s="8" t="s">
        <v>89</v>
      </c>
      <c r="M128" s="8" t="s">
        <v>82</v>
      </c>
      <c r="N128" s="8" t="s">
        <v>46</v>
      </c>
      <c r="O128" s="8" t="s">
        <v>87</v>
      </c>
      <c r="P128" s="8"/>
      <c r="Q128" s="8" t="s">
        <v>87</v>
      </c>
      <c r="R128" s="8" t="s">
        <v>86</v>
      </c>
    </row>
    <row r="129" customFormat="false" ht="22.35" hidden="false" customHeight="false" outlineLevel="0" collapsed="false">
      <c r="A129" s="8" t="s">
        <v>699</v>
      </c>
      <c r="B129" s="8" t="s">
        <v>700</v>
      </c>
      <c r="C129" s="8" t="s">
        <v>702</v>
      </c>
      <c r="D129" s="8" t="s">
        <v>86</v>
      </c>
      <c r="E129" s="9" t="n">
        <v>160000</v>
      </c>
      <c r="F129" s="9" t="s">
        <v>87</v>
      </c>
      <c r="G129" s="9" t="str">
        <f aca="false">IF(AND(ISNUMBER(E129),ISNUMBER(F129)),E129-F129,"No disponible")</f>
        <v>No disponible</v>
      </c>
      <c r="H129" s="8" t="s">
        <v>86</v>
      </c>
      <c r="I129" s="8" t="s">
        <v>56</v>
      </c>
      <c r="J129" s="8" t="s">
        <v>87</v>
      </c>
      <c r="K129" s="8" t="s">
        <v>88</v>
      </c>
      <c r="L129" s="8" t="s">
        <v>89</v>
      </c>
      <c r="M129" s="8" t="s">
        <v>82</v>
      </c>
      <c r="N129" s="8" t="s">
        <v>46</v>
      </c>
      <c r="O129" s="8" t="s">
        <v>87</v>
      </c>
      <c r="P129" s="8"/>
      <c r="Q129" s="8" t="s">
        <v>87</v>
      </c>
      <c r="R129" s="8" t="s">
        <v>86</v>
      </c>
    </row>
    <row r="130" customFormat="false" ht="22.35" hidden="false" customHeight="false" outlineLevel="0" collapsed="false">
      <c r="A130" s="8" t="s">
        <v>699</v>
      </c>
      <c r="B130" s="8" t="s">
        <v>700</v>
      </c>
      <c r="C130" s="8" t="s">
        <v>703</v>
      </c>
      <c r="D130" s="8" t="s">
        <v>86</v>
      </c>
      <c r="E130" s="9" t="n">
        <v>1861160</v>
      </c>
      <c r="F130" s="9" t="s">
        <v>87</v>
      </c>
      <c r="G130" s="9" t="str">
        <f aca="false">IF(AND(ISNUMBER(E130),ISNUMBER(F130)),E130-F130,"No disponible")</f>
        <v>No disponible</v>
      </c>
      <c r="H130" s="8" t="s">
        <v>86</v>
      </c>
      <c r="I130" s="8" t="s">
        <v>56</v>
      </c>
      <c r="J130" s="8" t="s">
        <v>87</v>
      </c>
      <c r="K130" s="8" t="s">
        <v>88</v>
      </c>
      <c r="L130" s="8" t="s">
        <v>89</v>
      </c>
      <c r="M130" s="8" t="s">
        <v>82</v>
      </c>
      <c r="N130" s="8" t="s">
        <v>46</v>
      </c>
      <c r="O130" s="8" t="s">
        <v>87</v>
      </c>
      <c r="P130" s="8"/>
      <c r="Q130" s="8" t="s">
        <v>87</v>
      </c>
      <c r="R130" s="8" t="s">
        <v>86</v>
      </c>
    </row>
    <row r="131" customFormat="false" ht="53.7" hidden="false" customHeight="false" outlineLevel="0" collapsed="false">
      <c r="A131" s="8" t="s">
        <v>699</v>
      </c>
      <c r="B131" s="8" t="s">
        <v>700</v>
      </c>
      <c r="C131" s="8" t="s">
        <v>704</v>
      </c>
      <c r="D131" s="8" t="s">
        <v>705</v>
      </c>
      <c r="E131" s="9" t="n">
        <v>2984000</v>
      </c>
      <c r="F131" s="9" t="n">
        <v>2984000</v>
      </c>
      <c r="G131" s="9" t="n">
        <f aca="false">IF(AND(ISNUMBER(E131),ISNUMBER(F131)),E131-F131,"No disponible")</f>
        <v>0</v>
      </c>
      <c r="H131" s="8" t="s">
        <v>706</v>
      </c>
      <c r="I131" s="8" t="s">
        <v>56</v>
      </c>
      <c r="J131" s="8" t="s">
        <v>43</v>
      </c>
      <c r="K131" s="8" t="s">
        <v>44</v>
      </c>
      <c r="L131" s="8" t="s">
        <v>45</v>
      </c>
      <c r="M131" s="8" t="s">
        <v>6</v>
      </c>
      <c r="N131" s="8" t="s">
        <v>46</v>
      </c>
      <c r="O131" s="8" t="s">
        <v>707</v>
      </c>
      <c r="P131" s="8" t="s">
        <v>708</v>
      </c>
      <c r="Q131" s="8" t="s">
        <v>59</v>
      </c>
      <c r="R131" s="8" t="s">
        <v>50</v>
      </c>
    </row>
    <row r="132" customFormat="false" ht="22.35" hidden="false" customHeight="false" outlineLevel="0" collapsed="false">
      <c r="A132" s="8" t="s">
        <v>699</v>
      </c>
      <c r="B132" s="8" t="s">
        <v>700</v>
      </c>
      <c r="C132" s="8" t="s">
        <v>709</v>
      </c>
      <c r="D132" s="8" t="s">
        <v>86</v>
      </c>
      <c r="E132" s="9" t="n">
        <v>124000</v>
      </c>
      <c r="F132" s="9" t="s">
        <v>87</v>
      </c>
      <c r="G132" s="9" t="str">
        <f aca="false">IF(AND(ISNUMBER(E132),ISNUMBER(F132)),E132-F132,"No disponible")</f>
        <v>No disponible</v>
      </c>
      <c r="H132" s="8" t="s">
        <v>86</v>
      </c>
      <c r="I132" s="8" t="s">
        <v>56</v>
      </c>
      <c r="J132" s="8" t="s">
        <v>87</v>
      </c>
      <c r="K132" s="8" t="s">
        <v>88</v>
      </c>
      <c r="L132" s="8" t="s">
        <v>89</v>
      </c>
      <c r="M132" s="8" t="s">
        <v>82</v>
      </c>
      <c r="N132" s="8" t="s">
        <v>46</v>
      </c>
      <c r="O132" s="8" t="s">
        <v>87</v>
      </c>
      <c r="P132" s="8"/>
      <c r="Q132" s="8" t="s">
        <v>87</v>
      </c>
      <c r="R132" s="8" t="s">
        <v>86</v>
      </c>
    </row>
    <row r="133" customFormat="false" ht="22.35" hidden="false" customHeight="false" outlineLevel="0" collapsed="false">
      <c r="A133" s="8" t="s">
        <v>710</v>
      </c>
      <c r="B133" s="8" t="s">
        <v>711</v>
      </c>
      <c r="C133" s="8" t="s">
        <v>712</v>
      </c>
      <c r="D133" s="8" t="s">
        <v>86</v>
      </c>
      <c r="E133" s="9" t="n">
        <v>13000</v>
      </c>
      <c r="F133" s="9" t="s">
        <v>87</v>
      </c>
      <c r="G133" s="9" t="str">
        <f aca="false">IF(AND(ISNUMBER(E133),ISNUMBER(F133)),E133-F133,"No disponible")</f>
        <v>No disponible</v>
      </c>
      <c r="H133" s="8" t="s">
        <v>86</v>
      </c>
      <c r="I133" s="8" t="s">
        <v>56</v>
      </c>
      <c r="J133" s="8" t="s">
        <v>87</v>
      </c>
      <c r="K133" s="8" t="s">
        <v>140</v>
      </c>
      <c r="L133" s="8" t="s">
        <v>141</v>
      </c>
      <c r="M133" s="8" t="s">
        <v>82</v>
      </c>
      <c r="N133" s="8" t="s">
        <v>46</v>
      </c>
      <c r="O133" s="8" t="s">
        <v>87</v>
      </c>
      <c r="P133" s="8"/>
      <c r="Q133" s="8" t="s">
        <v>87</v>
      </c>
      <c r="R133" s="8" t="s">
        <v>86</v>
      </c>
    </row>
    <row r="134" customFormat="false" ht="32.8" hidden="false" customHeight="false" outlineLevel="0" collapsed="false">
      <c r="A134" s="8" t="s">
        <v>713</v>
      </c>
      <c r="B134" s="8" t="s">
        <v>714</v>
      </c>
      <c r="C134" s="8" t="s">
        <v>715</v>
      </c>
      <c r="D134" s="8" t="s">
        <v>127</v>
      </c>
      <c r="E134" s="9" t="n">
        <v>5500</v>
      </c>
      <c r="F134" s="9" t="n">
        <v>5500</v>
      </c>
      <c r="G134" s="9" t="n">
        <f aca="false">IF(AND(ISNUMBER(E134),ISNUMBER(F134)),E134-F134,"No disponible")</f>
        <v>0</v>
      </c>
      <c r="H134" s="8" t="s">
        <v>64</v>
      </c>
      <c r="I134" s="8" t="s">
        <v>56</v>
      </c>
      <c r="J134" s="8" t="s">
        <v>43</v>
      </c>
      <c r="K134" s="8" t="s">
        <v>190</v>
      </c>
      <c r="L134" s="8" t="s">
        <v>45</v>
      </c>
      <c r="M134" s="8" t="s">
        <v>6</v>
      </c>
      <c r="N134" s="8" t="s">
        <v>46</v>
      </c>
      <c r="O134" s="8" t="s">
        <v>716</v>
      </c>
      <c r="P134" s="8" t="s">
        <v>717</v>
      </c>
      <c r="Q134" s="8" t="s">
        <v>193</v>
      </c>
      <c r="R134" s="8" t="s">
        <v>50</v>
      </c>
    </row>
    <row r="135" customFormat="false" ht="53.7" hidden="false" customHeight="false" outlineLevel="0" collapsed="false">
      <c r="A135" s="8" t="s">
        <v>718</v>
      </c>
      <c r="B135" s="8" t="s">
        <v>719</v>
      </c>
      <c r="C135" s="8" t="s">
        <v>720</v>
      </c>
      <c r="D135" s="8" t="s">
        <v>428</v>
      </c>
      <c r="E135" s="9" t="n">
        <v>1785000</v>
      </c>
      <c r="F135" s="9" t="n">
        <v>1785000</v>
      </c>
      <c r="G135" s="9" t="n">
        <f aca="false">IF(AND(ISNUMBER(E135),ISNUMBER(F135)),E135-F135,"No disponible")</f>
        <v>0</v>
      </c>
      <c r="H135" s="8" t="s">
        <v>721</v>
      </c>
      <c r="I135" s="8" t="s">
        <v>56</v>
      </c>
      <c r="J135" s="8" t="s">
        <v>43</v>
      </c>
      <c r="K135" s="8" t="s">
        <v>44</v>
      </c>
      <c r="L135" s="8" t="s">
        <v>45</v>
      </c>
      <c r="M135" s="8" t="s">
        <v>6</v>
      </c>
      <c r="N135" s="8" t="s">
        <v>46</v>
      </c>
      <c r="O135" s="8" t="s">
        <v>722</v>
      </c>
      <c r="P135" s="8" t="s">
        <v>723</v>
      </c>
      <c r="Q135" s="8" t="s">
        <v>59</v>
      </c>
      <c r="R135" s="8" t="s">
        <v>50</v>
      </c>
    </row>
    <row r="136" customFormat="false" ht="32.8" hidden="false" customHeight="false" outlineLevel="0" collapsed="false">
      <c r="A136" s="8" t="s">
        <v>724</v>
      </c>
      <c r="B136" s="8" t="s">
        <v>725</v>
      </c>
      <c r="C136" s="8" t="s">
        <v>726</v>
      </c>
      <c r="D136" s="8" t="s">
        <v>266</v>
      </c>
      <c r="E136" s="9" t="n">
        <v>62700</v>
      </c>
      <c r="F136" s="9" t="n">
        <v>62700</v>
      </c>
      <c r="G136" s="9" t="n">
        <f aca="false">IF(AND(ISNUMBER(E136),ISNUMBER(F136)),E136-F136,"No disponible")</f>
        <v>0</v>
      </c>
      <c r="H136" s="8" t="s">
        <v>727</v>
      </c>
      <c r="I136" s="8" t="s">
        <v>56</v>
      </c>
      <c r="J136" s="8" t="s">
        <v>43</v>
      </c>
      <c r="K136" s="8" t="s">
        <v>190</v>
      </c>
      <c r="L136" s="8" t="s">
        <v>45</v>
      </c>
      <c r="M136" s="8" t="s">
        <v>6</v>
      </c>
      <c r="N136" s="8" t="s">
        <v>46</v>
      </c>
      <c r="O136" s="8" t="s">
        <v>728</v>
      </c>
      <c r="P136" s="8" t="s">
        <v>729</v>
      </c>
      <c r="Q136" s="8" t="s">
        <v>193</v>
      </c>
      <c r="R136" s="8" t="s">
        <v>50</v>
      </c>
    </row>
    <row r="137" customFormat="false" ht="43.25" hidden="false" customHeight="false" outlineLevel="0" collapsed="false">
      <c r="A137" s="8" t="s">
        <v>730</v>
      </c>
      <c r="B137" s="8" t="s">
        <v>731</v>
      </c>
      <c r="C137" s="8" t="s">
        <v>732</v>
      </c>
      <c r="D137" s="8" t="s">
        <v>266</v>
      </c>
      <c r="E137" s="9" t="n">
        <v>21600</v>
      </c>
      <c r="F137" s="9" t="n">
        <v>21600</v>
      </c>
      <c r="G137" s="9" t="n">
        <f aca="false">IF(AND(ISNUMBER(E137),ISNUMBER(F137)),E137-F137,"No disponible")</f>
        <v>0</v>
      </c>
      <c r="H137" s="8" t="s">
        <v>733</v>
      </c>
      <c r="I137" s="8" t="s">
        <v>56</v>
      </c>
      <c r="J137" s="8" t="s">
        <v>43</v>
      </c>
      <c r="K137" s="8" t="s">
        <v>44</v>
      </c>
      <c r="L137" s="8" t="s">
        <v>45</v>
      </c>
      <c r="M137" s="8" t="s">
        <v>6</v>
      </c>
      <c r="N137" s="8" t="s">
        <v>46</v>
      </c>
      <c r="O137" s="8" t="s">
        <v>734</v>
      </c>
      <c r="P137" s="8" t="s">
        <v>735</v>
      </c>
      <c r="Q137" s="8" t="s">
        <v>59</v>
      </c>
      <c r="R137" s="8" t="s">
        <v>50</v>
      </c>
    </row>
    <row r="138" customFormat="false" ht="32.8" hidden="false" customHeight="false" outlineLevel="0" collapsed="false">
      <c r="A138" s="8" t="s">
        <v>730</v>
      </c>
      <c r="B138" s="8" t="s">
        <v>731</v>
      </c>
      <c r="C138" s="8" t="s">
        <v>736</v>
      </c>
      <c r="D138" s="8" t="s">
        <v>266</v>
      </c>
      <c r="E138" s="9" t="n">
        <v>245800</v>
      </c>
      <c r="F138" s="9" t="n">
        <v>245800</v>
      </c>
      <c r="G138" s="9" t="n">
        <f aca="false">IF(AND(ISNUMBER(E138),ISNUMBER(F138)),E138-F138,"No disponible")</f>
        <v>0</v>
      </c>
      <c r="H138" s="8" t="s">
        <v>737</v>
      </c>
      <c r="I138" s="8" t="s">
        <v>56</v>
      </c>
      <c r="J138" s="8" t="s">
        <v>43</v>
      </c>
      <c r="K138" s="8" t="s">
        <v>190</v>
      </c>
      <c r="L138" s="8" t="s">
        <v>45</v>
      </c>
      <c r="M138" s="8" t="s">
        <v>6</v>
      </c>
      <c r="N138" s="8" t="s">
        <v>46</v>
      </c>
      <c r="O138" s="8" t="s">
        <v>738</v>
      </c>
      <c r="P138" s="8" t="s">
        <v>739</v>
      </c>
      <c r="Q138" s="8" t="s">
        <v>193</v>
      </c>
      <c r="R138" s="8" t="s">
        <v>50</v>
      </c>
    </row>
    <row r="139" customFormat="false" ht="32.8" hidden="false" customHeight="false" outlineLevel="0" collapsed="false">
      <c r="A139" s="8" t="s">
        <v>730</v>
      </c>
      <c r="B139" s="8" t="s">
        <v>731</v>
      </c>
      <c r="C139" s="8" t="s">
        <v>740</v>
      </c>
      <c r="D139" s="8" t="s">
        <v>266</v>
      </c>
      <c r="E139" s="9" t="n">
        <v>52000</v>
      </c>
      <c r="F139" s="9" t="n">
        <v>51999</v>
      </c>
      <c r="G139" s="9" t="n">
        <f aca="false">IF(AND(ISNUMBER(E139),ISNUMBER(F139)),E139-F139,"No disponible")</f>
        <v>1</v>
      </c>
      <c r="H139" s="8" t="s">
        <v>741</v>
      </c>
      <c r="I139" s="8" t="s">
        <v>56</v>
      </c>
      <c r="J139" s="8" t="s">
        <v>43</v>
      </c>
      <c r="K139" s="8" t="s">
        <v>81</v>
      </c>
      <c r="L139" s="8" t="s">
        <v>45</v>
      </c>
      <c r="M139" s="8" t="s">
        <v>82</v>
      </c>
      <c r="N139" s="8" t="s">
        <v>46</v>
      </c>
      <c r="O139" s="8" t="s">
        <v>742</v>
      </c>
      <c r="P139" s="8" t="s">
        <v>743</v>
      </c>
      <c r="Q139" s="8" t="s">
        <v>59</v>
      </c>
      <c r="R139" s="8" t="s">
        <v>50</v>
      </c>
    </row>
    <row r="140" customFormat="false" ht="43.25" hidden="false" customHeight="false" outlineLevel="0" collapsed="false">
      <c r="A140" s="8" t="s">
        <v>751</v>
      </c>
      <c r="B140" s="8" t="s">
        <v>752</v>
      </c>
      <c r="C140" s="8" t="s">
        <v>753</v>
      </c>
      <c r="D140" s="8" t="s">
        <v>754</v>
      </c>
      <c r="E140" s="9" t="n">
        <v>2143667</v>
      </c>
      <c r="F140" s="9" t="n">
        <v>2143667</v>
      </c>
      <c r="G140" s="9" t="n">
        <f aca="false">IF(AND(ISNUMBER(E140),ISNUMBER(F140)),E140-F140,"No disponible")</f>
        <v>0</v>
      </c>
      <c r="H140" s="8" t="s">
        <v>755</v>
      </c>
      <c r="I140" s="8" t="s">
        <v>42</v>
      </c>
      <c r="J140" s="8" t="s">
        <v>43</v>
      </c>
      <c r="K140" s="8" t="s">
        <v>44</v>
      </c>
      <c r="L140" s="8" t="s">
        <v>45</v>
      </c>
      <c r="M140" s="8" t="s">
        <v>6</v>
      </c>
      <c r="N140" s="8" t="s">
        <v>46</v>
      </c>
      <c r="O140" s="8" t="s">
        <v>756</v>
      </c>
      <c r="P140" s="8" t="s">
        <v>757</v>
      </c>
      <c r="Q140" s="8" t="s">
        <v>59</v>
      </c>
      <c r="R140" s="8" t="s">
        <v>50</v>
      </c>
    </row>
    <row r="141" customFormat="false" ht="64.15" hidden="false" customHeight="false" outlineLevel="0" collapsed="false">
      <c r="A141" s="8" t="s">
        <v>758</v>
      </c>
      <c r="B141" s="8" t="s">
        <v>759</v>
      </c>
      <c r="C141" s="8" t="s">
        <v>760</v>
      </c>
      <c r="D141" s="8" t="s">
        <v>761</v>
      </c>
      <c r="E141" s="9" t="n">
        <v>6400000</v>
      </c>
      <c r="F141" s="9" t="n">
        <v>6400000</v>
      </c>
      <c r="G141" s="9" t="n">
        <f aca="false">IF(AND(ISNUMBER(E141),ISNUMBER(F141)),E141-F141,"No disponible")</f>
        <v>0</v>
      </c>
      <c r="H141" s="8" t="s">
        <v>762</v>
      </c>
      <c r="I141" s="8" t="s">
        <v>56</v>
      </c>
      <c r="J141" s="8" t="s">
        <v>43</v>
      </c>
      <c r="K141" s="8" t="s">
        <v>44</v>
      </c>
      <c r="L141" s="8" t="s">
        <v>45</v>
      </c>
      <c r="M141" s="8" t="s">
        <v>6</v>
      </c>
      <c r="N141" s="8" t="s">
        <v>46</v>
      </c>
      <c r="O141" s="8" t="s">
        <v>763</v>
      </c>
      <c r="P141" s="8" t="s">
        <v>764</v>
      </c>
      <c r="Q141" s="8" t="s">
        <v>59</v>
      </c>
      <c r="R141" s="8" t="s">
        <v>50</v>
      </c>
    </row>
    <row r="142" customFormat="false" ht="64.15" hidden="false" customHeight="false" outlineLevel="0" collapsed="false">
      <c r="A142" s="8" t="s">
        <v>758</v>
      </c>
      <c r="B142" s="8" t="s">
        <v>759</v>
      </c>
      <c r="C142" s="8" t="s">
        <v>765</v>
      </c>
      <c r="D142" s="8" t="s">
        <v>761</v>
      </c>
      <c r="E142" s="9" t="n">
        <v>6400000</v>
      </c>
      <c r="F142" s="9" t="n">
        <v>6400000</v>
      </c>
      <c r="G142" s="9" t="n">
        <f aca="false">IF(AND(ISNUMBER(E142),ISNUMBER(F142)),E142-F142,"No disponible")</f>
        <v>0</v>
      </c>
      <c r="H142" s="8" t="s">
        <v>762</v>
      </c>
      <c r="I142" s="8" t="s">
        <v>56</v>
      </c>
      <c r="J142" s="8" t="s">
        <v>43</v>
      </c>
      <c r="K142" s="8" t="s">
        <v>44</v>
      </c>
      <c r="L142" s="8" t="s">
        <v>45</v>
      </c>
      <c r="M142" s="8" t="s">
        <v>6</v>
      </c>
      <c r="N142" s="8" t="s">
        <v>46</v>
      </c>
      <c r="O142" s="8" t="s">
        <v>766</v>
      </c>
      <c r="P142" s="8" t="s">
        <v>767</v>
      </c>
      <c r="Q142" s="8" t="s">
        <v>59</v>
      </c>
      <c r="R142" s="8" t="s">
        <v>50</v>
      </c>
    </row>
    <row r="143" customFormat="false" ht="64.15" hidden="false" customHeight="false" outlineLevel="0" collapsed="false">
      <c r="A143" s="8" t="s">
        <v>758</v>
      </c>
      <c r="B143" s="8" t="s">
        <v>759</v>
      </c>
      <c r="C143" s="8" t="s">
        <v>768</v>
      </c>
      <c r="D143" s="8" t="s">
        <v>761</v>
      </c>
      <c r="E143" s="9" t="n">
        <v>6400000</v>
      </c>
      <c r="F143" s="9" t="n">
        <v>6400000</v>
      </c>
      <c r="G143" s="9" t="n">
        <f aca="false">IF(AND(ISNUMBER(E143),ISNUMBER(F143)),E143-F143,"No disponible")</f>
        <v>0</v>
      </c>
      <c r="H143" s="8" t="s">
        <v>762</v>
      </c>
      <c r="I143" s="8" t="s">
        <v>65</v>
      </c>
      <c r="J143" s="8" t="s">
        <v>43</v>
      </c>
      <c r="K143" s="8" t="s">
        <v>44</v>
      </c>
      <c r="L143" s="8" t="s">
        <v>45</v>
      </c>
      <c r="M143" s="8" t="s">
        <v>6</v>
      </c>
      <c r="N143" s="8" t="s">
        <v>46</v>
      </c>
      <c r="O143" s="8" t="s">
        <v>769</v>
      </c>
      <c r="P143" s="8" t="s">
        <v>770</v>
      </c>
      <c r="Q143" s="8" t="s">
        <v>69</v>
      </c>
      <c r="R143" s="8" t="s">
        <v>50</v>
      </c>
    </row>
    <row r="144" customFormat="false" ht="43.25" hidden="false" customHeight="false" outlineLevel="0" collapsed="false">
      <c r="A144" s="8" t="s">
        <v>771</v>
      </c>
      <c r="B144" s="8" t="s">
        <v>772</v>
      </c>
      <c r="C144" s="8" t="s">
        <v>773</v>
      </c>
      <c r="D144" s="8" t="s">
        <v>93</v>
      </c>
      <c r="E144" s="9" t="n">
        <v>32300</v>
      </c>
      <c r="F144" s="9" t="n">
        <v>32300</v>
      </c>
      <c r="G144" s="9" t="n">
        <f aca="false">IF(AND(ISNUMBER(E144),ISNUMBER(F144)),E144-F144,"No disponible")</f>
        <v>0</v>
      </c>
      <c r="H144" s="8" t="s">
        <v>733</v>
      </c>
      <c r="I144" s="8" t="s">
        <v>56</v>
      </c>
      <c r="J144" s="8" t="s">
        <v>43</v>
      </c>
      <c r="K144" s="8" t="s">
        <v>44</v>
      </c>
      <c r="L144" s="8" t="s">
        <v>45</v>
      </c>
      <c r="M144" s="8" t="s">
        <v>6</v>
      </c>
      <c r="N144" s="8" t="s">
        <v>46</v>
      </c>
      <c r="O144" s="8" t="s">
        <v>774</v>
      </c>
      <c r="P144" s="8" t="s">
        <v>775</v>
      </c>
      <c r="Q144" s="8" t="s">
        <v>59</v>
      </c>
      <c r="R144" s="8" t="s">
        <v>50</v>
      </c>
    </row>
    <row r="145" customFormat="false" ht="64.15" hidden="false" customHeight="false" outlineLevel="0" collapsed="false">
      <c r="A145" s="8" t="s">
        <v>776</v>
      </c>
      <c r="B145" s="8" t="s">
        <v>777</v>
      </c>
      <c r="C145" s="8" t="s">
        <v>778</v>
      </c>
      <c r="D145" s="8" t="s">
        <v>779</v>
      </c>
      <c r="E145" s="9" t="n">
        <v>1666000</v>
      </c>
      <c r="F145" s="9" t="n">
        <v>1666000</v>
      </c>
      <c r="G145" s="9" t="n">
        <f aca="false">IF(AND(ISNUMBER(E145),ISNUMBER(F145)),E145-F145,"No disponible")</f>
        <v>0</v>
      </c>
      <c r="H145" s="8" t="s">
        <v>780</v>
      </c>
      <c r="I145" s="8" t="s">
        <v>56</v>
      </c>
      <c r="J145" s="8" t="s">
        <v>43</v>
      </c>
      <c r="K145" s="8" t="s">
        <v>44</v>
      </c>
      <c r="L145" s="8" t="s">
        <v>45</v>
      </c>
      <c r="M145" s="8" t="s">
        <v>6</v>
      </c>
      <c r="N145" s="8" t="s">
        <v>46</v>
      </c>
      <c r="O145" s="8" t="s">
        <v>781</v>
      </c>
      <c r="P145" s="8" t="s">
        <v>782</v>
      </c>
      <c r="Q145" s="8" t="s">
        <v>59</v>
      </c>
      <c r="R145" s="8" t="s">
        <v>50</v>
      </c>
    </row>
    <row r="146" customFormat="false" ht="43.25" hidden="false" customHeight="false" outlineLevel="0" collapsed="false">
      <c r="A146" s="8" t="s">
        <v>783</v>
      </c>
      <c r="B146" s="8" t="s">
        <v>784</v>
      </c>
      <c r="C146" s="8" t="s">
        <v>785</v>
      </c>
      <c r="D146" s="8" t="s">
        <v>159</v>
      </c>
      <c r="E146" s="9" t="n">
        <v>850000</v>
      </c>
      <c r="F146" s="9" t="n">
        <v>850000</v>
      </c>
      <c r="G146" s="9" t="n">
        <f aca="false">IF(AND(ISNUMBER(E146),ISNUMBER(F146)),E146-F146,"No disponible")</f>
        <v>0</v>
      </c>
      <c r="H146" s="8" t="s">
        <v>786</v>
      </c>
      <c r="I146" s="8" t="s">
        <v>42</v>
      </c>
      <c r="J146" s="8" t="s">
        <v>43</v>
      </c>
      <c r="K146" s="8" t="s">
        <v>44</v>
      </c>
      <c r="L146" s="8" t="s">
        <v>45</v>
      </c>
      <c r="M146" s="8" t="s">
        <v>6</v>
      </c>
      <c r="N146" s="8" t="s">
        <v>46</v>
      </c>
      <c r="O146" s="8" t="s">
        <v>787</v>
      </c>
      <c r="P146" s="8" t="s">
        <v>788</v>
      </c>
      <c r="Q146" s="8" t="s">
        <v>49</v>
      </c>
      <c r="R146" s="8" t="s">
        <v>50</v>
      </c>
    </row>
    <row r="147" customFormat="false" ht="53.7" hidden="false" customHeight="false" outlineLevel="0" collapsed="false">
      <c r="A147" s="8" t="s">
        <v>789</v>
      </c>
      <c r="B147" s="8" t="s">
        <v>790</v>
      </c>
      <c r="C147" s="8" t="s">
        <v>791</v>
      </c>
      <c r="D147" s="8" t="s">
        <v>792</v>
      </c>
      <c r="E147" s="9" t="n">
        <v>4042161.06</v>
      </c>
      <c r="F147" s="9" t="n">
        <v>4042161</v>
      </c>
      <c r="G147" s="9" t="n">
        <f aca="false">IF(AND(ISNUMBER(E147),ISNUMBER(F147)),E147-F147,"No disponible")</f>
        <v>0.0600000000558794</v>
      </c>
      <c r="H147" s="8" t="s">
        <v>793</v>
      </c>
      <c r="I147" s="8" t="s">
        <v>56</v>
      </c>
      <c r="J147" s="8" t="s">
        <v>43</v>
      </c>
      <c r="K147" s="8" t="s">
        <v>114</v>
      </c>
      <c r="L147" s="8" t="s">
        <v>45</v>
      </c>
      <c r="M147" s="8" t="s">
        <v>82</v>
      </c>
      <c r="N147" s="8" t="s">
        <v>46</v>
      </c>
      <c r="O147" s="8" t="s">
        <v>794</v>
      </c>
      <c r="P147" s="8" t="s">
        <v>795</v>
      </c>
      <c r="Q147" s="8" t="s">
        <v>59</v>
      </c>
      <c r="R147" s="8" t="s">
        <v>111</v>
      </c>
    </row>
    <row r="148" customFormat="false" ht="22.35" hidden="false" customHeight="false" outlineLevel="0" collapsed="false">
      <c r="A148" s="8" t="s">
        <v>796</v>
      </c>
      <c r="B148" s="8" t="s">
        <v>797</v>
      </c>
      <c r="C148" s="8" t="s">
        <v>798</v>
      </c>
      <c r="D148" s="8" t="s">
        <v>86</v>
      </c>
      <c r="E148" s="9" t="n">
        <v>138833</v>
      </c>
      <c r="F148" s="9" t="s">
        <v>87</v>
      </c>
      <c r="G148" s="9" t="str">
        <f aca="false">IF(AND(ISNUMBER(E148),ISNUMBER(F148)),E148-F148,"No disponible")</f>
        <v>No disponible</v>
      </c>
      <c r="H148" s="8" t="s">
        <v>86</v>
      </c>
      <c r="I148" s="8" t="s">
        <v>56</v>
      </c>
      <c r="J148" s="8" t="s">
        <v>87</v>
      </c>
      <c r="K148" s="8" t="s">
        <v>88</v>
      </c>
      <c r="L148" s="8" t="s">
        <v>89</v>
      </c>
      <c r="M148" s="8" t="s">
        <v>82</v>
      </c>
      <c r="N148" s="8" t="s">
        <v>46</v>
      </c>
      <c r="O148" s="8" t="s">
        <v>87</v>
      </c>
      <c r="P148" s="8"/>
      <c r="Q148" s="8" t="s">
        <v>87</v>
      </c>
      <c r="R148" s="8" t="s">
        <v>86</v>
      </c>
    </row>
    <row r="149" customFormat="false" ht="22.35" hidden="false" customHeight="false" outlineLevel="0" collapsed="false">
      <c r="A149" s="8" t="s">
        <v>796</v>
      </c>
      <c r="B149" s="8" t="s">
        <v>797</v>
      </c>
      <c r="C149" s="8" t="s">
        <v>799</v>
      </c>
      <c r="D149" s="8" t="s">
        <v>86</v>
      </c>
      <c r="E149" s="9" t="n">
        <v>3276502</v>
      </c>
      <c r="F149" s="9" t="s">
        <v>87</v>
      </c>
      <c r="G149" s="9" t="str">
        <f aca="false">IF(AND(ISNUMBER(E149),ISNUMBER(F149)),E149-F149,"No disponible")</f>
        <v>No disponible</v>
      </c>
      <c r="H149" s="8" t="s">
        <v>86</v>
      </c>
      <c r="I149" s="8" t="s">
        <v>56</v>
      </c>
      <c r="J149" s="8" t="s">
        <v>87</v>
      </c>
      <c r="K149" s="8" t="s">
        <v>88</v>
      </c>
      <c r="L149" s="8" t="s">
        <v>89</v>
      </c>
      <c r="M149" s="8" t="s">
        <v>82</v>
      </c>
      <c r="N149" s="8" t="s">
        <v>46</v>
      </c>
      <c r="O149" s="8" t="s">
        <v>87</v>
      </c>
      <c r="P149" s="8"/>
      <c r="Q149" s="8" t="s">
        <v>87</v>
      </c>
      <c r="R149" s="8" t="s">
        <v>86</v>
      </c>
    </row>
    <row r="150" customFormat="false" ht="32.8" hidden="false" customHeight="false" outlineLevel="0" collapsed="false">
      <c r="A150" s="8" t="s">
        <v>796</v>
      </c>
      <c r="B150" s="8" t="s">
        <v>797</v>
      </c>
      <c r="C150" s="8" t="s">
        <v>800</v>
      </c>
      <c r="D150" s="8" t="s">
        <v>93</v>
      </c>
      <c r="E150" s="9" t="n">
        <v>257838</v>
      </c>
      <c r="F150" s="9" t="n">
        <v>257842</v>
      </c>
      <c r="G150" s="9" t="n">
        <f aca="false">IF(AND(ISNUMBER(E150),ISNUMBER(F150)),E150-F150,"No disponible")</f>
        <v>-4</v>
      </c>
      <c r="H150" s="8" t="s">
        <v>801</v>
      </c>
      <c r="I150" s="8" t="s">
        <v>56</v>
      </c>
      <c r="J150" s="8" t="s">
        <v>43</v>
      </c>
      <c r="K150" s="8" t="s">
        <v>81</v>
      </c>
      <c r="L150" s="8" t="s">
        <v>45</v>
      </c>
      <c r="M150" s="8" t="s">
        <v>82</v>
      </c>
      <c r="N150" s="8" t="s">
        <v>46</v>
      </c>
      <c r="O150" s="8" t="s">
        <v>802</v>
      </c>
      <c r="P150" s="8" t="s">
        <v>803</v>
      </c>
      <c r="Q150" s="8" t="s">
        <v>59</v>
      </c>
      <c r="R150" s="8" t="s">
        <v>50</v>
      </c>
    </row>
    <row r="151" customFormat="false" ht="22.35" hidden="false" customHeight="false" outlineLevel="0" collapsed="false">
      <c r="A151" s="8" t="s">
        <v>796</v>
      </c>
      <c r="B151" s="8" t="s">
        <v>797</v>
      </c>
      <c r="C151" s="8" t="s">
        <v>804</v>
      </c>
      <c r="D151" s="8" t="s">
        <v>86</v>
      </c>
      <c r="E151" s="9" t="n">
        <v>115352</v>
      </c>
      <c r="F151" s="9" t="s">
        <v>87</v>
      </c>
      <c r="G151" s="9" t="str">
        <f aca="false">IF(AND(ISNUMBER(E151),ISNUMBER(F151)),E151-F151,"No disponible")</f>
        <v>No disponible</v>
      </c>
      <c r="H151" s="8" t="s">
        <v>86</v>
      </c>
      <c r="I151" s="8" t="s">
        <v>56</v>
      </c>
      <c r="J151" s="8" t="s">
        <v>87</v>
      </c>
      <c r="K151" s="8" t="s">
        <v>88</v>
      </c>
      <c r="L151" s="8" t="s">
        <v>89</v>
      </c>
      <c r="M151" s="8" t="s">
        <v>82</v>
      </c>
      <c r="N151" s="8" t="s">
        <v>46</v>
      </c>
      <c r="O151" s="8" t="s">
        <v>87</v>
      </c>
      <c r="P151" s="8"/>
      <c r="Q151" s="8" t="s">
        <v>87</v>
      </c>
      <c r="R151" s="8" t="s">
        <v>86</v>
      </c>
    </row>
    <row r="152" customFormat="false" ht="32.8" hidden="false" customHeight="false" outlineLevel="0" collapsed="false">
      <c r="A152" s="8" t="s">
        <v>796</v>
      </c>
      <c r="B152" s="8" t="s">
        <v>797</v>
      </c>
      <c r="C152" s="8" t="s">
        <v>805</v>
      </c>
      <c r="D152" s="8" t="s">
        <v>93</v>
      </c>
      <c r="E152" s="9" t="n">
        <v>128919</v>
      </c>
      <c r="F152" s="9" t="n">
        <v>257842</v>
      </c>
      <c r="G152" s="9" t="n">
        <f aca="false">IF(AND(ISNUMBER(E152),ISNUMBER(F152)),E152-F152,"No disponible")</f>
        <v>-128923</v>
      </c>
      <c r="H152" s="8" t="s">
        <v>801</v>
      </c>
      <c r="I152" s="8" t="s">
        <v>65</v>
      </c>
      <c r="J152" s="8" t="s">
        <v>43</v>
      </c>
      <c r="K152" s="8" t="s">
        <v>806</v>
      </c>
      <c r="L152" s="8" t="s">
        <v>807</v>
      </c>
      <c r="M152" s="8" t="s">
        <v>6</v>
      </c>
      <c r="N152" s="8" t="s">
        <v>46</v>
      </c>
      <c r="O152" s="8" t="s">
        <v>808</v>
      </c>
      <c r="P152" s="8" t="s">
        <v>809</v>
      </c>
      <c r="Q152" s="8" t="s">
        <v>69</v>
      </c>
      <c r="R152" s="8" t="s">
        <v>50</v>
      </c>
    </row>
    <row r="153" customFormat="false" ht="32.8" hidden="false" customHeight="false" outlineLevel="0" collapsed="false">
      <c r="A153" s="8" t="s">
        <v>796</v>
      </c>
      <c r="B153" s="8" t="s">
        <v>797</v>
      </c>
      <c r="C153" s="8" t="s">
        <v>810</v>
      </c>
      <c r="D153" s="8" t="s">
        <v>93</v>
      </c>
      <c r="E153" s="9" t="n">
        <v>128919</v>
      </c>
      <c r="F153" s="9" t="n">
        <v>257842</v>
      </c>
      <c r="G153" s="9" t="n">
        <f aca="false">IF(AND(ISNUMBER(E153),ISNUMBER(F153)),E153-F153,"No disponible")</f>
        <v>-128923</v>
      </c>
      <c r="H153" s="8" t="s">
        <v>801</v>
      </c>
      <c r="I153" s="8" t="s">
        <v>65</v>
      </c>
      <c r="J153" s="8" t="s">
        <v>43</v>
      </c>
      <c r="K153" s="8" t="s">
        <v>806</v>
      </c>
      <c r="L153" s="8" t="s">
        <v>811</v>
      </c>
      <c r="M153" s="8" t="s">
        <v>6</v>
      </c>
      <c r="N153" s="8" t="s">
        <v>46</v>
      </c>
      <c r="O153" s="8" t="s">
        <v>808</v>
      </c>
      <c r="P153" s="8" t="s">
        <v>809</v>
      </c>
      <c r="Q153" s="8" t="s">
        <v>69</v>
      </c>
      <c r="R153" s="8" t="s">
        <v>50</v>
      </c>
    </row>
    <row r="154" customFormat="false" ht="43.25" hidden="false" customHeight="false" outlineLevel="0" collapsed="false">
      <c r="A154" s="8" t="s">
        <v>812</v>
      </c>
      <c r="B154" s="8" t="s">
        <v>813</v>
      </c>
      <c r="C154" s="8" t="s">
        <v>814</v>
      </c>
      <c r="D154" s="8" t="s">
        <v>127</v>
      </c>
      <c r="E154" s="9" t="n">
        <v>12000</v>
      </c>
      <c r="F154" s="9" t="n">
        <v>12000</v>
      </c>
      <c r="G154" s="9" t="n">
        <f aca="false">IF(AND(ISNUMBER(E154),ISNUMBER(F154)),E154-F154,"No disponible")</f>
        <v>0</v>
      </c>
      <c r="H154" s="8" t="s">
        <v>64</v>
      </c>
      <c r="I154" s="8" t="s">
        <v>42</v>
      </c>
      <c r="J154" s="8" t="s">
        <v>43</v>
      </c>
      <c r="K154" s="8" t="s">
        <v>44</v>
      </c>
      <c r="L154" s="8" t="s">
        <v>45</v>
      </c>
      <c r="M154" s="8" t="s">
        <v>6</v>
      </c>
      <c r="N154" s="8" t="s">
        <v>46</v>
      </c>
      <c r="O154" s="8" t="s">
        <v>815</v>
      </c>
      <c r="P154" s="8" t="s">
        <v>816</v>
      </c>
      <c r="Q154" s="8" t="s">
        <v>49</v>
      </c>
      <c r="R154" s="8" t="s">
        <v>50</v>
      </c>
    </row>
    <row r="155" customFormat="false" ht="43.25" hidden="false" customHeight="false" outlineLevel="0" collapsed="false">
      <c r="A155" s="8" t="s">
        <v>817</v>
      </c>
      <c r="B155" s="8" t="s">
        <v>818</v>
      </c>
      <c r="C155" s="8" t="s">
        <v>819</v>
      </c>
      <c r="D155" s="8" t="s">
        <v>820</v>
      </c>
      <c r="E155" s="9" t="n">
        <v>543830</v>
      </c>
      <c r="F155" s="9" t="n">
        <v>559825</v>
      </c>
      <c r="G155" s="9" t="n">
        <f aca="false">IF(AND(ISNUMBER(E155),ISNUMBER(F155)),E155-F155,"No disponible")</f>
        <v>-15995</v>
      </c>
      <c r="H155" s="8" t="s">
        <v>821</v>
      </c>
      <c r="I155" s="8" t="s">
        <v>56</v>
      </c>
      <c r="J155" s="8" t="s">
        <v>43</v>
      </c>
      <c r="K155" s="8" t="s">
        <v>81</v>
      </c>
      <c r="L155" s="8" t="s">
        <v>45</v>
      </c>
      <c r="M155" s="8" t="s">
        <v>82</v>
      </c>
      <c r="N155" s="8" t="s">
        <v>46</v>
      </c>
      <c r="O155" s="8" t="s">
        <v>822</v>
      </c>
      <c r="P155" s="8" t="s">
        <v>823</v>
      </c>
      <c r="Q155" s="8" t="s">
        <v>59</v>
      </c>
      <c r="R155" s="8" t="s">
        <v>50</v>
      </c>
    </row>
    <row r="156" customFormat="false" ht="43.25" hidden="false" customHeight="false" outlineLevel="0" collapsed="false">
      <c r="A156" s="8" t="s">
        <v>817</v>
      </c>
      <c r="B156" s="8" t="s">
        <v>818</v>
      </c>
      <c r="C156" s="8" t="s">
        <v>824</v>
      </c>
      <c r="D156" s="8" t="s">
        <v>93</v>
      </c>
      <c r="E156" s="9" t="n">
        <v>1131854</v>
      </c>
      <c r="F156" s="9" t="n">
        <v>1131854</v>
      </c>
      <c r="G156" s="9" t="n">
        <f aca="false">IF(AND(ISNUMBER(E156),ISNUMBER(F156)),E156-F156,"No disponible")</f>
        <v>0</v>
      </c>
      <c r="H156" s="8" t="s">
        <v>825</v>
      </c>
      <c r="I156" s="8" t="s">
        <v>56</v>
      </c>
      <c r="J156" s="8" t="s">
        <v>43</v>
      </c>
      <c r="K156" s="8" t="s">
        <v>44</v>
      </c>
      <c r="L156" s="8" t="s">
        <v>45</v>
      </c>
      <c r="M156" s="8" t="s">
        <v>6</v>
      </c>
      <c r="N156" s="8" t="s">
        <v>46</v>
      </c>
      <c r="O156" s="8" t="s">
        <v>826</v>
      </c>
      <c r="P156" s="8" t="s">
        <v>827</v>
      </c>
      <c r="Q156" s="8" t="s">
        <v>59</v>
      </c>
      <c r="R156" s="8" t="s">
        <v>50</v>
      </c>
    </row>
    <row r="157" customFormat="false" ht="43.25" hidden="false" customHeight="false" outlineLevel="0" collapsed="false">
      <c r="A157" s="8" t="s">
        <v>828</v>
      </c>
      <c r="B157" s="8" t="s">
        <v>829</v>
      </c>
      <c r="C157" s="8" t="s">
        <v>830</v>
      </c>
      <c r="D157" s="8" t="s">
        <v>831</v>
      </c>
      <c r="E157" s="9" t="n">
        <v>3425499.9989</v>
      </c>
      <c r="F157" s="9" t="n">
        <v>1829998</v>
      </c>
      <c r="G157" s="9" t="n">
        <f aca="false">IF(AND(ISNUMBER(E157),ISNUMBER(F157)),E157-F157,"No disponible")</f>
        <v>1595501.9989</v>
      </c>
      <c r="H157" s="8" t="s">
        <v>832</v>
      </c>
      <c r="I157" s="8" t="s">
        <v>56</v>
      </c>
      <c r="J157" s="8" t="s">
        <v>43</v>
      </c>
      <c r="K157" s="8" t="s">
        <v>81</v>
      </c>
      <c r="L157" s="8" t="s">
        <v>45</v>
      </c>
      <c r="M157" s="8" t="s">
        <v>82</v>
      </c>
      <c r="N157" s="8" t="s">
        <v>46</v>
      </c>
      <c r="O157" s="8" t="s">
        <v>833</v>
      </c>
      <c r="P157" s="8" t="s">
        <v>834</v>
      </c>
      <c r="Q157" s="8" t="s">
        <v>59</v>
      </c>
      <c r="R157" s="8" t="s">
        <v>50</v>
      </c>
    </row>
    <row r="158" customFormat="false" ht="43.25" hidden="false" customHeight="false" outlineLevel="0" collapsed="false">
      <c r="A158" s="8" t="s">
        <v>828</v>
      </c>
      <c r="B158" s="8" t="s">
        <v>829</v>
      </c>
      <c r="C158" s="8" t="s">
        <v>835</v>
      </c>
      <c r="D158" s="8" t="s">
        <v>127</v>
      </c>
      <c r="E158" s="9" t="n">
        <v>5000</v>
      </c>
      <c r="F158" s="9" t="n">
        <v>5000</v>
      </c>
      <c r="G158" s="9" t="n">
        <f aca="false">IF(AND(ISNUMBER(E158),ISNUMBER(F158)),E158-F158,"No disponible")</f>
        <v>0</v>
      </c>
      <c r="H158" s="8" t="s">
        <v>64</v>
      </c>
      <c r="I158" s="8" t="s">
        <v>56</v>
      </c>
      <c r="J158" s="8" t="s">
        <v>43</v>
      </c>
      <c r="K158" s="8" t="s">
        <v>44</v>
      </c>
      <c r="L158" s="8" t="s">
        <v>45</v>
      </c>
      <c r="M158" s="8" t="s">
        <v>6</v>
      </c>
      <c r="N158" s="8" t="s">
        <v>46</v>
      </c>
      <c r="O158" s="8" t="s">
        <v>836</v>
      </c>
      <c r="P158" s="8" t="s">
        <v>837</v>
      </c>
      <c r="Q158" s="8" t="s">
        <v>59</v>
      </c>
      <c r="R158" s="8" t="s">
        <v>50</v>
      </c>
    </row>
    <row r="159" customFormat="false" ht="43.25" hidden="false" customHeight="false" outlineLevel="0" collapsed="false">
      <c r="A159" s="8" t="s">
        <v>838</v>
      </c>
      <c r="B159" s="8" t="s">
        <v>839</v>
      </c>
      <c r="C159" s="8" t="s">
        <v>840</v>
      </c>
      <c r="D159" s="8" t="s">
        <v>841</v>
      </c>
      <c r="E159" s="9" t="n">
        <v>178500</v>
      </c>
      <c r="F159" s="9" t="n">
        <v>178500</v>
      </c>
      <c r="G159" s="9" t="n">
        <f aca="false">IF(AND(ISNUMBER(E159),ISNUMBER(F159)),E159-F159,"No disponible")</f>
        <v>0</v>
      </c>
      <c r="H159" s="8" t="s">
        <v>842</v>
      </c>
      <c r="I159" s="8" t="s">
        <v>56</v>
      </c>
      <c r="J159" s="8" t="s">
        <v>43</v>
      </c>
      <c r="K159" s="8" t="s">
        <v>44</v>
      </c>
      <c r="L159" s="8" t="s">
        <v>45</v>
      </c>
      <c r="M159" s="8" t="s">
        <v>6</v>
      </c>
      <c r="N159" s="8" t="s">
        <v>46</v>
      </c>
      <c r="O159" s="8" t="s">
        <v>843</v>
      </c>
      <c r="P159" s="8" t="s">
        <v>844</v>
      </c>
      <c r="Q159" s="8" t="s">
        <v>59</v>
      </c>
      <c r="R159" s="8" t="s">
        <v>50</v>
      </c>
    </row>
    <row r="160" customFormat="false" ht="22.35" hidden="false" customHeight="false" outlineLevel="0" collapsed="false">
      <c r="A160" s="8" t="s">
        <v>845</v>
      </c>
      <c r="B160" s="8" t="s">
        <v>846</v>
      </c>
      <c r="C160" s="8" t="s">
        <v>847</v>
      </c>
      <c r="D160" s="8" t="s">
        <v>86</v>
      </c>
      <c r="E160" s="9" t="n">
        <v>44900</v>
      </c>
      <c r="F160" s="9" t="s">
        <v>87</v>
      </c>
      <c r="G160" s="9" t="str">
        <f aca="false">IF(AND(ISNUMBER(E160),ISNUMBER(F160)),E160-F160,"No disponible")</f>
        <v>No disponible</v>
      </c>
      <c r="H160" s="8" t="s">
        <v>86</v>
      </c>
      <c r="I160" s="8" t="s">
        <v>56</v>
      </c>
      <c r="J160" s="8" t="s">
        <v>87</v>
      </c>
      <c r="K160" s="8" t="s">
        <v>88</v>
      </c>
      <c r="L160" s="8" t="s">
        <v>89</v>
      </c>
      <c r="M160" s="8" t="s">
        <v>82</v>
      </c>
      <c r="N160" s="8" t="s">
        <v>46</v>
      </c>
      <c r="O160" s="8" t="s">
        <v>87</v>
      </c>
      <c r="P160" s="8"/>
      <c r="Q160" s="8" t="s">
        <v>87</v>
      </c>
      <c r="R160" s="8" t="s">
        <v>86</v>
      </c>
    </row>
    <row r="161" customFormat="false" ht="43.25" hidden="false" customHeight="false" outlineLevel="0" collapsed="false">
      <c r="A161" s="8" t="s">
        <v>845</v>
      </c>
      <c r="B161" s="8" t="s">
        <v>846</v>
      </c>
      <c r="C161" s="8" t="s">
        <v>848</v>
      </c>
      <c r="D161" s="8" t="s">
        <v>127</v>
      </c>
      <c r="E161" s="9" t="n">
        <v>42800</v>
      </c>
      <c r="F161" s="9" t="n">
        <v>42800</v>
      </c>
      <c r="G161" s="9" t="n">
        <f aca="false">IF(AND(ISNUMBER(E161),ISNUMBER(F161)),E161-F161,"No disponible")</f>
        <v>0</v>
      </c>
      <c r="H161" s="8" t="s">
        <v>64</v>
      </c>
      <c r="I161" s="8" t="s">
        <v>56</v>
      </c>
      <c r="J161" s="8" t="s">
        <v>43</v>
      </c>
      <c r="K161" s="8" t="s">
        <v>44</v>
      </c>
      <c r="L161" s="8" t="s">
        <v>45</v>
      </c>
      <c r="M161" s="8" t="s">
        <v>6</v>
      </c>
      <c r="N161" s="8" t="s">
        <v>46</v>
      </c>
      <c r="O161" s="8" t="s">
        <v>849</v>
      </c>
      <c r="P161" s="8" t="s">
        <v>850</v>
      </c>
      <c r="Q161" s="8" t="s">
        <v>59</v>
      </c>
      <c r="R161" s="8" t="s">
        <v>50</v>
      </c>
    </row>
    <row r="162" customFormat="false" ht="32.8" hidden="false" customHeight="false" outlineLevel="0" collapsed="false">
      <c r="A162" s="8" t="s">
        <v>845</v>
      </c>
      <c r="B162" s="8" t="s">
        <v>846</v>
      </c>
      <c r="C162" s="8" t="s">
        <v>851</v>
      </c>
      <c r="D162" s="8" t="s">
        <v>127</v>
      </c>
      <c r="E162" s="9" t="n">
        <v>31900</v>
      </c>
      <c r="F162" s="9" t="n">
        <v>31900</v>
      </c>
      <c r="G162" s="9" t="n">
        <f aca="false">IF(AND(ISNUMBER(E162),ISNUMBER(F162)),E162-F162,"No disponible")</f>
        <v>0</v>
      </c>
      <c r="H162" s="8" t="s">
        <v>64</v>
      </c>
      <c r="I162" s="8" t="s">
        <v>56</v>
      </c>
      <c r="J162" s="8" t="s">
        <v>43</v>
      </c>
      <c r="K162" s="8" t="s">
        <v>190</v>
      </c>
      <c r="L162" s="8" t="s">
        <v>45</v>
      </c>
      <c r="M162" s="8" t="s">
        <v>6</v>
      </c>
      <c r="N162" s="8" t="s">
        <v>46</v>
      </c>
      <c r="O162" s="8" t="s">
        <v>852</v>
      </c>
      <c r="P162" s="8" t="s">
        <v>853</v>
      </c>
      <c r="Q162" s="8" t="s">
        <v>193</v>
      </c>
      <c r="R162" s="8" t="s">
        <v>50</v>
      </c>
    </row>
    <row r="163" customFormat="false" ht="22.35" hidden="false" customHeight="false" outlineLevel="0" collapsed="false">
      <c r="A163" s="8" t="s">
        <v>867</v>
      </c>
      <c r="B163" s="8" t="s">
        <v>868</v>
      </c>
      <c r="C163" s="8" t="s">
        <v>869</v>
      </c>
      <c r="D163" s="8" t="s">
        <v>86</v>
      </c>
      <c r="E163" s="9" t="n">
        <v>15000</v>
      </c>
      <c r="F163" s="9" t="s">
        <v>87</v>
      </c>
      <c r="G163" s="9" t="str">
        <f aca="false">IF(AND(ISNUMBER(E163),ISNUMBER(F163)),E163-F163,"No disponible")</f>
        <v>No disponible</v>
      </c>
      <c r="H163" s="8" t="s">
        <v>86</v>
      </c>
      <c r="I163" s="8" t="s">
        <v>56</v>
      </c>
      <c r="J163" s="8" t="s">
        <v>87</v>
      </c>
      <c r="K163" s="8" t="s">
        <v>140</v>
      </c>
      <c r="L163" s="8" t="s">
        <v>141</v>
      </c>
      <c r="M163" s="8" t="s">
        <v>82</v>
      </c>
      <c r="N163" s="8" t="s">
        <v>46</v>
      </c>
      <c r="O163" s="8" t="s">
        <v>87</v>
      </c>
      <c r="P163" s="8"/>
      <c r="Q163" s="8" t="s">
        <v>87</v>
      </c>
      <c r="R163" s="8" t="s">
        <v>86</v>
      </c>
    </row>
    <row r="164" customFormat="false" ht="43.25" hidden="false" customHeight="false" outlineLevel="0" collapsed="false">
      <c r="A164" s="8" t="s">
        <v>870</v>
      </c>
      <c r="B164" s="8" t="s">
        <v>871</v>
      </c>
      <c r="C164" s="8" t="s">
        <v>872</v>
      </c>
      <c r="D164" s="8" t="s">
        <v>873</v>
      </c>
      <c r="E164" s="9" t="n">
        <v>4641000</v>
      </c>
      <c r="F164" s="9" t="n">
        <v>4641000</v>
      </c>
      <c r="G164" s="9" t="n">
        <f aca="false">IF(AND(ISNUMBER(E164),ISNUMBER(F164)),E164-F164,"No disponible")</f>
        <v>0</v>
      </c>
      <c r="H164" s="8" t="s">
        <v>874</v>
      </c>
      <c r="I164" s="8" t="s">
        <v>56</v>
      </c>
      <c r="J164" s="8" t="s">
        <v>43</v>
      </c>
      <c r="K164" s="8" t="s">
        <v>44</v>
      </c>
      <c r="L164" s="8" t="s">
        <v>45</v>
      </c>
      <c r="M164" s="8" t="s">
        <v>6</v>
      </c>
      <c r="N164" s="8" t="s">
        <v>46</v>
      </c>
      <c r="O164" s="8" t="s">
        <v>875</v>
      </c>
      <c r="P164" s="8" t="s">
        <v>876</v>
      </c>
      <c r="Q164" s="8" t="s">
        <v>59</v>
      </c>
      <c r="R164" s="8" t="s">
        <v>50</v>
      </c>
    </row>
    <row r="165" customFormat="false" ht="43.25" hidden="false" customHeight="false" outlineLevel="0" collapsed="false">
      <c r="A165" s="8" t="s">
        <v>870</v>
      </c>
      <c r="B165" s="8" t="s">
        <v>871</v>
      </c>
      <c r="C165" s="8" t="s">
        <v>877</v>
      </c>
      <c r="D165" s="8" t="s">
        <v>266</v>
      </c>
      <c r="E165" s="9" t="n">
        <v>505750</v>
      </c>
      <c r="F165" s="9" t="n">
        <v>505750</v>
      </c>
      <c r="G165" s="9" t="n">
        <f aca="false">IF(AND(ISNUMBER(E165),ISNUMBER(F165)),E165-F165,"No disponible")</f>
        <v>0</v>
      </c>
      <c r="H165" s="8" t="s">
        <v>878</v>
      </c>
      <c r="I165" s="8" t="s">
        <v>56</v>
      </c>
      <c r="J165" s="8" t="s">
        <v>43</v>
      </c>
      <c r="K165" s="8" t="s">
        <v>44</v>
      </c>
      <c r="L165" s="8" t="s">
        <v>45</v>
      </c>
      <c r="M165" s="8" t="s">
        <v>6</v>
      </c>
      <c r="N165" s="8" t="s">
        <v>46</v>
      </c>
      <c r="O165" s="8" t="s">
        <v>879</v>
      </c>
      <c r="P165" s="8" t="s">
        <v>880</v>
      </c>
      <c r="Q165" s="8" t="s">
        <v>59</v>
      </c>
      <c r="R165" s="8" t="s">
        <v>50</v>
      </c>
    </row>
    <row r="166" customFormat="false" ht="43.25" hidden="false" customHeight="false" outlineLevel="0" collapsed="false">
      <c r="A166" s="8" t="s">
        <v>870</v>
      </c>
      <c r="B166" s="8" t="s">
        <v>871</v>
      </c>
      <c r="C166" s="8" t="s">
        <v>881</v>
      </c>
      <c r="D166" s="8" t="s">
        <v>873</v>
      </c>
      <c r="E166" s="9" t="n">
        <v>2677500</v>
      </c>
      <c r="F166" s="9" t="n">
        <v>2677500</v>
      </c>
      <c r="G166" s="9" t="n">
        <f aca="false">IF(AND(ISNUMBER(E166),ISNUMBER(F166)),E166-F166,"No disponible")</f>
        <v>0</v>
      </c>
      <c r="H166" s="8" t="s">
        <v>882</v>
      </c>
      <c r="I166" s="8" t="s">
        <v>56</v>
      </c>
      <c r="J166" s="8" t="s">
        <v>43</v>
      </c>
      <c r="K166" s="8" t="s">
        <v>44</v>
      </c>
      <c r="L166" s="8" t="s">
        <v>45</v>
      </c>
      <c r="M166" s="8" t="s">
        <v>6</v>
      </c>
      <c r="N166" s="8" t="s">
        <v>46</v>
      </c>
      <c r="O166" s="8" t="s">
        <v>883</v>
      </c>
      <c r="P166" s="8" t="s">
        <v>884</v>
      </c>
      <c r="Q166" s="8" t="s">
        <v>59</v>
      </c>
      <c r="R166" s="8" t="s">
        <v>50</v>
      </c>
    </row>
    <row r="167" customFormat="false" ht="43.25" hidden="false" customHeight="false" outlineLevel="0" collapsed="false">
      <c r="A167" s="8" t="s">
        <v>870</v>
      </c>
      <c r="B167" s="8" t="s">
        <v>871</v>
      </c>
      <c r="C167" s="8" t="s">
        <v>885</v>
      </c>
      <c r="D167" s="8" t="s">
        <v>873</v>
      </c>
      <c r="E167" s="9" t="n">
        <v>624750</v>
      </c>
      <c r="F167" s="9" t="n">
        <v>624750</v>
      </c>
      <c r="G167" s="9" t="n">
        <f aca="false">IF(AND(ISNUMBER(E167),ISNUMBER(F167)),E167-F167,"No disponible")</f>
        <v>0</v>
      </c>
      <c r="H167" s="8" t="s">
        <v>886</v>
      </c>
      <c r="I167" s="8" t="s">
        <v>56</v>
      </c>
      <c r="J167" s="8" t="s">
        <v>43</v>
      </c>
      <c r="K167" s="8" t="s">
        <v>44</v>
      </c>
      <c r="L167" s="8" t="s">
        <v>45</v>
      </c>
      <c r="M167" s="8" t="s">
        <v>6</v>
      </c>
      <c r="N167" s="8" t="s">
        <v>46</v>
      </c>
      <c r="O167" s="8" t="s">
        <v>887</v>
      </c>
      <c r="P167" s="8" t="s">
        <v>888</v>
      </c>
      <c r="Q167" s="8" t="s">
        <v>59</v>
      </c>
      <c r="R167" s="8" t="s">
        <v>50</v>
      </c>
    </row>
    <row r="168" customFormat="false" ht="43.25" hidden="false" customHeight="false" outlineLevel="0" collapsed="false">
      <c r="A168" s="8" t="s">
        <v>870</v>
      </c>
      <c r="B168" s="8" t="s">
        <v>871</v>
      </c>
      <c r="C168" s="8" t="s">
        <v>889</v>
      </c>
      <c r="D168" s="8" t="s">
        <v>873</v>
      </c>
      <c r="E168" s="9" t="n">
        <v>9520000</v>
      </c>
      <c r="F168" s="9" t="n">
        <v>9520000</v>
      </c>
      <c r="G168" s="9" t="n">
        <f aca="false">IF(AND(ISNUMBER(E168),ISNUMBER(F168)),E168-F168,"No disponible")</f>
        <v>0</v>
      </c>
      <c r="H168" s="8" t="s">
        <v>890</v>
      </c>
      <c r="I168" s="8" t="s">
        <v>56</v>
      </c>
      <c r="J168" s="8" t="s">
        <v>43</v>
      </c>
      <c r="K168" s="8" t="s">
        <v>44</v>
      </c>
      <c r="L168" s="8" t="s">
        <v>45</v>
      </c>
      <c r="M168" s="8" t="s">
        <v>6</v>
      </c>
      <c r="N168" s="8" t="s">
        <v>46</v>
      </c>
      <c r="O168" s="8" t="s">
        <v>891</v>
      </c>
      <c r="P168" s="8" t="s">
        <v>892</v>
      </c>
      <c r="Q168" s="8" t="s">
        <v>59</v>
      </c>
      <c r="R168" s="8" t="s">
        <v>50</v>
      </c>
    </row>
    <row r="169" customFormat="false" ht="43.25" hidden="false" customHeight="false" outlineLevel="0" collapsed="false">
      <c r="A169" s="8" t="s">
        <v>893</v>
      </c>
      <c r="B169" s="8" t="s">
        <v>894</v>
      </c>
      <c r="C169" s="8" t="s">
        <v>895</v>
      </c>
      <c r="D169" s="8" t="s">
        <v>127</v>
      </c>
      <c r="E169" s="9" t="n">
        <v>20000</v>
      </c>
      <c r="F169" s="9" t="n">
        <v>20000</v>
      </c>
      <c r="G169" s="9" t="n">
        <f aca="false">IF(AND(ISNUMBER(E169),ISNUMBER(F169)),E169-F169,"No disponible")</f>
        <v>0</v>
      </c>
      <c r="H169" s="8" t="s">
        <v>64</v>
      </c>
      <c r="I169" s="8" t="s">
        <v>56</v>
      </c>
      <c r="J169" s="8" t="s">
        <v>43</v>
      </c>
      <c r="K169" s="8" t="s">
        <v>44</v>
      </c>
      <c r="L169" s="8" t="s">
        <v>45</v>
      </c>
      <c r="M169" s="8" t="s">
        <v>6</v>
      </c>
      <c r="N169" s="8" t="s">
        <v>46</v>
      </c>
      <c r="O169" s="8" t="s">
        <v>896</v>
      </c>
      <c r="P169" s="8" t="s">
        <v>897</v>
      </c>
      <c r="Q169" s="8" t="s">
        <v>59</v>
      </c>
      <c r="R169" s="8" t="s">
        <v>50</v>
      </c>
    </row>
    <row r="170" customFormat="false" ht="22.35" hidden="false" customHeight="false" outlineLevel="0" collapsed="false">
      <c r="A170" s="8" t="s">
        <v>893</v>
      </c>
      <c r="B170" s="8" t="s">
        <v>894</v>
      </c>
      <c r="C170" s="8" t="s">
        <v>898</v>
      </c>
      <c r="D170" s="8" t="s">
        <v>86</v>
      </c>
      <c r="E170" s="9" t="n">
        <v>18000</v>
      </c>
      <c r="F170" s="9" t="s">
        <v>87</v>
      </c>
      <c r="G170" s="9" t="str">
        <f aca="false">IF(AND(ISNUMBER(E170),ISNUMBER(F170)),E170-F170,"No disponible")</f>
        <v>No disponible</v>
      </c>
      <c r="H170" s="8" t="s">
        <v>86</v>
      </c>
      <c r="I170" s="8" t="s">
        <v>56</v>
      </c>
      <c r="J170" s="8" t="s">
        <v>87</v>
      </c>
      <c r="K170" s="8" t="s">
        <v>88</v>
      </c>
      <c r="L170" s="8" t="s">
        <v>89</v>
      </c>
      <c r="M170" s="8" t="s">
        <v>82</v>
      </c>
      <c r="N170" s="8" t="s">
        <v>46</v>
      </c>
      <c r="O170" s="8" t="s">
        <v>87</v>
      </c>
      <c r="P170" s="8"/>
      <c r="Q170" s="8" t="s">
        <v>87</v>
      </c>
      <c r="R170" s="8" t="s">
        <v>86</v>
      </c>
    </row>
    <row r="171" customFormat="false" ht="43.25" hidden="false" customHeight="false" outlineLevel="0" collapsed="false">
      <c r="A171" s="8" t="s">
        <v>893</v>
      </c>
      <c r="B171" s="8" t="s">
        <v>894</v>
      </c>
      <c r="C171" s="8" t="s">
        <v>899</v>
      </c>
      <c r="D171" s="8" t="s">
        <v>127</v>
      </c>
      <c r="E171" s="9" t="n">
        <v>42000</v>
      </c>
      <c r="F171" s="9" t="n">
        <v>42000</v>
      </c>
      <c r="G171" s="9" t="n">
        <f aca="false">IF(AND(ISNUMBER(E171),ISNUMBER(F171)),E171-F171,"No disponible")</f>
        <v>0</v>
      </c>
      <c r="H171" s="8" t="s">
        <v>64</v>
      </c>
      <c r="I171" s="8" t="s">
        <v>56</v>
      </c>
      <c r="J171" s="8" t="s">
        <v>43</v>
      </c>
      <c r="K171" s="8" t="s">
        <v>44</v>
      </c>
      <c r="L171" s="8" t="s">
        <v>45</v>
      </c>
      <c r="M171" s="8" t="s">
        <v>6</v>
      </c>
      <c r="N171" s="8" t="s">
        <v>46</v>
      </c>
      <c r="O171" s="8" t="s">
        <v>900</v>
      </c>
      <c r="P171" s="8" t="s">
        <v>901</v>
      </c>
      <c r="Q171" s="8" t="s">
        <v>59</v>
      </c>
      <c r="R171" s="8" t="s">
        <v>50</v>
      </c>
    </row>
    <row r="172" customFormat="false" ht="43.25" hidden="false" customHeight="false" outlineLevel="0" collapsed="false">
      <c r="A172" s="8" t="s">
        <v>902</v>
      </c>
      <c r="B172" s="8" t="s">
        <v>813</v>
      </c>
      <c r="C172" s="8" t="s">
        <v>903</v>
      </c>
      <c r="D172" s="8" t="s">
        <v>93</v>
      </c>
      <c r="E172" s="9" t="n">
        <v>453780</v>
      </c>
      <c r="F172" s="9" t="n">
        <v>453780</v>
      </c>
      <c r="G172" s="9" t="n">
        <f aca="false">IF(AND(ISNUMBER(E172),ISNUMBER(F172)),E172-F172,"No disponible")</f>
        <v>0</v>
      </c>
      <c r="H172" s="8" t="s">
        <v>904</v>
      </c>
      <c r="I172" s="8" t="s">
        <v>56</v>
      </c>
      <c r="J172" s="8" t="s">
        <v>43</v>
      </c>
      <c r="K172" s="8" t="s">
        <v>44</v>
      </c>
      <c r="L172" s="8" t="s">
        <v>45</v>
      </c>
      <c r="M172" s="8" t="s">
        <v>6</v>
      </c>
      <c r="N172" s="8" t="s">
        <v>46</v>
      </c>
      <c r="O172" s="8" t="s">
        <v>905</v>
      </c>
      <c r="P172" s="8" t="s">
        <v>906</v>
      </c>
      <c r="Q172" s="8" t="s">
        <v>59</v>
      </c>
      <c r="R172" s="8" t="s">
        <v>50</v>
      </c>
    </row>
    <row r="173" customFormat="false" ht="43.25" hidden="false" customHeight="false" outlineLevel="0" collapsed="false">
      <c r="A173" s="8" t="s">
        <v>902</v>
      </c>
      <c r="B173" s="8" t="s">
        <v>813</v>
      </c>
      <c r="C173" s="8" t="s">
        <v>907</v>
      </c>
      <c r="D173" s="8" t="s">
        <v>820</v>
      </c>
      <c r="E173" s="9" t="n">
        <v>540000</v>
      </c>
      <c r="F173" s="9" t="n">
        <v>540001</v>
      </c>
      <c r="G173" s="9" t="n">
        <f aca="false">IF(AND(ISNUMBER(E173),ISNUMBER(F173)),E173-F173,"No disponible")</f>
        <v>-1</v>
      </c>
      <c r="H173" s="8" t="s">
        <v>908</v>
      </c>
      <c r="I173" s="8" t="s">
        <v>56</v>
      </c>
      <c r="J173" s="8" t="s">
        <v>43</v>
      </c>
      <c r="K173" s="8" t="s">
        <v>81</v>
      </c>
      <c r="L173" s="8" t="s">
        <v>45</v>
      </c>
      <c r="M173" s="8" t="s">
        <v>82</v>
      </c>
      <c r="N173" s="8" t="s">
        <v>46</v>
      </c>
      <c r="O173" s="8" t="s">
        <v>909</v>
      </c>
      <c r="P173" s="8" t="s">
        <v>910</v>
      </c>
      <c r="Q173" s="8" t="s">
        <v>59</v>
      </c>
      <c r="R173" s="8" t="s">
        <v>50</v>
      </c>
    </row>
    <row r="174" customFormat="false" ht="32.8" hidden="false" customHeight="false" outlineLevel="0" collapsed="false">
      <c r="A174" s="8" t="s">
        <v>902</v>
      </c>
      <c r="B174" s="8" t="s">
        <v>813</v>
      </c>
      <c r="C174" s="8" t="s">
        <v>911</v>
      </c>
      <c r="D174" s="8" t="s">
        <v>93</v>
      </c>
      <c r="E174" s="9" t="n">
        <v>453780</v>
      </c>
      <c r="F174" s="9" t="n">
        <v>453780</v>
      </c>
      <c r="G174" s="9" t="n">
        <f aca="false">IF(AND(ISNUMBER(E174),ISNUMBER(F174)),E174-F174,"No disponible")</f>
        <v>0</v>
      </c>
      <c r="H174" s="8" t="s">
        <v>904</v>
      </c>
      <c r="I174" s="8" t="s">
        <v>65</v>
      </c>
      <c r="J174" s="8" t="s">
        <v>43</v>
      </c>
      <c r="K174" s="8" t="s">
        <v>190</v>
      </c>
      <c r="L174" s="8" t="s">
        <v>45</v>
      </c>
      <c r="M174" s="8" t="s">
        <v>6</v>
      </c>
      <c r="N174" s="8" t="s">
        <v>46</v>
      </c>
      <c r="O174" s="8" t="s">
        <v>912</v>
      </c>
      <c r="P174" s="8" t="s">
        <v>913</v>
      </c>
      <c r="Q174" s="8" t="s">
        <v>193</v>
      </c>
      <c r="R174" s="8" t="s">
        <v>50</v>
      </c>
    </row>
    <row r="175" customFormat="false" ht="43.25" hidden="false" customHeight="false" outlineLevel="0" collapsed="false">
      <c r="A175" s="8" t="s">
        <v>914</v>
      </c>
      <c r="B175" s="8" t="s">
        <v>915</v>
      </c>
      <c r="C175" s="8" t="s">
        <v>916</v>
      </c>
      <c r="D175" s="8" t="s">
        <v>127</v>
      </c>
      <c r="E175" s="9" t="n">
        <v>39000</v>
      </c>
      <c r="F175" s="9" t="n">
        <v>39000</v>
      </c>
      <c r="G175" s="9" t="n">
        <f aca="false">IF(AND(ISNUMBER(E175),ISNUMBER(F175)),E175-F175,"No disponible")</f>
        <v>0</v>
      </c>
      <c r="H175" s="8" t="s">
        <v>64</v>
      </c>
      <c r="I175" s="8" t="s">
        <v>42</v>
      </c>
      <c r="J175" s="8" t="s">
        <v>43</v>
      </c>
      <c r="K175" s="8" t="s">
        <v>44</v>
      </c>
      <c r="L175" s="8" t="s">
        <v>45</v>
      </c>
      <c r="M175" s="8" t="s">
        <v>6</v>
      </c>
      <c r="N175" s="8" t="s">
        <v>46</v>
      </c>
      <c r="O175" s="8" t="s">
        <v>917</v>
      </c>
      <c r="P175" s="8" t="s">
        <v>918</v>
      </c>
      <c r="Q175" s="8" t="s">
        <v>49</v>
      </c>
      <c r="R175" s="8" t="s">
        <v>50</v>
      </c>
    </row>
    <row r="176" customFormat="false" ht="43.25" hidden="false" customHeight="false" outlineLevel="0" collapsed="false">
      <c r="A176" s="8" t="s">
        <v>914</v>
      </c>
      <c r="B176" s="8" t="s">
        <v>915</v>
      </c>
      <c r="C176" s="8" t="s">
        <v>919</v>
      </c>
      <c r="D176" s="8" t="s">
        <v>127</v>
      </c>
      <c r="E176" s="9" t="n">
        <v>19500</v>
      </c>
      <c r="F176" s="9" t="n">
        <v>19500</v>
      </c>
      <c r="G176" s="9" t="n">
        <f aca="false">IF(AND(ISNUMBER(E176),ISNUMBER(F176)),E176-F176,"No disponible")</f>
        <v>0</v>
      </c>
      <c r="H176" s="8" t="s">
        <v>64</v>
      </c>
      <c r="I176" s="8" t="s">
        <v>42</v>
      </c>
      <c r="J176" s="8" t="s">
        <v>43</v>
      </c>
      <c r="K176" s="8" t="s">
        <v>44</v>
      </c>
      <c r="L176" s="8" t="s">
        <v>45</v>
      </c>
      <c r="M176" s="8" t="s">
        <v>6</v>
      </c>
      <c r="N176" s="8" t="s">
        <v>46</v>
      </c>
      <c r="O176" s="8" t="s">
        <v>920</v>
      </c>
      <c r="P176" s="8" t="s">
        <v>921</v>
      </c>
      <c r="Q176" s="8" t="s">
        <v>49</v>
      </c>
      <c r="R176" s="8" t="s">
        <v>50</v>
      </c>
    </row>
    <row r="177" customFormat="false" ht="22.35" hidden="false" customHeight="false" outlineLevel="0" collapsed="false">
      <c r="A177" s="8" t="s">
        <v>929</v>
      </c>
      <c r="B177" s="8" t="s">
        <v>930</v>
      </c>
      <c r="C177" s="8" t="s">
        <v>931</v>
      </c>
      <c r="D177" s="8" t="s">
        <v>86</v>
      </c>
      <c r="E177" s="9" t="n">
        <v>20000</v>
      </c>
      <c r="F177" s="9" t="s">
        <v>87</v>
      </c>
      <c r="G177" s="9" t="str">
        <f aca="false">IF(AND(ISNUMBER(E177),ISNUMBER(F177)),E177-F177,"No disponible")</f>
        <v>No disponible</v>
      </c>
      <c r="H177" s="8" t="s">
        <v>86</v>
      </c>
      <c r="I177" s="8" t="s">
        <v>56</v>
      </c>
      <c r="J177" s="8" t="s">
        <v>87</v>
      </c>
      <c r="K177" s="8" t="s">
        <v>140</v>
      </c>
      <c r="L177" s="8" t="s">
        <v>141</v>
      </c>
      <c r="M177" s="8" t="s">
        <v>82</v>
      </c>
      <c r="N177" s="8" t="s">
        <v>46</v>
      </c>
      <c r="O177" s="8" t="s">
        <v>87</v>
      </c>
      <c r="P177" s="8"/>
      <c r="Q177" s="8" t="s">
        <v>87</v>
      </c>
      <c r="R177" s="8" t="s">
        <v>86</v>
      </c>
    </row>
    <row r="178" customFormat="false" ht="22.35" hidden="false" customHeight="false" outlineLevel="0" collapsed="false">
      <c r="A178" s="8" t="s">
        <v>929</v>
      </c>
      <c r="B178" s="8" t="s">
        <v>930</v>
      </c>
      <c r="C178" s="8" t="s">
        <v>932</v>
      </c>
      <c r="D178" s="8" t="s">
        <v>86</v>
      </c>
      <c r="E178" s="9" t="n">
        <v>20000</v>
      </c>
      <c r="F178" s="9" t="s">
        <v>87</v>
      </c>
      <c r="G178" s="9" t="str">
        <f aca="false">IF(AND(ISNUMBER(E178),ISNUMBER(F178)),E178-F178,"No disponible")</f>
        <v>No disponible</v>
      </c>
      <c r="H178" s="8" t="s">
        <v>86</v>
      </c>
      <c r="I178" s="8" t="s">
        <v>56</v>
      </c>
      <c r="J178" s="8" t="s">
        <v>87</v>
      </c>
      <c r="K178" s="8" t="s">
        <v>140</v>
      </c>
      <c r="L178" s="8" t="s">
        <v>141</v>
      </c>
      <c r="M178" s="8" t="s">
        <v>82</v>
      </c>
      <c r="N178" s="8" t="s">
        <v>46</v>
      </c>
      <c r="O178" s="8" t="s">
        <v>87</v>
      </c>
      <c r="P178" s="8"/>
      <c r="Q178" s="8" t="s">
        <v>87</v>
      </c>
      <c r="R178" s="8" t="s">
        <v>86</v>
      </c>
    </row>
    <row r="179" customFormat="false" ht="22.35" hidden="false" customHeight="false" outlineLevel="0" collapsed="false">
      <c r="A179" s="8" t="s">
        <v>929</v>
      </c>
      <c r="B179" s="8" t="s">
        <v>930</v>
      </c>
      <c r="C179" s="8" t="s">
        <v>933</v>
      </c>
      <c r="D179" s="8" t="s">
        <v>86</v>
      </c>
      <c r="E179" s="9" t="n">
        <v>20000</v>
      </c>
      <c r="F179" s="9" t="s">
        <v>87</v>
      </c>
      <c r="G179" s="9" t="str">
        <f aca="false">IF(AND(ISNUMBER(E179),ISNUMBER(F179)),E179-F179,"No disponible")</f>
        <v>No disponible</v>
      </c>
      <c r="H179" s="8" t="s">
        <v>86</v>
      </c>
      <c r="I179" s="8" t="s">
        <v>56</v>
      </c>
      <c r="J179" s="8" t="s">
        <v>87</v>
      </c>
      <c r="K179" s="8" t="s">
        <v>140</v>
      </c>
      <c r="L179" s="8" t="s">
        <v>141</v>
      </c>
      <c r="M179" s="8" t="s">
        <v>82</v>
      </c>
      <c r="N179" s="8" t="s">
        <v>46</v>
      </c>
      <c r="O179" s="8" t="s">
        <v>87</v>
      </c>
      <c r="P179" s="8"/>
      <c r="Q179" s="8" t="s">
        <v>87</v>
      </c>
      <c r="R179" s="8" t="s">
        <v>86</v>
      </c>
    </row>
    <row r="180" customFormat="false" ht="32.8" hidden="false" customHeight="false" outlineLevel="0" collapsed="false">
      <c r="A180" s="8" t="s">
        <v>934</v>
      </c>
      <c r="B180" s="8" t="s">
        <v>935</v>
      </c>
      <c r="C180" s="8" t="s">
        <v>936</v>
      </c>
      <c r="D180" s="8" t="s">
        <v>127</v>
      </c>
      <c r="E180" s="9" t="n">
        <v>180000</v>
      </c>
      <c r="F180" s="9" t="n">
        <v>180000</v>
      </c>
      <c r="G180" s="9" t="n">
        <f aca="false">IF(AND(ISNUMBER(E180),ISNUMBER(F180)),E180-F180,"No disponible")</f>
        <v>0</v>
      </c>
      <c r="H180" s="8" t="s">
        <v>64</v>
      </c>
      <c r="I180" s="8" t="s">
        <v>65</v>
      </c>
      <c r="J180" s="8" t="s">
        <v>43</v>
      </c>
      <c r="K180" s="8" t="s">
        <v>190</v>
      </c>
      <c r="L180" s="8" t="s">
        <v>45</v>
      </c>
      <c r="M180" s="8" t="s">
        <v>6</v>
      </c>
      <c r="N180" s="8" t="s">
        <v>46</v>
      </c>
      <c r="O180" s="8" t="s">
        <v>937</v>
      </c>
      <c r="P180" s="8" t="s">
        <v>938</v>
      </c>
      <c r="Q180" s="8" t="s">
        <v>193</v>
      </c>
      <c r="R180" s="8" t="s">
        <v>50</v>
      </c>
    </row>
    <row r="181" customFormat="false" ht="43.25" hidden="false" customHeight="false" outlineLevel="0" collapsed="false">
      <c r="A181" s="8" t="s">
        <v>939</v>
      </c>
      <c r="B181" s="8" t="s">
        <v>940</v>
      </c>
      <c r="C181" s="8" t="s">
        <v>941</v>
      </c>
      <c r="D181" s="8" t="s">
        <v>93</v>
      </c>
      <c r="E181" s="9" t="n">
        <v>9377</v>
      </c>
      <c r="F181" s="9" t="n">
        <v>9377</v>
      </c>
      <c r="G181" s="9" t="n">
        <f aca="false">IF(AND(ISNUMBER(E181),ISNUMBER(F181)),E181-F181,"No disponible")</f>
        <v>0</v>
      </c>
      <c r="H181" s="8" t="s">
        <v>942</v>
      </c>
      <c r="I181" s="8" t="s">
        <v>56</v>
      </c>
      <c r="J181" s="8" t="s">
        <v>43</v>
      </c>
      <c r="K181" s="8" t="s">
        <v>44</v>
      </c>
      <c r="L181" s="8" t="s">
        <v>45</v>
      </c>
      <c r="M181" s="8" t="s">
        <v>6</v>
      </c>
      <c r="N181" s="8" t="s">
        <v>46</v>
      </c>
      <c r="O181" s="8" t="s">
        <v>943</v>
      </c>
      <c r="P181" s="8" t="s">
        <v>944</v>
      </c>
      <c r="Q181" s="8" t="s">
        <v>59</v>
      </c>
      <c r="R181" s="8" t="s">
        <v>50</v>
      </c>
    </row>
    <row r="182" customFormat="false" ht="43.25" hidden="false" customHeight="false" outlineLevel="0" collapsed="false">
      <c r="A182" s="8" t="s">
        <v>945</v>
      </c>
      <c r="B182" s="8" t="s">
        <v>946</v>
      </c>
      <c r="C182" s="8" t="s">
        <v>947</v>
      </c>
      <c r="D182" s="8" t="s">
        <v>948</v>
      </c>
      <c r="E182" s="9" t="n">
        <v>206000</v>
      </c>
      <c r="F182" s="9" t="n">
        <v>206000</v>
      </c>
      <c r="G182" s="9" t="n">
        <f aca="false">IF(AND(ISNUMBER(E182),ISNUMBER(F182)),E182-F182,"No disponible")</f>
        <v>0</v>
      </c>
      <c r="H182" s="8" t="s">
        <v>949</v>
      </c>
      <c r="I182" s="8" t="s">
        <v>56</v>
      </c>
      <c r="J182" s="8" t="s">
        <v>43</v>
      </c>
      <c r="K182" s="8" t="s">
        <v>44</v>
      </c>
      <c r="L182" s="8" t="s">
        <v>45</v>
      </c>
      <c r="M182" s="8" t="s">
        <v>6</v>
      </c>
      <c r="N182" s="8" t="s">
        <v>46</v>
      </c>
      <c r="O182" s="8" t="s">
        <v>950</v>
      </c>
      <c r="P182" s="8" t="s">
        <v>951</v>
      </c>
      <c r="Q182" s="8" t="s">
        <v>59</v>
      </c>
      <c r="R182" s="8" t="s">
        <v>50</v>
      </c>
    </row>
    <row r="183" customFormat="false" ht="43.25" hidden="false" customHeight="false" outlineLevel="0" collapsed="false">
      <c r="A183" s="8" t="s">
        <v>945</v>
      </c>
      <c r="B183" s="8" t="s">
        <v>946</v>
      </c>
      <c r="C183" s="8" t="s">
        <v>952</v>
      </c>
      <c r="D183" s="8" t="s">
        <v>127</v>
      </c>
      <c r="E183" s="9" t="n">
        <v>50300</v>
      </c>
      <c r="F183" s="9" t="n">
        <v>50300</v>
      </c>
      <c r="G183" s="9" t="n">
        <f aca="false">IF(AND(ISNUMBER(E183),ISNUMBER(F183)),E183-F183,"No disponible")</f>
        <v>0</v>
      </c>
      <c r="H183" s="8" t="s">
        <v>64</v>
      </c>
      <c r="I183" s="8" t="s">
        <v>56</v>
      </c>
      <c r="J183" s="8" t="s">
        <v>43</v>
      </c>
      <c r="K183" s="8" t="s">
        <v>44</v>
      </c>
      <c r="L183" s="8" t="s">
        <v>45</v>
      </c>
      <c r="M183" s="8" t="s">
        <v>6</v>
      </c>
      <c r="N183" s="8" t="s">
        <v>46</v>
      </c>
      <c r="O183" s="8" t="s">
        <v>953</v>
      </c>
      <c r="P183" s="8" t="s">
        <v>954</v>
      </c>
      <c r="Q183" s="8" t="s">
        <v>59</v>
      </c>
      <c r="R183" s="8" t="s">
        <v>50</v>
      </c>
    </row>
    <row r="184" customFormat="false" ht="32.8" hidden="false" customHeight="false" outlineLevel="0" collapsed="false">
      <c r="A184" s="8" t="s">
        <v>945</v>
      </c>
      <c r="B184" s="8" t="s">
        <v>946</v>
      </c>
      <c r="C184" s="8" t="s">
        <v>955</v>
      </c>
      <c r="D184" s="8" t="s">
        <v>127</v>
      </c>
      <c r="E184" s="9" t="n">
        <v>46000</v>
      </c>
      <c r="F184" s="9" t="n">
        <v>46000</v>
      </c>
      <c r="G184" s="9" t="n">
        <f aca="false">IF(AND(ISNUMBER(E184),ISNUMBER(F184)),E184-F184,"No disponible")</f>
        <v>0</v>
      </c>
      <c r="H184" s="8" t="s">
        <v>64</v>
      </c>
      <c r="I184" s="8" t="s">
        <v>56</v>
      </c>
      <c r="J184" s="8" t="s">
        <v>43</v>
      </c>
      <c r="K184" s="8" t="s">
        <v>190</v>
      </c>
      <c r="L184" s="8" t="s">
        <v>45</v>
      </c>
      <c r="M184" s="8" t="s">
        <v>6</v>
      </c>
      <c r="N184" s="8" t="s">
        <v>46</v>
      </c>
      <c r="O184" s="8" t="s">
        <v>956</v>
      </c>
      <c r="P184" s="8" t="s">
        <v>957</v>
      </c>
      <c r="Q184" s="8" t="s">
        <v>193</v>
      </c>
      <c r="R184" s="8" t="s">
        <v>50</v>
      </c>
    </row>
    <row r="185" customFormat="false" ht="43.25" hidden="false" customHeight="false" outlineLevel="0" collapsed="false">
      <c r="A185" s="8" t="s">
        <v>945</v>
      </c>
      <c r="B185" s="8" t="s">
        <v>946</v>
      </c>
      <c r="C185" s="8" t="s">
        <v>958</v>
      </c>
      <c r="D185" s="8" t="s">
        <v>127</v>
      </c>
      <c r="E185" s="9" t="n">
        <v>59600</v>
      </c>
      <c r="F185" s="9" t="n">
        <v>59600</v>
      </c>
      <c r="G185" s="9" t="n">
        <f aca="false">IF(AND(ISNUMBER(E185),ISNUMBER(F185)),E185-F185,"No disponible")</f>
        <v>0</v>
      </c>
      <c r="H185" s="8" t="s">
        <v>64</v>
      </c>
      <c r="I185" s="8" t="s">
        <v>56</v>
      </c>
      <c r="J185" s="8" t="s">
        <v>43</v>
      </c>
      <c r="K185" s="8" t="s">
        <v>44</v>
      </c>
      <c r="L185" s="8" t="s">
        <v>45</v>
      </c>
      <c r="M185" s="8" t="s">
        <v>6</v>
      </c>
      <c r="N185" s="8" t="s">
        <v>46</v>
      </c>
      <c r="O185" s="8" t="s">
        <v>959</v>
      </c>
      <c r="P185" s="8" t="s">
        <v>960</v>
      </c>
      <c r="Q185" s="8" t="s">
        <v>59</v>
      </c>
      <c r="R185" s="8" t="s">
        <v>50</v>
      </c>
    </row>
    <row r="186" customFormat="false" ht="32.8" hidden="false" customHeight="false" outlineLevel="0" collapsed="false">
      <c r="A186" s="8" t="s">
        <v>945</v>
      </c>
      <c r="B186" s="8" t="s">
        <v>946</v>
      </c>
      <c r="C186" s="8" t="s">
        <v>961</v>
      </c>
      <c r="D186" s="8" t="s">
        <v>962</v>
      </c>
      <c r="E186" s="9" t="n">
        <v>59600</v>
      </c>
      <c r="F186" s="9" t="n">
        <v>119200</v>
      </c>
      <c r="G186" s="9" t="n">
        <f aca="false">IF(AND(ISNUMBER(E186),ISNUMBER(F186)),E186-F186,"No disponible")</f>
        <v>-59600</v>
      </c>
      <c r="H186" s="8" t="s">
        <v>64</v>
      </c>
      <c r="I186" s="8" t="s">
        <v>56</v>
      </c>
      <c r="J186" s="8" t="s">
        <v>43</v>
      </c>
      <c r="K186" s="8" t="s">
        <v>190</v>
      </c>
      <c r="L186" s="8" t="s">
        <v>963</v>
      </c>
      <c r="M186" s="8" t="s">
        <v>6</v>
      </c>
      <c r="N186" s="8" t="s">
        <v>46</v>
      </c>
      <c r="O186" s="8" t="s">
        <v>964</v>
      </c>
      <c r="P186" s="8" t="s">
        <v>965</v>
      </c>
      <c r="Q186" s="8" t="s">
        <v>193</v>
      </c>
      <c r="R186" s="8" t="s">
        <v>50</v>
      </c>
    </row>
    <row r="187" customFormat="false" ht="32.8" hidden="false" customHeight="false" outlineLevel="0" collapsed="false">
      <c r="A187" s="8" t="s">
        <v>945</v>
      </c>
      <c r="B187" s="8" t="s">
        <v>946</v>
      </c>
      <c r="C187" s="8" t="s">
        <v>966</v>
      </c>
      <c r="D187" s="8" t="s">
        <v>127</v>
      </c>
      <c r="E187" s="9" t="n">
        <v>63700</v>
      </c>
      <c r="F187" s="9" t="n">
        <v>63700</v>
      </c>
      <c r="G187" s="9" t="n">
        <f aca="false">IF(AND(ISNUMBER(E187),ISNUMBER(F187)),E187-F187,"No disponible")</f>
        <v>0</v>
      </c>
      <c r="H187" s="8" t="s">
        <v>64</v>
      </c>
      <c r="I187" s="8" t="s">
        <v>56</v>
      </c>
      <c r="J187" s="8" t="s">
        <v>43</v>
      </c>
      <c r="K187" s="8" t="s">
        <v>190</v>
      </c>
      <c r="L187" s="8" t="s">
        <v>45</v>
      </c>
      <c r="M187" s="8" t="s">
        <v>6</v>
      </c>
      <c r="N187" s="8" t="s">
        <v>46</v>
      </c>
      <c r="O187" s="8" t="s">
        <v>967</v>
      </c>
      <c r="P187" s="8" t="s">
        <v>968</v>
      </c>
      <c r="Q187" s="8" t="s">
        <v>193</v>
      </c>
      <c r="R187" s="8" t="s">
        <v>50</v>
      </c>
    </row>
    <row r="188" customFormat="false" ht="32.8" hidden="false" customHeight="false" outlineLevel="0" collapsed="false">
      <c r="A188" s="8" t="s">
        <v>945</v>
      </c>
      <c r="B188" s="8" t="s">
        <v>946</v>
      </c>
      <c r="C188" s="8" t="s">
        <v>969</v>
      </c>
      <c r="D188" s="8" t="s">
        <v>127</v>
      </c>
      <c r="E188" s="9" t="n">
        <v>53000</v>
      </c>
      <c r="F188" s="9" t="n">
        <v>53000</v>
      </c>
      <c r="G188" s="9" t="n">
        <f aca="false">IF(AND(ISNUMBER(E188),ISNUMBER(F188)),E188-F188,"No disponible")</f>
        <v>0</v>
      </c>
      <c r="H188" s="8" t="s">
        <v>64</v>
      </c>
      <c r="I188" s="8" t="s">
        <v>56</v>
      </c>
      <c r="J188" s="8" t="s">
        <v>43</v>
      </c>
      <c r="K188" s="8" t="s">
        <v>190</v>
      </c>
      <c r="L188" s="8" t="s">
        <v>45</v>
      </c>
      <c r="M188" s="8" t="s">
        <v>6</v>
      </c>
      <c r="N188" s="8" t="s">
        <v>46</v>
      </c>
      <c r="O188" s="8" t="s">
        <v>970</v>
      </c>
      <c r="P188" s="8" t="s">
        <v>971</v>
      </c>
      <c r="Q188" s="8" t="s">
        <v>193</v>
      </c>
      <c r="R188" s="8" t="s">
        <v>50</v>
      </c>
    </row>
    <row r="189" customFormat="false" ht="32.8" hidden="false" customHeight="false" outlineLevel="0" collapsed="false">
      <c r="A189" s="8" t="s">
        <v>945</v>
      </c>
      <c r="B189" s="8" t="s">
        <v>946</v>
      </c>
      <c r="C189" s="8" t="s">
        <v>972</v>
      </c>
      <c r="D189" s="8" t="s">
        <v>127</v>
      </c>
      <c r="E189" s="9" t="n">
        <v>50500</v>
      </c>
      <c r="F189" s="9" t="n">
        <v>50500</v>
      </c>
      <c r="G189" s="9" t="n">
        <f aca="false">IF(AND(ISNUMBER(E189),ISNUMBER(F189)),E189-F189,"No disponible")</f>
        <v>0</v>
      </c>
      <c r="H189" s="8" t="s">
        <v>64</v>
      </c>
      <c r="I189" s="8" t="s">
        <v>56</v>
      </c>
      <c r="J189" s="8" t="s">
        <v>43</v>
      </c>
      <c r="K189" s="8" t="s">
        <v>190</v>
      </c>
      <c r="L189" s="8" t="s">
        <v>45</v>
      </c>
      <c r="M189" s="8" t="s">
        <v>6</v>
      </c>
      <c r="N189" s="8" t="s">
        <v>46</v>
      </c>
      <c r="O189" s="8" t="s">
        <v>973</v>
      </c>
      <c r="P189" s="8" t="s">
        <v>974</v>
      </c>
      <c r="Q189" s="8" t="s">
        <v>193</v>
      </c>
      <c r="R189" s="8" t="s">
        <v>50</v>
      </c>
    </row>
    <row r="190" customFormat="false" ht="43.25" hidden="false" customHeight="false" outlineLevel="0" collapsed="false">
      <c r="A190" s="8" t="s">
        <v>975</v>
      </c>
      <c r="B190" s="8" t="s">
        <v>976</v>
      </c>
      <c r="C190" s="8" t="s">
        <v>977</v>
      </c>
      <c r="D190" s="8" t="s">
        <v>159</v>
      </c>
      <c r="E190" s="9" t="n">
        <v>1818000</v>
      </c>
      <c r="F190" s="9" t="n">
        <v>1818000</v>
      </c>
      <c r="G190" s="9" t="n">
        <f aca="false">IF(AND(ISNUMBER(E190),ISNUMBER(F190)),E190-F190,"No disponible")</f>
        <v>0</v>
      </c>
      <c r="H190" s="8" t="s">
        <v>978</v>
      </c>
      <c r="I190" s="8" t="s">
        <v>56</v>
      </c>
      <c r="J190" s="8" t="s">
        <v>43</v>
      </c>
      <c r="K190" s="8" t="s">
        <v>44</v>
      </c>
      <c r="L190" s="8" t="s">
        <v>45</v>
      </c>
      <c r="M190" s="8" t="s">
        <v>6</v>
      </c>
      <c r="N190" s="8" t="s">
        <v>46</v>
      </c>
      <c r="O190" s="8" t="s">
        <v>979</v>
      </c>
      <c r="P190" s="8" t="s">
        <v>980</v>
      </c>
      <c r="Q190" s="8" t="s">
        <v>59</v>
      </c>
      <c r="R190" s="8" t="s">
        <v>50</v>
      </c>
    </row>
    <row r="191" customFormat="false" ht="32.8" hidden="false" customHeight="false" outlineLevel="0" collapsed="false">
      <c r="A191" s="8" t="s">
        <v>975</v>
      </c>
      <c r="B191" s="8" t="s">
        <v>976</v>
      </c>
      <c r="C191" s="8" t="s">
        <v>981</v>
      </c>
      <c r="D191" s="8" t="s">
        <v>982</v>
      </c>
      <c r="E191" s="9" t="n">
        <v>838000</v>
      </c>
      <c r="F191" s="9" t="n">
        <v>429475</v>
      </c>
      <c r="G191" s="9" t="n">
        <f aca="false">IF(AND(ISNUMBER(E191),ISNUMBER(F191)),E191-F191,"No disponible")</f>
        <v>408525</v>
      </c>
      <c r="H191" s="8" t="s">
        <v>983</v>
      </c>
      <c r="I191" s="8" t="s">
        <v>56</v>
      </c>
      <c r="J191" s="8" t="s">
        <v>43</v>
      </c>
      <c r="K191" s="8" t="s">
        <v>81</v>
      </c>
      <c r="L191" s="8" t="s">
        <v>45</v>
      </c>
      <c r="M191" s="8" t="s">
        <v>82</v>
      </c>
      <c r="N191" s="8" t="s">
        <v>46</v>
      </c>
      <c r="O191" s="8" t="s">
        <v>984</v>
      </c>
      <c r="P191" s="8" t="s">
        <v>985</v>
      </c>
      <c r="Q191" s="8" t="s">
        <v>59</v>
      </c>
      <c r="R191" s="8" t="s">
        <v>50</v>
      </c>
    </row>
    <row r="192" customFormat="false" ht="32.8" hidden="false" customHeight="false" outlineLevel="0" collapsed="false">
      <c r="A192" s="8" t="s">
        <v>975</v>
      </c>
      <c r="B192" s="8" t="s">
        <v>976</v>
      </c>
      <c r="C192" s="8" t="s">
        <v>986</v>
      </c>
      <c r="D192" s="8" t="s">
        <v>159</v>
      </c>
      <c r="E192" s="9" t="n">
        <v>1818000</v>
      </c>
      <c r="F192" s="9" t="n">
        <v>1818000</v>
      </c>
      <c r="G192" s="9" t="n">
        <f aca="false">IF(AND(ISNUMBER(E192),ISNUMBER(F192)),E192-F192,"No disponible")</f>
        <v>0</v>
      </c>
      <c r="H192" s="8" t="s">
        <v>978</v>
      </c>
      <c r="I192" s="8" t="s">
        <v>65</v>
      </c>
      <c r="J192" s="8" t="s">
        <v>43</v>
      </c>
      <c r="K192" s="8" t="s">
        <v>190</v>
      </c>
      <c r="L192" s="8" t="s">
        <v>45</v>
      </c>
      <c r="M192" s="8" t="s">
        <v>6</v>
      </c>
      <c r="N192" s="8" t="s">
        <v>46</v>
      </c>
      <c r="O192" s="8" t="s">
        <v>987</v>
      </c>
      <c r="P192" s="8" t="s">
        <v>988</v>
      </c>
      <c r="Q192" s="8" t="s">
        <v>193</v>
      </c>
      <c r="R192" s="8" t="s">
        <v>50</v>
      </c>
    </row>
    <row r="193" customFormat="false" ht="43.25" hidden="false" customHeight="false" outlineLevel="0" collapsed="false">
      <c r="A193" s="8" t="s">
        <v>989</v>
      </c>
      <c r="B193" s="8" t="s">
        <v>990</v>
      </c>
      <c r="C193" s="8" t="s">
        <v>991</v>
      </c>
      <c r="D193" s="8" t="s">
        <v>992</v>
      </c>
      <c r="E193" s="9" t="n">
        <v>84300</v>
      </c>
      <c r="F193" s="9" t="n">
        <v>84300</v>
      </c>
      <c r="G193" s="9" t="n">
        <f aca="false">IF(AND(ISNUMBER(E193),ISNUMBER(F193)),E193-F193,"No disponible")</f>
        <v>0</v>
      </c>
      <c r="H193" s="8" t="s">
        <v>993</v>
      </c>
      <c r="I193" s="8" t="s">
        <v>56</v>
      </c>
      <c r="J193" s="8" t="s">
        <v>43</v>
      </c>
      <c r="K193" s="8" t="s">
        <v>44</v>
      </c>
      <c r="L193" s="8" t="s">
        <v>45</v>
      </c>
      <c r="M193" s="8" t="s">
        <v>6</v>
      </c>
      <c r="N193" s="8" t="s">
        <v>46</v>
      </c>
      <c r="O193" s="8" t="s">
        <v>994</v>
      </c>
      <c r="P193" s="8" t="s">
        <v>995</v>
      </c>
      <c r="Q193" s="8" t="s">
        <v>59</v>
      </c>
      <c r="R193" s="8" t="s">
        <v>50</v>
      </c>
    </row>
    <row r="194" customFormat="false" ht="22.35" hidden="false" customHeight="false" outlineLevel="0" collapsed="false">
      <c r="A194" s="8" t="s">
        <v>996</v>
      </c>
      <c r="B194" s="8" t="s">
        <v>997</v>
      </c>
      <c r="C194" s="8" t="s">
        <v>998</v>
      </c>
      <c r="D194" s="8" t="s">
        <v>86</v>
      </c>
      <c r="E194" s="9" t="n">
        <v>260000</v>
      </c>
      <c r="F194" s="9" t="s">
        <v>87</v>
      </c>
      <c r="G194" s="9" t="str">
        <f aca="false">IF(AND(ISNUMBER(E194),ISNUMBER(F194)),E194-F194,"No disponible")</f>
        <v>No disponible</v>
      </c>
      <c r="H194" s="8" t="s">
        <v>86</v>
      </c>
      <c r="I194" s="8" t="s">
        <v>56</v>
      </c>
      <c r="J194" s="8" t="s">
        <v>87</v>
      </c>
      <c r="K194" s="8" t="s">
        <v>140</v>
      </c>
      <c r="L194" s="8" t="s">
        <v>141</v>
      </c>
      <c r="M194" s="8" t="s">
        <v>82</v>
      </c>
      <c r="N194" s="8" t="s">
        <v>46</v>
      </c>
      <c r="O194" s="8" t="s">
        <v>87</v>
      </c>
      <c r="P194" s="8"/>
      <c r="Q194" s="8" t="s">
        <v>87</v>
      </c>
      <c r="R194" s="8" t="s">
        <v>86</v>
      </c>
    </row>
    <row r="195" customFormat="false" ht="43.25" hidden="false" customHeight="false" outlineLevel="0" collapsed="false">
      <c r="A195" s="8" t="s">
        <v>999</v>
      </c>
      <c r="B195" s="8" t="s">
        <v>1000</v>
      </c>
      <c r="C195" s="8" t="s">
        <v>1001</v>
      </c>
      <c r="D195" s="8" t="s">
        <v>220</v>
      </c>
      <c r="E195" s="9" t="n">
        <v>27000000</v>
      </c>
      <c r="F195" s="9" t="n">
        <v>27000000</v>
      </c>
      <c r="G195" s="9" t="n">
        <f aca="false">IF(AND(ISNUMBER(E195),ISNUMBER(F195)),E195-F195,"No disponible")</f>
        <v>0</v>
      </c>
      <c r="H195" s="8" t="s">
        <v>1002</v>
      </c>
      <c r="I195" s="8" t="s">
        <v>42</v>
      </c>
      <c r="J195" s="8" t="s">
        <v>43</v>
      </c>
      <c r="K195" s="8" t="s">
        <v>44</v>
      </c>
      <c r="L195" s="8" t="s">
        <v>45</v>
      </c>
      <c r="M195" s="8" t="s">
        <v>6</v>
      </c>
      <c r="N195" s="8" t="s">
        <v>46</v>
      </c>
      <c r="O195" s="8" t="s">
        <v>1003</v>
      </c>
      <c r="P195" s="8" t="s">
        <v>1004</v>
      </c>
      <c r="Q195" s="8" t="s">
        <v>59</v>
      </c>
      <c r="R195" s="8" t="s">
        <v>50</v>
      </c>
    </row>
    <row r="196" customFormat="false" ht="43.25" hidden="false" customHeight="false" outlineLevel="0" collapsed="false">
      <c r="A196" s="8" t="s">
        <v>1005</v>
      </c>
      <c r="B196" s="8" t="s">
        <v>1006</v>
      </c>
      <c r="C196" s="8" t="s">
        <v>1007</v>
      </c>
      <c r="D196" s="8" t="s">
        <v>127</v>
      </c>
      <c r="E196" s="9" t="n">
        <v>5800000</v>
      </c>
      <c r="F196" s="9" t="n">
        <v>5800000</v>
      </c>
      <c r="G196" s="9" t="n">
        <f aca="false">IF(AND(ISNUMBER(E196),ISNUMBER(F196)),E196-F196,"No disponible")</f>
        <v>0</v>
      </c>
      <c r="H196" s="8" t="s">
        <v>64</v>
      </c>
      <c r="I196" s="8" t="s">
        <v>42</v>
      </c>
      <c r="J196" s="8" t="s">
        <v>43</v>
      </c>
      <c r="K196" s="8" t="s">
        <v>44</v>
      </c>
      <c r="L196" s="8" t="s">
        <v>45</v>
      </c>
      <c r="M196" s="8" t="s">
        <v>6</v>
      </c>
      <c r="N196" s="8" t="s">
        <v>46</v>
      </c>
      <c r="O196" s="8" t="s">
        <v>1008</v>
      </c>
      <c r="P196" s="8" t="s">
        <v>1009</v>
      </c>
      <c r="Q196" s="8" t="s">
        <v>59</v>
      </c>
      <c r="R196" s="8" t="s">
        <v>50</v>
      </c>
    </row>
    <row r="197" customFormat="false" ht="32.8" hidden="false" customHeight="false" outlineLevel="0" collapsed="false">
      <c r="A197" s="8" t="s">
        <v>1010</v>
      </c>
      <c r="B197" s="8" t="s">
        <v>1011</v>
      </c>
      <c r="C197" s="8" t="s">
        <v>1012</v>
      </c>
      <c r="D197" s="8" t="s">
        <v>1013</v>
      </c>
      <c r="E197" s="9" t="n">
        <v>4000000</v>
      </c>
      <c r="F197" s="9" t="n">
        <v>4440000</v>
      </c>
      <c r="G197" s="9" t="n">
        <f aca="false">IF(AND(ISNUMBER(E197),ISNUMBER(F197)),E197-F197,"No disponible")</f>
        <v>-440000</v>
      </c>
      <c r="H197" s="8" t="s">
        <v>1014</v>
      </c>
      <c r="I197" s="8" t="s">
        <v>56</v>
      </c>
      <c r="J197" s="8" t="s">
        <v>43</v>
      </c>
      <c r="K197" s="8" t="s">
        <v>81</v>
      </c>
      <c r="L197" s="8" t="s">
        <v>45</v>
      </c>
      <c r="M197" s="8" t="s">
        <v>82</v>
      </c>
      <c r="N197" s="8" t="s">
        <v>46</v>
      </c>
      <c r="O197" s="8" t="s">
        <v>1015</v>
      </c>
      <c r="P197" s="8" t="s">
        <v>1016</v>
      </c>
      <c r="Q197" s="8" t="s">
        <v>59</v>
      </c>
      <c r="R197" s="8" t="s">
        <v>50</v>
      </c>
    </row>
    <row r="198" customFormat="false" ht="32.8" hidden="false" customHeight="false" outlineLevel="0" collapsed="false">
      <c r="A198" s="8" t="s">
        <v>1010</v>
      </c>
      <c r="B198" s="8" t="s">
        <v>1011</v>
      </c>
      <c r="C198" s="8" t="s">
        <v>1017</v>
      </c>
      <c r="D198" s="8" t="s">
        <v>1018</v>
      </c>
      <c r="E198" s="9" t="n">
        <v>17000000</v>
      </c>
      <c r="F198" s="9" t="n">
        <v>18870000</v>
      </c>
      <c r="G198" s="9" t="n">
        <f aca="false">IF(AND(ISNUMBER(E198),ISNUMBER(F198)),E198-F198,"No disponible")</f>
        <v>-1870000</v>
      </c>
      <c r="H198" s="8" t="s">
        <v>1019</v>
      </c>
      <c r="I198" s="8" t="s">
        <v>56</v>
      </c>
      <c r="J198" s="8" t="s">
        <v>43</v>
      </c>
      <c r="K198" s="8" t="s">
        <v>81</v>
      </c>
      <c r="L198" s="8" t="s">
        <v>45</v>
      </c>
      <c r="M198" s="8" t="s">
        <v>82</v>
      </c>
      <c r="N198" s="8" t="s">
        <v>46</v>
      </c>
      <c r="O198" s="8" t="s">
        <v>1020</v>
      </c>
      <c r="P198" s="8" t="s">
        <v>1021</v>
      </c>
      <c r="Q198" s="8" t="s">
        <v>59</v>
      </c>
      <c r="R198" s="8" t="s">
        <v>50</v>
      </c>
    </row>
    <row r="199" customFormat="false" ht="32.8" hidden="false" customHeight="false" outlineLevel="0" collapsed="false">
      <c r="A199" s="8" t="s">
        <v>1010</v>
      </c>
      <c r="B199" s="8" t="s">
        <v>1011</v>
      </c>
      <c r="C199" s="8" t="s">
        <v>1022</v>
      </c>
      <c r="D199" s="8" t="s">
        <v>1018</v>
      </c>
      <c r="E199" s="9" t="n">
        <v>2379000</v>
      </c>
      <c r="F199" s="9" t="n">
        <v>2640690</v>
      </c>
      <c r="G199" s="9" t="n">
        <f aca="false">IF(AND(ISNUMBER(E199),ISNUMBER(F199)),E199-F199,"No disponible")</f>
        <v>-261690</v>
      </c>
      <c r="H199" s="8" t="s">
        <v>1023</v>
      </c>
      <c r="I199" s="8" t="s">
        <v>56</v>
      </c>
      <c r="J199" s="8" t="s">
        <v>43</v>
      </c>
      <c r="K199" s="8" t="s">
        <v>81</v>
      </c>
      <c r="L199" s="8" t="s">
        <v>45</v>
      </c>
      <c r="M199" s="8" t="s">
        <v>82</v>
      </c>
      <c r="N199" s="8" t="s">
        <v>46</v>
      </c>
      <c r="O199" s="8" t="s">
        <v>1024</v>
      </c>
      <c r="P199" s="8" t="s">
        <v>1025</v>
      </c>
      <c r="Q199" s="8" t="s">
        <v>59</v>
      </c>
      <c r="R199" s="8" t="s">
        <v>50</v>
      </c>
    </row>
    <row r="200" customFormat="false" ht="43.25" hidden="false" customHeight="false" outlineLevel="0" collapsed="false">
      <c r="A200" s="8" t="s">
        <v>1026</v>
      </c>
      <c r="B200" s="8" t="s">
        <v>1027</v>
      </c>
      <c r="C200" s="8" t="s">
        <v>1028</v>
      </c>
      <c r="D200" s="8" t="s">
        <v>266</v>
      </c>
      <c r="E200" s="9" t="n">
        <v>332192</v>
      </c>
      <c r="F200" s="9" t="n">
        <v>332192</v>
      </c>
      <c r="G200" s="9" t="n">
        <f aca="false">IF(AND(ISNUMBER(E200),ISNUMBER(F200)),E200-F200,"No disponible")</f>
        <v>0</v>
      </c>
      <c r="H200" s="8" t="s">
        <v>1029</v>
      </c>
      <c r="I200" s="8" t="s">
        <v>56</v>
      </c>
      <c r="J200" s="8" t="s">
        <v>43</v>
      </c>
      <c r="K200" s="8" t="s">
        <v>44</v>
      </c>
      <c r="L200" s="8" t="s">
        <v>45</v>
      </c>
      <c r="M200" s="8" t="s">
        <v>6</v>
      </c>
      <c r="N200" s="8" t="s">
        <v>46</v>
      </c>
      <c r="O200" s="8" t="s">
        <v>1030</v>
      </c>
      <c r="P200" s="8" t="s">
        <v>1031</v>
      </c>
      <c r="Q200" s="8" t="s">
        <v>59</v>
      </c>
      <c r="R200" s="8" t="s">
        <v>50</v>
      </c>
    </row>
    <row r="201" customFormat="false" ht="22.35" hidden="false" customHeight="false" outlineLevel="0" collapsed="false">
      <c r="A201" s="8" t="s">
        <v>1032</v>
      </c>
      <c r="B201" s="8" t="s">
        <v>1033</v>
      </c>
      <c r="C201" s="8" t="s">
        <v>1034</v>
      </c>
      <c r="D201" s="8" t="s">
        <v>86</v>
      </c>
      <c r="E201" s="9" t="n">
        <v>179900</v>
      </c>
      <c r="F201" s="9" t="s">
        <v>87</v>
      </c>
      <c r="G201" s="9" t="str">
        <f aca="false">IF(AND(ISNUMBER(E201),ISNUMBER(F201)),E201-F201,"No disponible")</f>
        <v>No disponible</v>
      </c>
      <c r="H201" s="8" t="s">
        <v>86</v>
      </c>
      <c r="I201" s="8" t="s">
        <v>65</v>
      </c>
      <c r="J201" s="8" t="s">
        <v>87</v>
      </c>
      <c r="K201" s="8" t="s">
        <v>88</v>
      </c>
      <c r="L201" s="8" t="s">
        <v>89</v>
      </c>
      <c r="M201" s="8" t="s">
        <v>82</v>
      </c>
      <c r="N201" s="8" t="s">
        <v>46</v>
      </c>
      <c r="O201" s="8" t="s">
        <v>87</v>
      </c>
      <c r="P201" s="8"/>
      <c r="Q201" s="8" t="s">
        <v>87</v>
      </c>
      <c r="R201" s="8" t="s">
        <v>86</v>
      </c>
    </row>
    <row r="202" customFormat="false" ht="43.25" hidden="false" customHeight="false" outlineLevel="0" collapsed="false">
      <c r="A202" s="8" t="s">
        <v>1032</v>
      </c>
      <c r="B202" s="8" t="s">
        <v>1033</v>
      </c>
      <c r="C202" s="8" t="s">
        <v>1035</v>
      </c>
      <c r="D202" s="8" t="s">
        <v>1036</v>
      </c>
      <c r="E202" s="9" t="n">
        <v>2298700</v>
      </c>
      <c r="F202" s="9" t="n">
        <v>2298701</v>
      </c>
      <c r="G202" s="9" t="n">
        <f aca="false">IF(AND(ISNUMBER(E202),ISNUMBER(F202)),E202-F202,"No disponible")</f>
        <v>-1</v>
      </c>
      <c r="H202" s="8" t="s">
        <v>1037</v>
      </c>
      <c r="I202" s="8" t="s">
        <v>56</v>
      </c>
      <c r="J202" s="8" t="s">
        <v>43</v>
      </c>
      <c r="K202" s="8" t="s">
        <v>81</v>
      </c>
      <c r="L202" s="8" t="s">
        <v>45</v>
      </c>
      <c r="M202" s="8" t="s">
        <v>82</v>
      </c>
      <c r="N202" s="8" t="s">
        <v>46</v>
      </c>
      <c r="O202" s="8" t="s">
        <v>1038</v>
      </c>
      <c r="P202" s="8" t="s">
        <v>1039</v>
      </c>
      <c r="Q202" s="8" t="s">
        <v>59</v>
      </c>
      <c r="R202" s="8" t="s">
        <v>50</v>
      </c>
    </row>
    <row r="203" customFormat="false" ht="22.35" hidden="false" customHeight="false" outlineLevel="0" collapsed="false">
      <c r="A203" s="8" t="s">
        <v>1032</v>
      </c>
      <c r="B203" s="8" t="s">
        <v>1033</v>
      </c>
      <c r="C203" s="8" t="s">
        <v>1040</v>
      </c>
      <c r="D203" s="8" t="s">
        <v>86</v>
      </c>
      <c r="E203" s="9" t="n">
        <v>199900</v>
      </c>
      <c r="F203" s="9" t="s">
        <v>87</v>
      </c>
      <c r="G203" s="9" t="str">
        <f aca="false">IF(AND(ISNUMBER(E203),ISNUMBER(F203)),E203-F203,"No disponible")</f>
        <v>No disponible</v>
      </c>
      <c r="H203" s="8" t="s">
        <v>86</v>
      </c>
      <c r="I203" s="8" t="s">
        <v>56</v>
      </c>
      <c r="J203" s="8" t="s">
        <v>87</v>
      </c>
      <c r="K203" s="8" t="s">
        <v>88</v>
      </c>
      <c r="L203" s="8" t="s">
        <v>89</v>
      </c>
      <c r="M203" s="8" t="s">
        <v>82</v>
      </c>
      <c r="N203" s="8" t="s">
        <v>46</v>
      </c>
      <c r="O203" s="8" t="s">
        <v>87</v>
      </c>
      <c r="P203" s="8"/>
      <c r="Q203" s="8" t="s">
        <v>87</v>
      </c>
      <c r="R203" s="8" t="s">
        <v>86</v>
      </c>
    </row>
    <row r="204" customFormat="false" ht="22.35" hidden="false" customHeight="false" outlineLevel="0" collapsed="false">
      <c r="A204" s="8" t="s">
        <v>1041</v>
      </c>
      <c r="B204" s="8" t="s">
        <v>1042</v>
      </c>
      <c r="C204" s="8" t="s">
        <v>1043</v>
      </c>
      <c r="D204" s="8" t="s">
        <v>86</v>
      </c>
      <c r="E204" s="9" t="n">
        <v>18000</v>
      </c>
      <c r="F204" s="9" t="s">
        <v>87</v>
      </c>
      <c r="G204" s="9" t="str">
        <f aca="false">IF(AND(ISNUMBER(E204),ISNUMBER(F204)),E204-F204,"No disponible")</f>
        <v>No disponible</v>
      </c>
      <c r="H204" s="8" t="s">
        <v>86</v>
      </c>
      <c r="I204" s="8" t="s">
        <v>56</v>
      </c>
      <c r="J204" s="8" t="s">
        <v>87</v>
      </c>
      <c r="K204" s="8" t="s">
        <v>140</v>
      </c>
      <c r="L204" s="8" t="s">
        <v>141</v>
      </c>
      <c r="M204" s="8" t="s">
        <v>82</v>
      </c>
      <c r="N204" s="8" t="s">
        <v>46</v>
      </c>
      <c r="O204" s="8" t="s">
        <v>87</v>
      </c>
      <c r="P204" s="8"/>
      <c r="Q204" s="8" t="s">
        <v>87</v>
      </c>
      <c r="R204" s="8" t="s">
        <v>86</v>
      </c>
    </row>
    <row r="205" customFormat="false" ht="43.25" hidden="false" customHeight="false" outlineLevel="0" collapsed="false">
      <c r="A205" s="8" t="s">
        <v>1044</v>
      </c>
      <c r="B205" s="8" t="s">
        <v>1045</v>
      </c>
      <c r="C205" s="8" t="s">
        <v>1046</v>
      </c>
      <c r="D205" s="8" t="s">
        <v>127</v>
      </c>
      <c r="E205" s="9" t="n">
        <v>25000</v>
      </c>
      <c r="F205" s="9" t="n">
        <v>25000</v>
      </c>
      <c r="G205" s="9" t="n">
        <f aca="false">IF(AND(ISNUMBER(E205),ISNUMBER(F205)),E205-F205,"No disponible")</f>
        <v>0</v>
      </c>
      <c r="H205" s="8" t="s">
        <v>64</v>
      </c>
      <c r="I205" s="8" t="s">
        <v>56</v>
      </c>
      <c r="J205" s="8" t="s">
        <v>43</v>
      </c>
      <c r="K205" s="8" t="s">
        <v>44</v>
      </c>
      <c r="L205" s="8" t="s">
        <v>45</v>
      </c>
      <c r="M205" s="8" t="s">
        <v>6</v>
      </c>
      <c r="N205" s="8" t="s">
        <v>46</v>
      </c>
      <c r="O205" s="8" t="s">
        <v>1047</v>
      </c>
      <c r="P205" s="8" t="s">
        <v>1048</v>
      </c>
      <c r="Q205" s="8" t="s">
        <v>59</v>
      </c>
      <c r="R205" s="8" t="s">
        <v>50</v>
      </c>
    </row>
    <row r="206" customFormat="false" ht="22.35" hidden="false" customHeight="false" outlineLevel="0" collapsed="false">
      <c r="A206" s="8" t="s">
        <v>1044</v>
      </c>
      <c r="B206" s="8" t="s">
        <v>1045</v>
      </c>
      <c r="C206" s="8" t="s">
        <v>1049</v>
      </c>
      <c r="D206" s="8" t="s">
        <v>86</v>
      </c>
      <c r="E206" s="9" t="n">
        <v>15000</v>
      </c>
      <c r="F206" s="9" t="s">
        <v>87</v>
      </c>
      <c r="G206" s="9" t="str">
        <f aca="false">IF(AND(ISNUMBER(E206),ISNUMBER(F206)),E206-F206,"No disponible")</f>
        <v>No disponible</v>
      </c>
      <c r="H206" s="8" t="s">
        <v>86</v>
      </c>
      <c r="I206" s="8" t="s">
        <v>56</v>
      </c>
      <c r="J206" s="8" t="s">
        <v>87</v>
      </c>
      <c r="K206" s="8" t="s">
        <v>88</v>
      </c>
      <c r="L206" s="8" t="s">
        <v>89</v>
      </c>
      <c r="M206" s="8" t="s">
        <v>82</v>
      </c>
      <c r="N206" s="8" t="s">
        <v>46</v>
      </c>
      <c r="O206" s="8" t="s">
        <v>87</v>
      </c>
      <c r="P206" s="8"/>
      <c r="Q206" s="8" t="s">
        <v>87</v>
      </c>
      <c r="R206" s="8" t="s">
        <v>86</v>
      </c>
    </row>
    <row r="207" customFormat="false" ht="32.8" hidden="false" customHeight="false" outlineLevel="0" collapsed="false">
      <c r="A207" s="8" t="s">
        <v>1061</v>
      </c>
      <c r="B207" s="8" t="s">
        <v>1062</v>
      </c>
      <c r="C207" s="8" t="s">
        <v>1063</v>
      </c>
      <c r="D207" s="8" t="s">
        <v>1064</v>
      </c>
      <c r="E207" s="9" t="n">
        <v>1500000</v>
      </c>
      <c r="F207" s="9" t="n">
        <v>1428013</v>
      </c>
      <c r="G207" s="9" t="n">
        <f aca="false">IF(AND(ISNUMBER(E207),ISNUMBER(F207)),E207-F207,"No disponible")</f>
        <v>71987</v>
      </c>
      <c r="H207" s="8" t="s">
        <v>1065</v>
      </c>
      <c r="I207" s="8" t="s">
        <v>42</v>
      </c>
      <c r="J207" s="8" t="s">
        <v>43</v>
      </c>
      <c r="K207" s="8" t="s">
        <v>81</v>
      </c>
      <c r="L207" s="8" t="s">
        <v>45</v>
      </c>
      <c r="M207" s="8" t="s">
        <v>82</v>
      </c>
      <c r="N207" s="8" t="s">
        <v>46</v>
      </c>
      <c r="O207" s="8" t="s">
        <v>1066</v>
      </c>
      <c r="P207" s="8" t="s">
        <v>1067</v>
      </c>
      <c r="Q207" s="8" t="s">
        <v>59</v>
      </c>
      <c r="R207" s="8" t="s">
        <v>50</v>
      </c>
    </row>
    <row r="208" customFormat="false" ht="43.25" hidden="false" customHeight="false" outlineLevel="0" collapsed="false">
      <c r="A208" s="8" t="s">
        <v>1068</v>
      </c>
      <c r="B208" s="8" t="s">
        <v>1069</v>
      </c>
      <c r="C208" s="8" t="s">
        <v>1070</v>
      </c>
      <c r="D208" s="8" t="s">
        <v>1071</v>
      </c>
      <c r="E208" s="9" t="n">
        <v>495460</v>
      </c>
      <c r="F208" s="9" t="n">
        <v>495460</v>
      </c>
      <c r="G208" s="9" t="n">
        <f aca="false">IF(AND(ISNUMBER(E208),ISNUMBER(F208)),E208-F208,"No disponible")</f>
        <v>0</v>
      </c>
      <c r="H208" s="8" t="s">
        <v>1072</v>
      </c>
      <c r="I208" s="8" t="s">
        <v>56</v>
      </c>
      <c r="J208" s="8" t="s">
        <v>43</v>
      </c>
      <c r="K208" s="8" t="s">
        <v>44</v>
      </c>
      <c r="L208" s="8" t="s">
        <v>45</v>
      </c>
      <c r="M208" s="8" t="s">
        <v>6</v>
      </c>
      <c r="N208" s="8" t="s">
        <v>46</v>
      </c>
      <c r="O208" s="8" t="s">
        <v>1073</v>
      </c>
      <c r="P208" s="8" t="s">
        <v>1074</v>
      </c>
      <c r="Q208" s="8" t="s">
        <v>59</v>
      </c>
      <c r="R208" s="8" t="s">
        <v>50</v>
      </c>
    </row>
    <row r="209" customFormat="false" ht="43.25" hidden="false" customHeight="false" outlineLevel="0" collapsed="false">
      <c r="A209" s="8" t="s">
        <v>1075</v>
      </c>
      <c r="B209" s="8" t="s">
        <v>1076</v>
      </c>
      <c r="C209" s="8" t="s">
        <v>1077</v>
      </c>
      <c r="D209" s="8" t="s">
        <v>127</v>
      </c>
      <c r="E209" s="9" t="n">
        <v>65179</v>
      </c>
      <c r="F209" s="9" t="n">
        <v>65179</v>
      </c>
      <c r="G209" s="9" t="n">
        <f aca="false">IF(AND(ISNUMBER(E209),ISNUMBER(F209)),E209-F209,"No disponible")</f>
        <v>0</v>
      </c>
      <c r="H209" s="8" t="s">
        <v>64</v>
      </c>
      <c r="I209" s="8" t="s">
        <v>56</v>
      </c>
      <c r="J209" s="8" t="s">
        <v>43</v>
      </c>
      <c r="K209" s="8" t="s">
        <v>44</v>
      </c>
      <c r="L209" s="8" t="s">
        <v>45</v>
      </c>
      <c r="M209" s="8" t="s">
        <v>6</v>
      </c>
      <c r="N209" s="8" t="s">
        <v>46</v>
      </c>
      <c r="O209" s="8" t="s">
        <v>1078</v>
      </c>
      <c r="P209" s="8" t="s">
        <v>1079</v>
      </c>
      <c r="Q209" s="8" t="s">
        <v>59</v>
      </c>
      <c r="R209" s="8" t="s">
        <v>50</v>
      </c>
    </row>
    <row r="210" customFormat="false" ht="32.8" hidden="false" customHeight="false" outlineLevel="0" collapsed="false">
      <c r="A210" s="8" t="s">
        <v>1075</v>
      </c>
      <c r="B210" s="8" t="s">
        <v>1076</v>
      </c>
      <c r="C210" s="8" t="s">
        <v>1080</v>
      </c>
      <c r="D210" s="8" t="s">
        <v>127</v>
      </c>
      <c r="E210" s="9" t="n">
        <v>83903</v>
      </c>
      <c r="F210" s="9" t="n">
        <v>83903</v>
      </c>
      <c r="G210" s="9" t="n">
        <f aca="false">IF(AND(ISNUMBER(E210),ISNUMBER(F210)),E210-F210,"No disponible")</f>
        <v>0</v>
      </c>
      <c r="H210" s="8" t="s">
        <v>64</v>
      </c>
      <c r="I210" s="8" t="s">
        <v>56</v>
      </c>
      <c r="J210" s="8" t="s">
        <v>43</v>
      </c>
      <c r="K210" s="8" t="s">
        <v>190</v>
      </c>
      <c r="L210" s="8" t="s">
        <v>45</v>
      </c>
      <c r="M210" s="8" t="s">
        <v>6</v>
      </c>
      <c r="N210" s="8" t="s">
        <v>46</v>
      </c>
      <c r="O210" s="8" t="s">
        <v>1081</v>
      </c>
      <c r="P210" s="8" t="s">
        <v>1082</v>
      </c>
      <c r="Q210" s="8" t="s">
        <v>193</v>
      </c>
      <c r="R210" s="8" t="s">
        <v>50</v>
      </c>
    </row>
    <row r="211" customFormat="false" ht="22.35" hidden="false" customHeight="false" outlineLevel="0" collapsed="false">
      <c r="A211" s="8" t="s">
        <v>1083</v>
      </c>
      <c r="B211" s="8" t="s">
        <v>1084</v>
      </c>
      <c r="C211" s="8" t="s">
        <v>1085</v>
      </c>
      <c r="D211" s="8" t="s">
        <v>86</v>
      </c>
      <c r="E211" s="9" t="n">
        <v>19500</v>
      </c>
      <c r="F211" s="9" t="s">
        <v>87</v>
      </c>
      <c r="G211" s="9" t="str">
        <f aca="false">IF(AND(ISNUMBER(E211),ISNUMBER(F211)),E211-F211,"No disponible")</f>
        <v>No disponible</v>
      </c>
      <c r="H211" s="8" t="s">
        <v>86</v>
      </c>
      <c r="I211" s="8" t="s">
        <v>56</v>
      </c>
      <c r="J211" s="8" t="s">
        <v>87</v>
      </c>
      <c r="K211" s="8" t="s">
        <v>140</v>
      </c>
      <c r="L211" s="8" t="s">
        <v>141</v>
      </c>
      <c r="M211" s="8" t="s">
        <v>82</v>
      </c>
      <c r="N211" s="8" t="s">
        <v>46</v>
      </c>
      <c r="O211" s="8" t="s">
        <v>87</v>
      </c>
      <c r="P211" s="8"/>
      <c r="Q211" s="8" t="s">
        <v>87</v>
      </c>
      <c r="R211" s="8" t="s">
        <v>86</v>
      </c>
    </row>
    <row r="212" customFormat="false" ht="43.25" hidden="false" customHeight="false" outlineLevel="0" collapsed="false">
      <c r="A212" s="8" t="s">
        <v>1086</v>
      </c>
      <c r="B212" s="8" t="s">
        <v>1087</v>
      </c>
      <c r="C212" s="8" t="s">
        <v>1088</v>
      </c>
      <c r="D212" s="8" t="s">
        <v>266</v>
      </c>
      <c r="E212" s="9" t="n">
        <v>186009</v>
      </c>
      <c r="F212" s="9" t="n">
        <v>186009</v>
      </c>
      <c r="G212" s="9" t="n">
        <f aca="false">IF(AND(ISNUMBER(E212),ISNUMBER(F212)),E212-F212,"No disponible")</f>
        <v>0</v>
      </c>
      <c r="H212" s="8" t="s">
        <v>1089</v>
      </c>
      <c r="I212" s="8" t="s">
        <v>56</v>
      </c>
      <c r="J212" s="8" t="s">
        <v>43</v>
      </c>
      <c r="K212" s="8" t="s">
        <v>44</v>
      </c>
      <c r="L212" s="8" t="s">
        <v>45</v>
      </c>
      <c r="M212" s="8" t="s">
        <v>6</v>
      </c>
      <c r="N212" s="8" t="s">
        <v>46</v>
      </c>
      <c r="O212" s="8" t="s">
        <v>1090</v>
      </c>
      <c r="P212" s="8" t="s">
        <v>1091</v>
      </c>
      <c r="Q212" s="8" t="s">
        <v>59</v>
      </c>
      <c r="R212" s="8" t="s">
        <v>50</v>
      </c>
    </row>
    <row r="213" customFormat="false" ht="43.25" hidden="false" customHeight="false" outlineLevel="0" collapsed="false">
      <c r="A213" s="8" t="s">
        <v>1092</v>
      </c>
      <c r="B213" s="8" t="s">
        <v>1093</v>
      </c>
      <c r="C213" s="8" t="s">
        <v>1094</v>
      </c>
      <c r="D213" s="8" t="s">
        <v>127</v>
      </c>
      <c r="E213" s="9" t="n">
        <v>203000</v>
      </c>
      <c r="F213" s="9" t="n">
        <v>203000</v>
      </c>
      <c r="G213" s="9" t="n">
        <f aca="false">IF(AND(ISNUMBER(E213),ISNUMBER(F213)),E213-F213,"No disponible")</f>
        <v>0</v>
      </c>
      <c r="H213" s="8" t="s">
        <v>64</v>
      </c>
      <c r="I213" s="8" t="s">
        <v>42</v>
      </c>
      <c r="J213" s="8" t="s">
        <v>43</v>
      </c>
      <c r="K213" s="8" t="s">
        <v>44</v>
      </c>
      <c r="L213" s="8" t="s">
        <v>45</v>
      </c>
      <c r="M213" s="8" t="s">
        <v>6</v>
      </c>
      <c r="N213" s="8" t="s">
        <v>46</v>
      </c>
      <c r="O213" s="8" t="s">
        <v>1095</v>
      </c>
      <c r="P213" s="8" t="s">
        <v>1096</v>
      </c>
      <c r="Q213" s="8" t="s">
        <v>59</v>
      </c>
      <c r="R213" s="8" t="s">
        <v>50</v>
      </c>
    </row>
    <row r="214" customFormat="false" ht="43.25" hidden="false" customHeight="false" outlineLevel="0" collapsed="false">
      <c r="A214" s="8" t="s">
        <v>1097</v>
      </c>
      <c r="B214" s="8" t="s">
        <v>1098</v>
      </c>
      <c r="C214" s="8" t="s">
        <v>1099</v>
      </c>
      <c r="D214" s="8" t="s">
        <v>127</v>
      </c>
      <c r="E214" s="9" t="n">
        <v>23000</v>
      </c>
      <c r="F214" s="9" t="n">
        <v>23000</v>
      </c>
      <c r="G214" s="9" t="n">
        <f aca="false">IF(AND(ISNUMBER(E214),ISNUMBER(F214)),E214-F214,"No disponible")</f>
        <v>0</v>
      </c>
      <c r="H214" s="8" t="s">
        <v>64</v>
      </c>
      <c r="I214" s="8" t="s">
        <v>56</v>
      </c>
      <c r="J214" s="8" t="s">
        <v>43</v>
      </c>
      <c r="K214" s="8" t="s">
        <v>44</v>
      </c>
      <c r="L214" s="8" t="s">
        <v>45</v>
      </c>
      <c r="M214" s="8" t="s">
        <v>6</v>
      </c>
      <c r="N214" s="8" t="s">
        <v>46</v>
      </c>
      <c r="O214" s="8" t="s">
        <v>1100</v>
      </c>
      <c r="P214" s="8" t="s">
        <v>1101</v>
      </c>
      <c r="Q214" s="8" t="s">
        <v>59</v>
      </c>
      <c r="R214" s="8" t="s">
        <v>50</v>
      </c>
    </row>
    <row r="215" customFormat="false" ht="32.8" hidden="false" customHeight="false" outlineLevel="0" collapsed="false">
      <c r="A215" s="8" t="s">
        <v>1097</v>
      </c>
      <c r="B215" s="8" t="s">
        <v>1098</v>
      </c>
      <c r="C215" s="8" t="s">
        <v>1102</v>
      </c>
      <c r="D215" s="8" t="s">
        <v>1103</v>
      </c>
      <c r="E215" s="9" t="n">
        <v>23000</v>
      </c>
      <c r="F215" s="9" t="n">
        <v>69000</v>
      </c>
      <c r="G215" s="9" t="n">
        <f aca="false">IF(AND(ISNUMBER(E215),ISNUMBER(F215)),E215-F215,"No disponible")</f>
        <v>-46000</v>
      </c>
      <c r="H215" s="8" t="s">
        <v>64</v>
      </c>
      <c r="I215" s="8" t="s">
        <v>56</v>
      </c>
      <c r="J215" s="8" t="s">
        <v>43</v>
      </c>
      <c r="K215" s="8" t="s">
        <v>190</v>
      </c>
      <c r="L215" s="8" t="s">
        <v>1104</v>
      </c>
      <c r="M215" s="8" t="s">
        <v>6</v>
      </c>
      <c r="N215" s="8" t="s">
        <v>46</v>
      </c>
      <c r="O215" s="8" t="s">
        <v>1105</v>
      </c>
      <c r="P215" s="8" t="s">
        <v>1106</v>
      </c>
      <c r="Q215" s="8" t="s">
        <v>193</v>
      </c>
      <c r="R215" s="8" t="s">
        <v>50</v>
      </c>
    </row>
    <row r="216" customFormat="false" ht="43.25" hidden="false" customHeight="false" outlineLevel="0" collapsed="false">
      <c r="A216" s="8" t="s">
        <v>1097</v>
      </c>
      <c r="B216" s="8" t="s">
        <v>1098</v>
      </c>
      <c r="C216" s="8" t="s">
        <v>1107</v>
      </c>
      <c r="D216" s="8" t="s">
        <v>127</v>
      </c>
      <c r="E216" s="9" t="n">
        <v>33000</v>
      </c>
      <c r="F216" s="9" t="n">
        <v>33000</v>
      </c>
      <c r="G216" s="9" t="n">
        <f aca="false">IF(AND(ISNUMBER(E216),ISNUMBER(F216)),E216-F216,"No disponible")</f>
        <v>0</v>
      </c>
      <c r="H216" s="8" t="s">
        <v>64</v>
      </c>
      <c r="I216" s="8" t="s">
        <v>56</v>
      </c>
      <c r="J216" s="8" t="s">
        <v>43</v>
      </c>
      <c r="K216" s="8" t="s">
        <v>44</v>
      </c>
      <c r="L216" s="8" t="s">
        <v>45</v>
      </c>
      <c r="M216" s="8" t="s">
        <v>6</v>
      </c>
      <c r="N216" s="8" t="s">
        <v>46</v>
      </c>
      <c r="O216" s="8" t="s">
        <v>1108</v>
      </c>
      <c r="P216" s="8" t="s">
        <v>1109</v>
      </c>
      <c r="Q216" s="8" t="s">
        <v>59</v>
      </c>
      <c r="R216" s="8" t="s">
        <v>50</v>
      </c>
    </row>
    <row r="217" customFormat="false" ht="32.8" hidden="false" customHeight="false" outlineLevel="0" collapsed="false">
      <c r="A217" s="8" t="s">
        <v>1097</v>
      </c>
      <c r="B217" s="8" t="s">
        <v>1098</v>
      </c>
      <c r="C217" s="8" t="s">
        <v>1110</v>
      </c>
      <c r="D217" s="8" t="s">
        <v>127</v>
      </c>
      <c r="E217" s="9" t="n">
        <v>46000</v>
      </c>
      <c r="F217" s="9" t="n">
        <v>46000</v>
      </c>
      <c r="G217" s="9" t="n">
        <f aca="false">IF(AND(ISNUMBER(E217),ISNUMBER(F217)),E217-F217,"No disponible")</f>
        <v>0</v>
      </c>
      <c r="H217" s="8" t="s">
        <v>64</v>
      </c>
      <c r="I217" s="8" t="s">
        <v>56</v>
      </c>
      <c r="J217" s="8" t="s">
        <v>43</v>
      </c>
      <c r="K217" s="8" t="s">
        <v>190</v>
      </c>
      <c r="L217" s="8" t="s">
        <v>45</v>
      </c>
      <c r="M217" s="8" t="s">
        <v>6</v>
      </c>
      <c r="N217" s="8" t="s">
        <v>46</v>
      </c>
      <c r="O217" s="8" t="s">
        <v>1111</v>
      </c>
      <c r="P217" s="8" t="s">
        <v>1112</v>
      </c>
      <c r="Q217" s="8" t="s">
        <v>193</v>
      </c>
      <c r="R217" s="8" t="s">
        <v>50</v>
      </c>
    </row>
    <row r="218" customFormat="false" ht="22.35" hidden="false" customHeight="false" outlineLevel="0" collapsed="false">
      <c r="A218" s="8" t="s">
        <v>1097</v>
      </c>
      <c r="B218" s="8" t="s">
        <v>1098</v>
      </c>
      <c r="C218" s="8" t="s">
        <v>1113</v>
      </c>
      <c r="D218" s="8" t="s">
        <v>86</v>
      </c>
      <c r="E218" s="9" t="n">
        <v>28000</v>
      </c>
      <c r="F218" s="9" t="s">
        <v>87</v>
      </c>
      <c r="G218" s="9" t="str">
        <f aca="false">IF(AND(ISNUMBER(E218),ISNUMBER(F218)),E218-F218,"No disponible")</f>
        <v>No disponible</v>
      </c>
      <c r="H218" s="8" t="s">
        <v>86</v>
      </c>
      <c r="I218" s="8" t="s">
        <v>56</v>
      </c>
      <c r="J218" s="8" t="s">
        <v>87</v>
      </c>
      <c r="K218" s="8" t="s">
        <v>88</v>
      </c>
      <c r="L218" s="8" t="s">
        <v>89</v>
      </c>
      <c r="M218" s="8" t="s">
        <v>82</v>
      </c>
      <c r="N218" s="8" t="s">
        <v>46</v>
      </c>
      <c r="O218" s="8" t="s">
        <v>87</v>
      </c>
      <c r="P218" s="8"/>
      <c r="Q218" s="8" t="s">
        <v>87</v>
      </c>
      <c r="R218" s="8" t="s">
        <v>86</v>
      </c>
    </row>
    <row r="219" customFormat="false" ht="22.35" hidden="false" customHeight="false" outlineLevel="0" collapsed="false">
      <c r="A219" s="8" t="s">
        <v>1097</v>
      </c>
      <c r="B219" s="8" t="s">
        <v>1098</v>
      </c>
      <c r="C219" s="8" t="s">
        <v>1114</v>
      </c>
      <c r="D219" s="8" t="s">
        <v>86</v>
      </c>
      <c r="E219" s="9" t="n">
        <v>20000</v>
      </c>
      <c r="F219" s="9" t="s">
        <v>87</v>
      </c>
      <c r="G219" s="9" t="str">
        <f aca="false">IF(AND(ISNUMBER(E219),ISNUMBER(F219)),E219-F219,"No disponible")</f>
        <v>No disponible</v>
      </c>
      <c r="H219" s="8" t="s">
        <v>86</v>
      </c>
      <c r="I219" s="8" t="s">
        <v>56</v>
      </c>
      <c r="J219" s="8" t="s">
        <v>87</v>
      </c>
      <c r="K219" s="8" t="s">
        <v>88</v>
      </c>
      <c r="L219" s="8" t="s">
        <v>89</v>
      </c>
      <c r="M219" s="8" t="s">
        <v>82</v>
      </c>
      <c r="N219" s="8" t="s">
        <v>46</v>
      </c>
      <c r="O219" s="8" t="s">
        <v>87</v>
      </c>
      <c r="P219" s="8"/>
      <c r="Q219" s="8" t="s">
        <v>87</v>
      </c>
      <c r="R219" s="8" t="s">
        <v>86</v>
      </c>
    </row>
    <row r="220" customFormat="false" ht="43.25" hidden="false" customHeight="false" outlineLevel="0" collapsed="false">
      <c r="A220" s="8" t="s">
        <v>1097</v>
      </c>
      <c r="B220" s="8" t="s">
        <v>1098</v>
      </c>
      <c r="C220" s="8" t="s">
        <v>1115</v>
      </c>
      <c r="D220" s="8" t="s">
        <v>127</v>
      </c>
      <c r="E220" s="9" t="n">
        <v>26000</v>
      </c>
      <c r="F220" s="9" t="n">
        <v>26000</v>
      </c>
      <c r="G220" s="9" t="n">
        <f aca="false">IF(AND(ISNUMBER(E220),ISNUMBER(F220)),E220-F220,"No disponible")</f>
        <v>0</v>
      </c>
      <c r="H220" s="8" t="s">
        <v>64</v>
      </c>
      <c r="I220" s="8" t="s">
        <v>56</v>
      </c>
      <c r="J220" s="8" t="s">
        <v>43</v>
      </c>
      <c r="K220" s="8" t="s">
        <v>44</v>
      </c>
      <c r="L220" s="8" t="s">
        <v>45</v>
      </c>
      <c r="M220" s="8" t="s">
        <v>6</v>
      </c>
      <c r="N220" s="8" t="s">
        <v>46</v>
      </c>
      <c r="O220" s="8" t="s">
        <v>1116</v>
      </c>
      <c r="P220" s="8" t="s">
        <v>1117</v>
      </c>
      <c r="Q220" s="8" t="s">
        <v>59</v>
      </c>
      <c r="R220" s="8" t="s">
        <v>50</v>
      </c>
    </row>
    <row r="221" customFormat="false" ht="32.8" hidden="false" customHeight="false" outlineLevel="0" collapsed="false">
      <c r="A221" s="8" t="s">
        <v>1097</v>
      </c>
      <c r="B221" s="8" t="s">
        <v>1098</v>
      </c>
      <c r="C221" s="8" t="s">
        <v>1118</v>
      </c>
      <c r="D221" s="8" t="s">
        <v>1103</v>
      </c>
      <c r="E221" s="9" t="n">
        <v>23000</v>
      </c>
      <c r="F221" s="9" t="n">
        <v>69000</v>
      </c>
      <c r="G221" s="9" t="n">
        <f aca="false">IF(AND(ISNUMBER(E221),ISNUMBER(F221)),E221-F221,"No disponible")</f>
        <v>-46000</v>
      </c>
      <c r="H221" s="8" t="s">
        <v>64</v>
      </c>
      <c r="I221" s="8" t="s">
        <v>56</v>
      </c>
      <c r="J221" s="8" t="s">
        <v>43</v>
      </c>
      <c r="K221" s="8" t="s">
        <v>190</v>
      </c>
      <c r="L221" s="8" t="s">
        <v>1104</v>
      </c>
      <c r="M221" s="8" t="s">
        <v>6</v>
      </c>
      <c r="N221" s="8" t="s">
        <v>46</v>
      </c>
      <c r="O221" s="8" t="s">
        <v>1105</v>
      </c>
      <c r="P221" s="8" t="s">
        <v>1106</v>
      </c>
      <c r="Q221" s="8" t="s">
        <v>193</v>
      </c>
      <c r="R221" s="8" t="s">
        <v>50</v>
      </c>
    </row>
    <row r="222" customFormat="false" ht="43.25" hidden="false" customHeight="false" outlineLevel="0" collapsed="false">
      <c r="A222" s="8" t="s">
        <v>1097</v>
      </c>
      <c r="B222" s="8" t="s">
        <v>1098</v>
      </c>
      <c r="C222" s="8" t="s">
        <v>1119</v>
      </c>
      <c r="D222" s="8" t="s">
        <v>127</v>
      </c>
      <c r="E222" s="9" t="n">
        <v>8000</v>
      </c>
      <c r="F222" s="9" t="n">
        <v>8000</v>
      </c>
      <c r="G222" s="9" t="n">
        <f aca="false">IF(AND(ISNUMBER(E222),ISNUMBER(F222)),E222-F222,"No disponible")</f>
        <v>0</v>
      </c>
      <c r="H222" s="8" t="s">
        <v>64</v>
      </c>
      <c r="I222" s="8" t="s">
        <v>56</v>
      </c>
      <c r="J222" s="8" t="s">
        <v>43</v>
      </c>
      <c r="K222" s="8" t="s">
        <v>44</v>
      </c>
      <c r="L222" s="8" t="s">
        <v>45</v>
      </c>
      <c r="M222" s="8" t="s">
        <v>6</v>
      </c>
      <c r="N222" s="8" t="s">
        <v>46</v>
      </c>
      <c r="O222" s="8" t="s">
        <v>1120</v>
      </c>
      <c r="P222" s="8" t="s">
        <v>1121</v>
      </c>
      <c r="Q222" s="8" t="s">
        <v>59</v>
      </c>
      <c r="R222" s="8" t="s">
        <v>50</v>
      </c>
    </row>
    <row r="223" customFormat="false" ht="32.8" hidden="false" customHeight="false" outlineLevel="0" collapsed="false">
      <c r="A223" s="8" t="s">
        <v>1122</v>
      </c>
      <c r="B223" s="8" t="s">
        <v>1123</v>
      </c>
      <c r="C223" s="8" t="s">
        <v>1124</v>
      </c>
      <c r="D223" s="8" t="s">
        <v>93</v>
      </c>
      <c r="E223" s="9" t="n">
        <v>110000.03</v>
      </c>
      <c r="F223" s="9" t="n">
        <v>110000</v>
      </c>
      <c r="G223" s="9" t="n">
        <f aca="false">IF(AND(ISNUMBER(E223),ISNUMBER(F223)),E223-F223,"No disponible")</f>
        <v>0.0299999999988358</v>
      </c>
      <c r="H223" s="8" t="s">
        <v>1125</v>
      </c>
      <c r="I223" s="8" t="s">
        <v>56</v>
      </c>
      <c r="J223" s="8" t="s">
        <v>43</v>
      </c>
      <c r="K223" s="8" t="s">
        <v>81</v>
      </c>
      <c r="L223" s="8" t="s">
        <v>45</v>
      </c>
      <c r="M223" s="8" t="s">
        <v>82</v>
      </c>
      <c r="N223" s="8" t="s">
        <v>46</v>
      </c>
      <c r="O223" s="8" t="s">
        <v>1126</v>
      </c>
      <c r="P223" s="8" t="s">
        <v>1127</v>
      </c>
      <c r="Q223" s="8" t="s">
        <v>59</v>
      </c>
      <c r="R223" s="8" t="s">
        <v>50</v>
      </c>
    </row>
    <row r="224" customFormat="false" ht="22.35" hidden="false" customHeight="false" outlineLevel="0" collapsed="false">
      <c r="A224" s="8" t="s">
        <v>1135</v>
      </c>
      <c r="B224" s="8" t="s">
        <v>1136</v>
      </c>
      <c r="C224" s="8" t="s">
        <v>1137</v>
      </c>
      <c r="D224" s="8" t="s">
        <v>86</v>
      </c>
      <c r="E224" s="9" t="n">
        <v>8970</v>
      </c>
      <c r="F224" s="9" t="s">
        <v>87</v>
      </c>
      <c r="G224" s="9" t="str">
        <f aca="false">IF(AND(ISNUMBER(E224),ISNUMBER(F224)),E224-F224,"No disponible")</f>
        <v>No disponible</v>
      </c>
      <c r="H224" s="8" t="s">
        <v>86</v>
      </c>
      <c r="I224" s="8" t="s">
        <v>56</v>
      </c>
      <c r="J224" s="8" t="s">
        <v>87</v>
      </c>
      <c r="K224" s="8" t="s">
        <v>88</v>
      </c>
      <c r="L224" s="8" t="s">
        <v>89</v>
      </c>
      <c r="M224" s="8" t="s">
        <v>82</v>
      </c>
      <c r="N224" s="8" t="s">
        <v>46</v>
      </c>
      <c r="O224" s="8" t="s">
        <v>87</v>
      </c>
      <c r="P224" s="8"/>
      <c r="Q224" s="8" t="s">
        <v>87</v>
      </c>
      <c r="R224" s="8" t="s">
        <v>86</v>
      </c>
    </row>
    <row r="225" customFormat="false" ht="43.25" hidden="false" customHeight="false" outlineLevel="0" collapsed="false">
      <c r="A225" s="8" t="s">
        <v>1135</v>
      </c>
      <c r="B225" s="8" t="s">
        <v>1136</v>
      </c>
      <c r="C225" s="8" t="s">
        <v>1138</v>
      </c>
      <c r="D225" s="8" t="s">
        <v>1139</v>
      </c>
      <c r="E225" s="9" t="n">
        <v>437869</v>
      </c>
      <c r="F225" s="9" t="n">
        <v>437869</v>
      </c>
      <c r="G225" s="9" t="n">
        <f aca="false">IF(AND(ISNUMBER(E225),ISNUMBER(F225)),E225-F225,"No disponible")</f>
        <v>0</v>
      </c>
      <c r="H225" s="8" t="s">
        <v>1140</v>
      </c>
      <c r="I225" s="8" t="s">
        <v>56</v>
      </c>
      <c r="J225" s="8" t="s">
        <v>43</v>
      </c>
      <c r="K225" s="8" t="s">
        <v>44</v>
      </c>
      <c r="L225" s="8" t="s">
        <v>45</v>
      </c>
      <c r="M225" s="8" t="s">
        <v>6</v>
      </c>
      <c r="N225" s="8" t="s">
        <v>46</v>
      </c>
      <c r="O225" s="8" t="s">
        <v>1141</v>
      </c>
      <c r="P225" s="8" t="s">
        <v>1142</v>
      </c>
      <c r="Q225" s="8" t="s">
        <v>59</v>
      </c>
      <c r="R225" s="8" t="s">
        <v>50</v>
      </c>
    </row>
    <row r="226" customFormat="false" ht="43.25" hidden="false" customHeight="false" outlineLevel="0" collapsed="false">
      <c r="A226" s="8" t="s">
        <v>1135</v>
      </c>
      <c r="B226" s="8" t="s">
        <v>1136</v>
      </c>
      <c r="C226" s="8" t="s">
        <v>1143</v>
      </c>
      <c r="D226" s="8" t="s">
        <v>1139</v>
      </c>
      <c r="E226" s="9" t="n">
        <v>598014</v>
      </c>
      <c r="F226" s="9" t="n">
        <v>598014</v>
      </c>
      <c r="G226" s="9" t="n">
        <f aca="false">IF(AND(ISNUMBER(E226),ISNUMBER(F226)),E226-F226,"No disponible")</f>
        <v>0</v>
      </c>
      <c r="H226" s="8" t="s">
        <v>1144</v>
      </c>
      <c r="I226" s="8" t="s">
        <v>56</v>
      </c>
      <c r="J226" s="8" t="s">
        <v>43</v>
      </c>
      <c r="K226" s="8" t="s">
        <v>44</v>
      </c>
      <c r="L226" s="8" t="s">
        <v>45</v>
      </c>
      <c r="M226" s="8" t="s">
        <v>6</v>
      </c>
      <c r="N226" s="8" t="s">
        <v>46</v>
      </c>
      <c r="O226" s="8" t="s">
        <v>1145</v>
      </c>
      <c r="P226" s="8" t="s">
        <v>1146</v>
      </c>
      <c r="Q226" s="8" t="s">
        <v>59</v>
      </c>
      <c r="R226" s="8" t="s">
        <v>50</v>
      </c>
    </row>
    <row r="227" customFormat="false" ht="43.25" hidden="false" customHeight="false" outlineLevel="0" collapsed="false">
      <c r="A227" s="8" t="s">
        <v>1147</v>
      </c>
      <c r="B227" s="8" t="s">
        <v>1148</v>
      </c>
      <c r="C227" s="8" t="s">
        <v>1149</v>
      </c>
      <c r="D227" s="8" t="s">
        <v>1150</v>
      </c>
      <c r="E227" s="9" t="n">
        <v>192600</v>
      </c>
      <c r="F227" s="9" t="n">
        <v>192600</v>
      </c>
      <c r="G227" s="9" t="n">
        <f aca="false">IF(AND(ISNUMBER(E227),ISNUMBER(F227)),E227-F227,"No disponible")</f>
        <v>0</v>
      </c>
      <c r="H227" s="8" t="s">
        <v>1151</v>
      </c>
      <c r="I227" s="8" t="s">
        <v>56</v>
      </c>
      <c r="J227" s="8" t="s">
        <v>43</v>
      </c>
      <c r="K227" s="8" t="s">
        <v>44</v>
      </c>
      <c r="L227" s="8" t="s">
        <v>45</v>
      </c>
      <c r="M227" s="8" t="s">
        <v>6</v>
      </c>
      <c r="N227" s="8" t="s">
        <v>46</v>
      </c>
      <c r="O227" s="8" t="s">
        <v>1152</v>
      </c>
      <c r="P227" s="8" t="s">
        <v>1153</v>
      </c>
      <c r="Q227" s="8" t="s">
        <v>59</v>
      </c>
      <c r="R227" s="8" t="s">
        <v>50</v>
      </c>
    </row>
    <row r="228" customFormat="false" ht="43.25" hidden="false" customHeight="false" outlineLevel="0" collapsed="false">
      <c r="A228" s="8" t="s">
        <v>1154</v>
      </c>
      <c r="B228" s="8" t="s">
        <v>1155</v>
      </c>
      <c r="C228" s="8" t="s">
        <v>1156</v>
      </c>
      <c r="D228" s="8" t="s">
        <v>1157</v>
      </c>
      <c r="E228" s="9" t="n">
        <v>928210</v>
      </c>
      <c r="F228" s="9" t="n">
        <v>928210</v>
      </c>
      <c r="G228" s="9" t="n">
        <f aca="false">IF(AND(ISNUMBER(E228),ISNUMBER(F228)),E228-F228,"No disponible")</f>
        <v>0</v>
      </c>
      <c r="H228" s="8" t="s">
        <v>1158</v>
      </c>
      <c r="I228" s="8" t="s">
        <v>56</v>
      </c>
      <c r="J228" s="8" t="s">
        <v>43</v>
      </c>
      <c r="K228" s="8" t="s">
        <v>44</v>
      </c>
      <c r="L228" s="8" t="s">
        <v>45</v>
      </c>
      <c r="M228" s="8" t="s">
        <v>6</v>
      </c>
      <c r="N228" s="8" t="s">
        <v>46</v>
      </c>
      <c r="O228" s="8" t="s">
        <v>1159</v>
      </c>
      <c r="P228" s="8" t="s">
        <v>1160</v>
      </c>
      <c r="Q228" s="8" t="s">
        <v>59</v>
      </c>
      <c r="R228" s="8" t="s">
        <v>50</v>
      </c>
    </row>
    <row r="229" customFormat="false" ht="43.25" hidden="false" customHeight="false" outlineLevel="0" collapsed="false">
      <c r="A229" s="8" t="s">
        <v>1154</v>
      </c>
      <c r="B229" s="8" t="s">
        <v>1155</v>
      </c>
      <c r="C229" s="8" t="s">
        <v>1161</v>
      </c>
      <c r="D229" s="8" t="s">
        <v>1157</v>
      </c>
      <c r="E229" s="9" t="n">
        <v>1876540</v>
      </c>
      <c r="F229" s="9" t="n">
        <v>1876540</v>
      </c>
      <c r="G229" s="9" t="n">
        <f aca="false">IF(AND(ISNUMBER(E229),ISNUMBER(F229)),E229-F229,"No disponible")</f>
        <v>0</v>
      </c>
      <c r="H229" s="8" t="s">
        <v>1158</v>
      </c>
      <c r="I229" s="8" t="s">
        <v>56</v>
      </c>
      <c r="J229" s="8" t="s">
        <v>43</v>
      </c>
      <c r="K229" s="8" t="s">
        <v>44</v>
      </c>
      <c r="L229" s="8" t="s">
        <v>45</v>
      </c>
      <c r="M229" s="8" t="s">
        <v>6</v>
      </c>
      <c r="N229" s="8" t="s">
        <v>46</v>
      </c>
      <c r="O229" s="8" t="s">
        <v>1162</v>
      </c>
      <c r="P229" s="8" t="s">
        <v>1163</v>
      </c>
      <c r="Q229" s="8" t="s">
        <v>59</v>
      </c>
      <c r="R229" s="8" t="s">
        <v>50</v>
      </c>
    </row>
    <row r="230" customFormat="false" ht="22.35" hidden="false" customHeight="false" outlineLevel="0" collapsed="false">
      <c r="A230" s="8" t="s">
        <v>1164</v>
      </c>
      <c r="B230" s="8" t="s">
        <v>1165</v>
      </c>
      <c r="C230" s="8" t="s">
        <v>1166</v>
      </c>
      <c r="D230" s="8" t="s">
        <v>86</v>
      </c>
      <c r="E230" s="9" t="n">
        <v>18000</v>
      </c>
      <c r="F230" s="9" t="s">
        <v>87</v>
      </c>
      <c r="G230" s="9" t="str">
        <f aca="false">IF(AND(ISNUMBER(E230),ISNUMBER(F230)),E230-F230,"No disponible")</f>
        <v>No disponible</v>
      </c>
      <c r="H230" s="8" t="s">
        <v>86</v>
      </c>
      <c r="I230" s="8" t="s">
        <v>56</v>
      </c>
      <c r="J230" s="8" t="s">
        <v>87</v>
      </c>
      <c r="K230" s="8" t="s">
        <v>140</v>
      </c>
      <c r="L230" s="8" t="s">
        <v>141</v>
      </c>
      <c r="M230" s="8" t="s">
        <v>82</v>
      </c>
      <c r="N230" s="8" t="s">
        <v>46</v>
      </c>
      <c r="O230" s="8" t="s">
        <v>87</v>
      </c>
      <c r="P230" s="8"/>
      <c r="Q230" s="8" t="s">
        <v>87</v>
      </c>
      <c r="R230" s="8" t="s">
        <v>86</v>
      </c>
    </row>
    <row r="231" customFormat="false" ht="22.35" hidden="false" customHeight="false" outlineLevel="0" collapsed="false">
      <c r="A231" s="8" t="s">
        <v>1164</v>
      </c>
      <c r="B231" s="8" t="s">
        <v>1165</v>
      </c>
      <c r="C231" s="8" t="s">
        <v>1167</v>
      </c>
      <c r="D231" s="8" t="s">
        <v>86</v>
      </c>
      <c r="E231" s="9" t="n">
        <v>18000</v>
      </c>
      <c r="F231" s="9" t="s">
        <v>87</v>
      </c>
      <c r="G231" s="9" t="str">
        <f aca="false">IF(AND(ISNUMBER(E231),ISNUMBER(F231)),E231-F231,"No disponible")</f>
        <v>No disponible</v>
      </c>
      <c r="H231" s="8" t="s">
        <v>86</v>
      </c>
      <c r="I231" s="8" t="s">
        <v>56</v>
      </c>
      <c r="J231" s="8" t="s">
        <v>87</v>
      </c>
      <c r="K231" s="8" t="s">
        <v>140</v>
      </c>
      <c r="L231" s="8" t="s">
        <v>141</v>
      </c>
      <c r="M231" s="8" t="s">
        <v>82</v>
      </c>
      <c r="N231" s="8" t="s">
        <v>46</v>
      </c>
      <c r="O231" s="8" t="s">
        <v>87</v>
      </c>
      <c r="P231" s="8"/>
      <c r="Q231" s="8" t="s">
        <v>87</v>
      </c>
      <c r="R231" s="8" t="s">
        <v>86</v>
      </c>
    </row>
    <row r="232" customFormat="false" ht="43.25" hidden="false" customHeight="false" outlineLevel="0" collapsed="false">
      <c r="A232" s="8" t="s">
        <v>1178</v>
      </c>
      <c r="B232" s="8" t="s">
        <v>1179</v>
      </c>
      <c r="C232" s="8" t="s">
        <v>1180</v>
      </c>
      <c r="D232" s="8" t="s">
        <v>127</v>
      </c>
      <c r="E232" s="9" t="n">
        <v>4500000</v>
      </c>
      <c r="F232" s="9" t="n">
        <v>4500000</v>
      </c>
      <c r="G232" s="9" t="n">
        <f aca="false">IF(AND(ISNUMBER(E232),ISNUMBER(F232)),E232-F232,"No disponible")</f>
        <v>0</v>
      </c>
      <c r="H232" s="8" t="s">
        <v>64</v>
      </c>
      <c r="I232" s="8" t="s">
        <v>42</v>
      </c>
      <c r="J232" s="8" t="s">
        <v>43</v>
      </c>
      <c r="K232" s="8" t="s">
        <v>44</v>
      </c>
      <c r="L232" s="8" t="s">
        <v>45</v>
      </c>
      <c r="M232" s="8" t="s">
        <v>6</v>
      </c>
      <c r="N232" s="8" t="s">
        <v>46</v>
      </c>
      <c r="O232" s="8" t="s">
        <v>1181</v>
      </c>
      <c r="P232" s="8" t="s">
        <v>1182</v>
      </c>
      <c r="Q232" s="8" t="s">
        <v>59</v>
      </c>
      <c r="R232" s="8" t="s">
        <v>50</v>
      </c>
    </row>
    <row r="233" customFormat="false" ht="43.25" hidden="false" customHeight="false" outlineLevel="0" collapsed="false">
      <c r="A233" s="8" t="s">
        <v>1178</v>
      </c>
      <c r="B233" s="8" t="s">
        <v>1179</v>
      </c>
      <c r="C233" s="8" t="s">
        <v>1183</v>
      </c>
      <c r="D233" s="8" t="s">
        <v>40</v>
      </c>
      <c r="E233" s="9" t="n">
        <v>210000</v>
      </c>
      <c r="F233" s="9" t="n">
        <v>210000</v>
      </c>
      <c r="G233" s="9" t="n">
        <f aca="false">IF(AND(ISNUMBER(E233),ISNUMBER(F233)),E233-F233,"No disponible")</f>
        <v>0</v>
      </c>
      <c r="H233" s="8" t="s">
        <v>466</v>
      </c>
      <c r="I233" s="8" t="s">
        <v>42</v>
      </c>
      <c r="J233" s="8" t="s">
        <v>43</v>
      </c>
      <c r="K233" s="8" t="s">
        <v>44</v>
      </c>
      <c r="L233" s="8" t="s">
        <v>45</v>
      </c>
      <c r="M233" s="8" t="s">
        <v>6</v>
      </c>
      <c r="N233" s="8" t="s">
        <v>46</v>
      </c>
      <c r="O233" s="8" t="s">
        <v>1184</v>
      </c>
      <c r="P233" s="8" t="s">
        <v>1185</v>
      </c>
      <c r="Q233" s="8" t="s">
        <v>59</v>
      </c>
      <c r="R233" s="8" t="s">
        <v>50</v>
      </c>
    </row>
    <row r="234" customFormat="false" ht="43.25" hidden="false" customHeight="false" outlineLevel="0" collapsed="false">
      <c r="A234" s="8" t="s">
        <v>1193</v>
      </c>
      <c r="B234" s="8" t="s">
        <v>1194</v>
      </c>
      <c r="C234" s="8" t="s">
        <v>1195</v>
      </c>
      <c r="D234" s="8" t="s">
        <v>127</v>
      </c>
      <c r="E234" s="9" t="n">
        <v>500000</v>
      </c>
      <c r="F234" s="9" t="n">
        <v>500000</v>
      </c>
      <c r="G234" s="9" t="n">
        <f aca="false">IF(AND(ISNUMBER(E234),ISNUMBER(F234)),E234-F234,"No disponible")</f>
        <v>0</v>
      </c>
      <c r="H234" s="8" t="s">
        <v>64</v>
      </c>
      <c r="I234" s="8" t="s">
        <v>42</v>
      </c>
      <c r="J234" s="8" t="s">
        <v>43</v>
      </c>
      <c r="K234" s="8" t="s">
        <v>44</v>
      </c>
      <c r="L234" s="8" t="s">
        <v>45</v>
      </c>
      <c r="M234" s="8" t="s">
        <v>6</v>
      </c>
      <c r="N234" s="8" t="s">
        <v>46</v>
      </c>
      <c r="O234" s="8" t="s">
        <v>1196</v>
      </c>
      <c r="P234" s="8" t="s">
        <v>1197</v>
      </c>
      <c r="Q234" s="8" t="s">
        <v>59</v>
      </c>
      <c r="R234" s="8" t="s">
        <v>50</v>
      </c>
    </row>
    <row r="235" customFormat="false" ht="22.35" hidden="false" customHeight="false" outlineLevel="0" collapsed="false">
      <c r="A235" s="8" t="s">
        <v>1198</v>
      </c>
      <c r="B235" s="8" t="s">
        <v>1199</v>
      </c>
      <c r="C235" s="8" t="s">
        <v>1200</v>
      </c>
      <c r="D235" s="8" t="s">
        <v>86</v>
      </c>
      <c r="E235" s="9" t="n">
        <v>7160</v>
      </c>
      <c r="F235" s="9" t="s">
        <v>87</v>
      </c>
      <c r="G235" s="9" t="str">
        <f aca="false">IF(AND(ISNUMBER(E235),ISNUMBER(F235)),E235-F235,"No disponible")</f>
        <v>No disponible</v>
      </c>
      <c r="H235" s="8" t="s">
        <v>86</v>
      </c>
      <c r="I235" s="8" t="s">
        <v>56</v>
      </c>
      <c r="J235" s="8" t="s">
        <v>87</v>
      </c>
      <c r="K235" s="8" t="s">
        <v>88</v>
      </c>
      <c r="L235" s="8" t="s">
        <v>89</v>
      </c>
      <c r="M235" s="8" t="s">
        <v>82</v>
      </c>
      <c r="N235" s="8" t="s">
        <v>46</v>
      </c>
      <c r="O235" s="8" t="s">
        <v>87</v>
      </c>
      <c r="P235" s="8"/>
      <c r="Q235" s="8" t="s">
        <v>87</v>
      </c>
      <c r="R235" s="8" t="s">
        <v>86</v>
      </c>
    </row>
    <row r="236" customFormat="false" ht="22.35" hidden="false" customHeight="false" outlineLevel="0" collapsed="false">
      <c r="A236" s="8" t="s">
        <v>1198</v>
      </c>
      <c r="B236" s="8" t="s">
        <v>1199</v>
      </c>
      <c r="C236" s="8" t="s">
        <v>1201</v>
      </c>
      <c r="D236" s="8" t="s">
        <v>86</v>
      </c>
      <c r="E236" s="9" t="n">
        <v>5700</v>
      </c>
      <c r="F236" s="9" t="s">
        <v>87</v>
      </c>
      <c r="G236" s="9" t="str">
        <f aca="false">IF(AND(ISNUMBER(E236),ISNUMBER(F236)),E236-F236,"No disponible")</f>
        <v>No disponible</v>
      </c>
      <c r="H236" s="8" t="s">
        <v>86</v>
      </c>
      <c r="I236" s="8" t="s">
        <v>56</v>
      </c>
      <c r="J236" s="8" t="s">
        <v>87</v>
      </c>
      <c r="K236" s="8" t="s">
        <v>88</v>
      </c>
      <c r="L236" s="8" t="s">
        <v>89</v>
      </c>
      <c r="M236" s="8" t="s">
        <v>82</v>
      </c>
      <c r="N236" s="8" t="s">
        <v>46</v>
      </c>
      <c r="O236" s="8" t="s">
        <v>87</v>
      </c>
      <c r="P236" s="8"/>
      <c r="Q236" s="8" t="s">
        <v>87</v>
      </c>
      <c r="R236" s="8" t="s">
        <v>86</v>
      </c>
    </row>
    <row r="237" customFormat="false" ht="22.35" hidden="false" customHeight="false" outlineLevel="0" collapsed="false">
      <c r="A237" s="8" t="s">
        <v>1198</v>
      </c>
      <c r="B237" s="8" t="s">
        <v>1199</v>
      </c>
      <c r="C237" s="8" t="s">
        <v>1202</v>
      </c>
      <c r="D237" s="8" t="s">
        <v>86</v>
      </c>
      <c r="E237" s="9" t="n">
        <v>5700</v>
      </c>
      <c r="F237" s="9" t="s">
        <v>87</v>
      </c>
      <c r="G237" s="9" t="str">
        <f aca="false">IF(AND(ISNUMBER(E237),ISNUMBER(F237)),E237-F237,"No disponible")</f>
        <v>No disponible</v>
      </c>
      <c r="H237" s="8" t="s">
        <v>86</v>
      </c>
      <c r="I237" s="8" t="s">
        <v>56</v>
      </c>
      <c r="J237" s="8" t="s">
        <v>87</v>
      </c>
      <c r="K237" s="8" t="s">
        <v>88</v>
      </c>
      <c r="L237" s="8" t="s">
        <v>89</v>
      </c>
      <c r="M237" s="8" t="s">
        <v>82</v>
      </c>
      <c r="N237" s="8" t="s">
        <v>46</v>
      </c>
      <c r="O237" s="8" t="s">
        <v>87</v>
      </c>
      <c r="P237" s="8"/>
      <c r="Q237" s="8" t="s">
        <v>87</v>
      </c>
      <c r="R237" s="8" t="s">
        <v>86</v>
      </c>
    </row>
    <row r="238" customFormat="false" ht="22.35" hidden="false" customHeight="false" outlineLevel="0" collapsed="false">
      <c r="A238" s="8" t="s">
        <v>1198</v>
      </c>
      <c r="B238" s="8" t="s">
        <v>1199</v>
      </c>
      <c r="C238" s="8" t="s">
        <v>1203</v>
      </c>
      <c r="D238" s="8" t="s">
        <v>86</v>
      </c>
      <c r="E238" s="9" t="n">
        <v>5700</v>
      </c>
      <c r="F238" s="9" t="s">
        <v>87</v>
      </c>
      <c r="G238" s="9" t="str">
        <f aca="false">IF(AND(ISNUMBER(E238),ISNUMBER(F238)),E238-F238,"No disponible")</f>
        <v>No disponible</v>
      </c>
      <c r="H238" s="8" t="s">
        <v>86</v>
      </c>
      <c r="I238" s="8" t="s">
        <v>56</v>
      </c>
      <c r="J238" s="8" t="s">
        <v>87</v>
      </c>
      <c r="K238" s="8" t="s">
        <v>88</v>
      </c>
      <c r="L238" s="8" t="s">
        <v>89</v>
      </c>
      <c r="M238" s="8" t="s">
        <v>82</v>
      </c>
      <c r="N238" s="8" t="s">
        <v>46</v>
      </c>
      <c r="O238" s="8" t="s">
        <v>87</v>
      </c>
      <c r="P238" s="8"/>
      <c r="Q238" s="8" t="s">
        <v>87</v>
      </c>
      <c r="R238" s="8" t="s">
        <v>86</v>
      </c>
    </row>
    <row r="239" customFormat="false" ht="22.35" hidden="false" customHeight="false" outlineLevel="0" collapsed="false">
      <c r="A239" s="8" t="s">
        <v>1198</v>
      </c>
      <c r="B239" s="8" t="s">
        <v>1199</v>
      </c>
      <c r="C239" s="8" t="s">
        <v>1204</v>
      </c>
      <c r="D239" s="8" t="s">
        <v>86</v>
      </c>
      <c r="E239" s="9" t="n">
        <v>5700</v>
      </c>
      <c r="F239" s="9" t="s">
        <v>87</v>
      </c>
      <c r="G239" s="9" t="str">
        <f aca="false">IF(AND(ISNUMBER(E239),ISNUMBER(F239)),E239-F239,"No disponible")</f>
        <v>No disponible</v>
      </c>
      <c r="H239" s="8" t="s">
        <v>86</v>
      </c>
      <c r="I239" s="8" t="s">
        <v>56</v>
      </c>
      <c r="J239" s="8" t="s">
        <v>87</v>
      </c>
      <c r="K239" s="8" t="s">
        <v>88</v>
      </c>
      <c r="L239" s="8" t="s">
        <v>89</v>
      </c>
      <c r="M239" s="8" t="s">
        <v>82</v>
      </c>
      <c r="N239" s="8" t="s">
        <v>46</v>
      </c>
      <c r="O239" s="8" t="s">
        <v>87</v>
      </c>
      <c r="P239" s="8"/>
      <c r="Q239" s="8" t="s">
        <v>87</v>
      </c>
      <c r="R239" s="8" t="s">
        <v>86</v>
      </c>
    </row>
    <row r="240" customFormat="false" ht="22.35" hidden="false" customHeight="false" outlineLevel="0" collapsed="false">
      <c r="A240" s="8" t="s">
        <v>1198</v>
      </c>
      <c r="B240" s="8" t="s">
        <v>1199</v>
      </c>
      <c r="C240" s="8" t="s">
        <v>1205</v>
      </c>
      <c r="D240" s="8" t="s">
        <v>86</v>
      </c>
      <c r="E240" s="9" t="n">
        <v>5700</v>
      </c>
      <c r="F240" s="9" t="s">
        <v>87</v>
      </c>
      <c r="G240" s="9" t="str">
        <f aca="false">IF(AND(ISNUMBER(E240),ISNUMBER(F240)),E240-F240,"No disponible")</f>
        <v>No disponible</v>
      </c>
      <c r="H240" s="8" t="s">
        <v>86</v>
      </c>
      <c r="I240" s="8" t="s">
        <v>56</v>
      </c>
      <c r="J240" s="8" t="s">
        <v>87</v>
      </c>
      <c r="K240" s="8" t="s">
        <v>88</v>
      </c>
      <c r="L240" s="8" t="s">
        <v>89</v>
      </c>
      <c r="M240" s="8" t="s">
        <v>82</v>
      </c>
      <c r="N240" s="8" t="s">
        <v>46</v>
      </c>
      <c r="O240" s="8" t="s">
        <v>87</v>
      </c>
      <c r="P240" s="8"/>
      <c r="Q240" s="8" t="s">
        <v>87</v>
      </c>
      <c r="R240" s="8" t="s">
        <v>86</v>
      </c>
    </row>
    <row r="241" customFormat="false" ht="22.35" hidden="false" customHeight="false" outlineLevel="0" collapsed="false">
      <c r="A241" s="8" t="s">
        <v>1198</v>
      </c>
      <c r="B241" s="8" t="s">
        <v>1199</v>
      </c>
      <c r="C241" s="8" t="s">
        <v>1206</v>
      </c>
      <c r="D241" s="8" t="s">
        <v>86</v>
      </c>
      <c r="E241" s="9" t="n">
        <v>5700</v>
      </c>
      <c r="F241" s="9" t="s">
        <v>87</v>
      </c>
      <c r="G241" s="9" t="str">
        <f aca="false">IF(AND(ISNUMBER(E241),ISNUMBER(F241)),E241-F241,"No disponible")</f>
        <v>No disponible</v>
      </c>
      <c r="H241" s="8" t="s">
        <v>86</v>
      </c>
      <c r="I241" s="8" t="s">
        <v>56</v>
      </c>
      <c r="J241" s="8" t="s">
        <v>87</v>
      </c>
      <c r="K241" s="8" t="s">
        <v>88</v>
      </c>
      <c r="L241" s="8" t="s">
        <v>89</v>
      </c>
      <c r="M241" s="8" t="s">
        <v>82</v>
      </c>
      <c r="N241" s="8" t="s">
        <v>46</v>
      </c>
      <c r="O241" s="8" t="s">
        <v>87</v>
      </c>
      <c r="P241" s="8"/>
      <c r="Q241" s="8" t="s">
        <v>87</v>
      </c>
      <c r="R241" s="8" t="s">
        <v>86</v>
      </c>
    </row>
    <row r="242" customFormat="false" ht="22.35" hidden="false" customHeight="false" outlineLevel="0" collapsed="false">
      <c r="A242" s="8" t="s">
        <v>1198</v>
      </c>
      <c r="B242" s="8" t="s">
        <v>1199</v>
      </c>
      <c r="C242" s="8" t="s">
        <v>1207</v>
      </c>
      <c r="D242" s="8" t="s">
        <v>86</v>
      </c>
      <c r="E242" s="9" t="n">
        <v>5700</v>
      </c>
      <c r="F242" s="9" t="s">
        <v>87</v>
      </c>
      <c r="G242" s="9" t="str">
        <f aca="false">IF(AND(ISNUMBER(E242),ISNUMBER(F242)),E242-F242,"No disponible")</f>
        <v>No disponible</v>
      </c>
      <c r="H242" s="8" t="s">
        <v>86</v>
      </c>
      <c r="I242" s="8" t="s">
        <v>56</v>
      </c>
      <c r="J242" s="8" t="s">
        <v>87</v>
      </c>
      <c r="K242" s="8" t="s">
        <v>88</v>
      </c>
      <c r="L242" s="8" t="s">
        <v>89</v>
      </c>
      <c r="M242" s="8" t="s">
        <v>82</v>
      </c>
      <c r="N242" s="8" t="s">
        <v>46</v>
      </c>
      <c r="O242" s="8" t="s">
        <v>87</v>
      </c>
      <c r="P242" s="8"/>
      <c r="Q242" s="8" t="s">
        <v>87</v>
      </c>
      <c r="R242" s="8" t="s">
        <v>86</v>
      </c>
    </row>
    <row r="243" customFormat="false" ht="22.35" hidden="false" customHeight="false" outlineLevel="0" collapsed="false">
      <c r="A243" s="8" t="s">
        <v>1198</v>
      </c>
      <c r="B243" s="8" t="s">
        <v>1199</v>
      </c>
      <c r="C243" s="8" t="s">
        <v>1208</v>
      </c>
      <c r="D243" s="8" t="s">
        <v>86</v>
      </c>
      <c r="E243" s="9" t="n">
        <v>5700</v>
      </c>
      <c r="F243" s="9" t="s">
        <v>87</v>
      </c>
      <c r="G243" s="9" t="str">
        <f aca="false">IF(AND(ISNUMBER(E243),ISNUMBER(F243)),E243-F243,"No disponible")</f>
        <v>No disponible</v>
      </c>
      <c r="H243" s="8" t="s">
        <v>86</v>
      </c>
      <c r="I243" s="8" t="s">
        <v>56</v>
      </c>
      <c r="J243" s="8" t="s">
        <v>87</v>
      </c>
      <c r="K243" s="8" t="s">
        <v>88</v>
      </c>
      <c r="L243" s="8" t="s">
        <v>89</v>
      </c>
      <c r="M243" s="8" t="s">
        <v>82</v>
      </c>
      <c r="N243" s="8" t="s">
        <v>46</v>
      </c>
      <c r="O243" s="8" t="s">
        <v>87</v>
      </c>
      <c r="P243" s="8"/>
      <c r="Q243" s="8" t="s">
        <v>87</v>
      </c>
      <c r="R243" s="8" t="s">
        <v>86</v>
      </c>
    </row>
    <row r="244" customFormat="false" ht="22.35" hidden="false" customHeight="false" outlineLevel="0" collapsed="false">
      <c r="A244" s="8" t="s">
        <v>1198</v>
      </c>
      <c r="B244" s="8" t="s">
        <v>1199</v>
      </c>
      <c r="C244" s="8" t="s">
        <v>1209</v>
      </c>
      <c r="D244" s="8" t="s">
        <v>86</v>
      </c>
      <c r="E244" s="9" t="n">
        <v>13200</v>
      </c>
      <c r="F244" s="9" t="s">
        <v>87</v>
      </c>
      <c r="G244" s="9" t="str">
        <f aca="false">IF(AND(ISNUMBER(E244),ISNUMBER(F244)),E244-F244,"No disponible")</f>
        <v>No disponible</v>
      </c>
      <c r="H244" s="8" t="s">
        <v>86</v>
      </c>
      <c r="I244" s="8" t="s">
        <v>56</v>
      </c>
      <c r="J244" s="8" t="s">
        <v>87</v>
      </c>
      <c r="K244" s="8" t="s">
        <v>88</v>
      </c>
      <c r="L244" s="8" t="s">
        <v>89</v>
      </c>
      <c r="M244" s="8" t="s">
        <v>82</v>
      </c>
      <c r="N244" s="8" t="s">
        <v>46</v>
      </c>
      <c r="O244" s="8" t="s">
        <v>87</v>
      </c>
      <c r="P244" s="8"/>
      <c r="Q244" s="8" t="s">
        <v>87</v>
      </c>
      <c r="R244" s="8" t="s">
        <v>86</v>
      </c>
    </row>
    <row r="245" customFormat="false" ht="22.35" hidden="false" customHeight="false" outlineLevel="0" collapsed="false">
      <c r="A245" s="8" t="s">
        <v>1198</v>
      </c>
      <c r="B245" s="8" t="s">
        <v>1199</v>
      </c>
      <c r="C245" s="8" t="s">
        <v>1210</v>
      </c>
      <c r="D245" s="8" t="s">
        <v>86</v>
      </c>
      <c r="E245" s="9" t="n">
        <v>13200</v>
      </c>
      <c r="F245" s="9" t="s">
        <v>87</v>
      </c>
      <c r="G245" s="9" t="str">
        <f aca="false">IF(AND(ISNUMBER(E245),ISNUMBER(F245)),E245-F245,"No disponible")</f>
        <v>No disponible</v>
      </c>
      <c r="H245" s="8" t="s">
        <v>86</v>
      </c>
      <c r="I245" s="8" t="s">
        <v>56</v>
      </c>
      <c r="J245" s="8" t="s">
        <v>87</v>
      </c>
      <c r="K245" s="8" t="s">
        <v>88</v>
      </c>
      <c r="L245" s="8" t="s">
        <v>89</v>
      </c>
      <c r="M245" s="8" t="s">
        <v>82</v>
      </c>
      <c r="N245" s="8" t="s">
        <v>46</v>
      </c>
      <c r="O245" s="8" t="s">
        <v>87</v>
      </c>
      <c r="P245" s="8"/>
      <c r="Q245" s="8" t="s">
        <v>87</v>
      </c>
      <c r="R245" s="8" t="s">
        <v>86</v>
      </c>
    </row>
    <row r="246" customFormat="false" ht="22.35" hidden="false" customHeight="false" outlineLevel="0" collapsed="false">
      <c r="A246" s="8" t="s">
        <v>1198</v>
      </c>
      <c r="B246" s="8" t="s">
        <v>1199</v>
      </c>
      <c r="C246" s="8" t="s">
        <v>1211</v>
      </c>
      <c r="D246" s="8" t="s">
        <v>86</v>
      </c>
      <c r="E246" s="9" t="n">
        <v>13200</v>
      </c>
      <c r="F246" s="9" t="s">
        <v>87</v>
      </c>
      <c r="G246" s="9" t="str">
        <f aca="false">IF(AND(ISNUMBER(E246),ISNUMBER(F246)),E246-F246,"No disponible")</f>
        <v>No disponible</v>
      </c>
      <c r="H246" s="8" t="s">
        <v>86</v>
      </c>
      <c r="I246" s="8" t="s">
        <v>56</v>
      </c>
      <c r="J246" s="8" t="s">
        <v>87</v>
      </c>
      <c r="K246" s="8" t="s">
        <v>88</v>
      </c>
      <c r="L246" s="8" t="s">
        <v>89</v>
      </c>
      <c r="M246" s="8" t="s">
        <v>82</v>
      </c>
      <c r="N246" s="8" t="s">
        <v>46</v>
      </c>
      <c r="O246" s="8" t="s">
        <v>87</v>
      </c>
      <c r="P246" s="8"/>
      <c r="Q246" s="8" t="s">
        <v>87</v>
      </c>
      <c r="R246" s="8" t="s">
        <v>86</v>
      </c>
    </row>
    <row r="247" customFormat="false" ht="22.35" hidden="false" customHeight="false" outlineLevel="0" collapsed="false">
      <c r="A247" s="8" t="s">
        <v>1198</v>
      </c>
      <c r="B247" s="8" t="s">
        <v>1199</v>
      </c>
      <c r="C247" s="8" t="s">
        <v>1212</v>
      </c>
      <c r="D247" s="8" t="s">
        <v>86</v>
      </c>
      <c r="E247" s="9" t="n">
        <v>13200</v>
      </c>
      <c r="F247" s="9" t="s">
        <v>87</v>
      </c>
      <c r="G247" s="9" t="str">
        <f aca="false">IF(AND(ISNUMBER(E247),ISNUMBER(F247)),E247-F247,"No disponible")</f>
        <v>No disponible</v>
      </c>
      <c r="H247" s="8" t="s">
        <v>86</v>
      </c>
      <c r="I247" s="8" t="s">
        <v>56</v>
      </c>
      <c r="J247" s="8" t="s">
        <v>87</v>
      </c>
      <c r="K247" s="8" t="s">
        <v>88</v>
      </c>
      <c r="L247" s="8" t="s">
        <v>89</v>
      </c>
      <c r="M247" s="8" t="s">
        <v>82</v>
      </c>
      <c r="N247" s="8" t="s">
        <v>46</v>
      </c>
      <c r="O247" s="8" t="s">
        <v>87</v>
      </c>
      <c r="P247" s="8"/>
      <c r="Q247" s="8" t="s">
        <v>87</v>
      </c>
      <c r="R247" s="8" t="s">
        <v>86</v>
      </c>
    </row>
    <row r="248" customFormat="false" ht="22.35" hidden="false" customHeight="false" outlineLevel="0" collapsed="false">
      <c r="A248" s="8" t="s">
        <v>1198</v>
      </c>
      <c r="B248" s="8" t="s">
        <v>1199</v>
      </c>
      <c r="C248" s="8" t="s">
        <v>1213</v>
      </c>
      <c r="D248" s="8" t="s">
        <v>86</v>
      </c>
      <c r="E248" s="9" t="n">
        <v>13200</v>
      </c>
      <c r="F248" s="9" t="s">
        <v>87</v>
      </c>
      <c r="G248" s="9" t="str">
        <f aca="false">IF(AND(ISNUMBER(E248),ISNUMBER(F248)),E248-F248,"No disponible")</f>
        <v>No disponible</v>
      </c>
      <c r="H248" s="8" t="s">
        <v>86</v>
      </c>
      <c r="I248" s="8" t="s">
        <v>56</v>
      </c>
      <c r="J248" s="8" t="s">
        <v>87</v>
      </c>
      <c r="K248" s="8" t="s">
        <v>88</v>
      </c>
      <c r="L248" s="8" t="s">
        <v>89</v>
      </c>
      <c r="M248" s="8" t="s">
        <v>82</v>
      </c>
      <c r="N248" s="8" t="s">
        <v>46</v>
      </c>
      <c r="O248" s="8" t="s">
        <v>87</v>
      </c>
      <c r="P248" s="8"/>
      <c r="Q248" s="8" t="s">
        <v>87</v>
      </c>
      <c r="R248" s="8" t="s">
        <v>86</v>
      </c>
    </row>
    <row r="249" customFormat="false" ht="22.35" hidden="false" customHeight="false" outlineLevel="0" collapsed="false">
      <c r="A249" s="8" t="s">
        <v>1198</v>
      </c>
      <c r="B249" s="8" t="s">
        <v>1199</v>
      </c>
      <c r="C249" s="8" t="s">
        <v>1214</v>
      </c>
      <c r="D249" s="8" t="s">
        <v>86</v>
      </c>
      <c r="E249" s="9" t="n">
        <v>13200</v>
      </c>
      <c r="F249" s="9" t="s">
        <v>87</v>
      </c>
      <c r="G249" s="9" t="str">
        <f aca="false">IF(AND(ISNUMBER(E249),ISNUMBER(F249)),E249-F249,"No disponible")</f>
        <v>No disponible</v>
      </c>
      <c r="H249" s="8" t="s">
        <v>86</v>
      </c>
      <c r="I249" s="8" t="s">
        <v>56</v>
      </c>
      <c r="J249" s="8" t="s">
        <v>87</v>
      </c>
      <c r="K249" s="8" t="s">
        <v>88</v>
      </c>
      <c r="L249" s="8" t="s">
        <v>89</v>
      </c>
      <c r="M249" s="8" t="s">
        <v>82</v>
      </c>
      <c r="N249" s="8" t="s">
        <v>46</v>
      </c>
      <c r="O249" s="8" t="s">
        <v>87</v>
      </c>
      <c r="P249" s="8"/>
      <c r="Q249" s="8" t="s">
        <v>87</v>
      </c>
      <c r="R249" s="8" t="s">
        <v>86</v>
      </c>
    </row>
    <row r="250" customFormat="false" ht="22.35" hidden="false" customHeight="false" outlineLevel="0" collapsed="false">
      <c r="A250" s="8" t="s">
        <v>1198</v>
      </c>
      <c r="B250" s="8" t="s">
        <v>1199</v>
      </c>
      <c r="C250" s="8" t="s">
        <v>1215</v>
      </c>
      <c r="D250" s="8" t="s">
        <v>86</v>
      </c>
      <c r="E250" s="9" t="n">
        <v>13200</v>
      </c>
      <c r="F250" s="9" t="s">
        <v>87</v>
      </c>
      <c r="G250" s="9" t="str">
        <f aca="false">IF(AND(ISNUMBER(E250),ISNUMBER(F250)),E250-F250,"No disponible")</f>
        <v>No disponible</v>
      </c>
      <c r="H250" s="8" t="s">
        <v>86</v>
      </c>
      <c r="I250" s="8" t="s">
        <v>56</v>
      </c>
      <c r="J250" s="8" t="s">
        <v>87</v>
      </c>
      <c r="K250" s="8" t="s">
        <v>88</v>
      </c>
      <c r="L250" s="8" t="s">
        <v>89</v>
      </c>
      <c r="M250" s="8" t="s">
        <v>82</v>
      </c>
      <c r="N250" s="8" t="s">
        <v>46</v>
      </c>
      <c r="O250" s="8" t="s">
        <v>87</v>
      </c>
      <c r="P250" s="8"/>
      <c r="Q250" s="8" t="s">
        <v>87</v>
      </c>
      <c r="R250" s="8" t="s">
        <v>86</v>
      </c>
    </row>
    <row r="251" customFormat="false" ht="22.35" hidden="false" customHeight="false" outlineLevel="0" collapsed="false">
      <c r="A251" s="8" t="s">
        <v>1198</v>
      </c>
      <c r="B251" s="8" t="s">
        <v>1199</v>
      </c>
      <c r="C251" s="8" t="s">
        <v>1216</v>
      </c>
      <c r="D251" s="8" t="s">
        <v>86</v>
      </c>
      <c r="E251" s="9" t="n">
        <v>13200</v>
      </c>
      <c r="F251" s="9" t="s">
        <v>87</v>
      </c>
      <c r="G251" s="9" t="str">
        <f aca="false">IF(AND(ISNUMBER(E251),ISNUMBER(F251)),E251-F251,"No disponible")</f>
        <v>No disponible</v>
      </c>
      <c r="H251" s="8" t="s">
        <v>86</v>
      </c>
      <c r="I251" s="8" t="s">
        <v>56</v>
      </c>
      <c r="J251" s="8" t="s">
        <v>87</v>
      </c>
      <c r="K251" s="8" t="s">
        <v>88</v>
      </c>
      <c r="L251" s="8" t="s">
        <v>89</v>
      </c>
      <c r="M251" s="8" t="s">
        <v>82</v>
      </c>
      <c r="N251" s="8" t="s">
        <v>46</v>
      </c>
      <c r="O251" s="8" t="s">
        <v>87</v>
      </c>
      <c r="P251" s="8"/>
      <c r="Q251" s="8" t="s">
        <v>87</v>
      </c>
      <c r="R251" s="8" t="s">
        <v>86</v>
      </c>
    </row>
    <row r="252" customFormat="false" ht="22.35" hidden="false" customHeight="false" outlineLevel="0" collapsed="false">
      <c r="A252" s="8" t="s">
        <v>1198</v>
      </c>
      <c r="B252" s="8" t="s">
        <v>1199</v>
      </c>
      <c r="C252" s="8" t="s">
        <v>1217</v>
      </c>
      <c r="D252" s="8" t="s">
        <v>86</v>
      </c>
      <c r="E252" s="9" t="n">
        <v>13200</v>
      </c>
      <c r="F252" s="9" t="s">
        <v>87</v>
      </c>
      <c r="G252" s="9" t="str">
        <f aca="false">IF(AND(ISNUMBER(E252),ISNUMBER(F252)),E252-F252,"No disponible")</f>
        <v>No disponible</v>
      </c>
      <c r="H252" s="8" t="s">
        <v>86</v>
      </c>
      <c r="I252" s="8" t="s">
        <v>56</v>
      </c>
      <c r="J252" s="8" t="s">
        <v>87</v>
      </c>
      <c r="K252" s="8" t="s">
        <v>88</v>
      </c>
      <c r="L252" s="8" t="s">
        <v>89</v>
      </c>
      <c r="M252" s="8" t="s">
        <v>82</v>
      </c>
      <c r="N252" s="8" t="s">
        <v>46</v>
      </c>
      <c r="O252" s="8" t="s">
        <v>87</v>
      </c>
      <c r="P252" s="8"/>
      <c r="Q252" s="8" t="s">
        <v>87</v>
      </c>
      <c r="R252" s="8" t="s">
        <v>86</v>
      </c>
    </row>
    <row r="253" customFormat="false" ht="22.35" hidden="false" customHeight="false" outlineLevel="0" collapsed="false">
      <c r="A253" s="8" t="s">
        <v>1198</v>
      </c>
      <c r="B253" s="8" t="s">
        <v>1199</v>
      </c>
      <c r="C253" s="8" t="s">
        <v>1218</v>
      </c>
      <c r="D253" s="8" t="s">
        <v>86</v>
      </c>
      <c r="E253" s="9" t="n">
        <v>13200</v>
      </c>
      <c r="F253" s="9" t="s">
        <v>87</v>
      </c>
      <c r="G253" s="9" t="str">
        <f aca="false">IF(AND(ISNUMBER(E253),ISNUMBER(F253)),E253-F253,"No disponible")</f>
        <v>No disponible</v>
      </c>
      <c r="H253" s="8" t="s">
        <v>86</v>
      </c>
      <c r="I253" s="8" t="s">
        <v>56</v>
      </c>
      <c r="J253" s="8" t="s">
        <v>87</v>
      </c>
      <c r="K253" s="8" t="s">
        <v>88</v>
      </c>
      <c r="L253" s="8" t="s">
        <v>89</v>
      </c>
      <c r="M253" s="8" t="s">
        <v>82</v>
      </c>
      <c r="N253" s="8" t="s">
        <v>46</v>
      </c>
      <c r="O253" s="8" t="s">
        <v>87</v>
      </c>
      <c r="P253" s="8"/>
      <c r="Q253" s="8" t="s">
        <v>87</v>
      </c>
      <c r="R253" s="8" t="s">
        <v>86</v>
      </c>
    </row>
    <row r="254" customFormat="false" ht="22.35" hidden="false" customHeight="false" outlineLevel="0" collapsed="false">
      <c r="A254" s="8" t="s">
        <v>1198</v>
      </c>
      <c r="B254" s="8" t="s">
        <v>1199</v>
      </c>
      <c r="C254" s="8" t="s">
        <v>1219</v>
      </c>
      <c r="D254" s="8" t="s">
        <v>86</v>
      </c>
      <c r="E254" s="9" t="n">
        <v>13200</v>
      </c>
      <c r="F254" s="9" t="s">
        <v>87</v>
      </c>
      <c r="G254" s="9" t="str">
        <f aca="false">IF(AND(ISNUMBER(E254),ISNUMBER(F254)),E254-F254,"No disponible")</f>
        <v>No disponible</v>
      </c>
      <c r="H254" s="8" t="s">
        <v>86</v>
      </c>
      <c r="I254" s="8" t="s">
        <v>56</v>
      </c>
      <c r="J254" s="8" t="s">
        <v>87</v>
      </c>
      <c r="K254" s="8" t="s">
        <v>88</v>
      </c>
      <c r="L254" s="8" t="s">
        <v>89</v>
      </c>
      <c r="M254" s="8" t="s">
        <v>82</v>
      </c>
      <c r="N254" s="8" t="s">
        <v>46</v>
      </c>
      <c r="O254" s="8" t="s">
        <v>87</v>
      </c>
      <c r="P254" s="8"/>
      <c r="Q254" s="8" t="s">
        <v>87</v>
      </c>
      <c r="R254" s="8" t="s">
        <v>86</v>
      </c>
    </row>
    <row r="255" customFormat="false" ht="22.35" hidden="false" customHeight="false" outlineLevel="0" collapsed="false">
      <c r="A255" s="8" t="s">
        <v>1198</v>
      </c>
      <c r="B255" s="8" t="s">
        <v>1199</v>
      </c>
      <c r="C255" s="8" t="s">
        <v>1220</v>
      </c>
      <c r="D255" s="8" t="s">
        <v>86</v>
      </c>
      <c r="E255" s="9" t="n">
        <v>13200</v>
      </c>
      <c r="F255" s="9" t="s">
        <v>87</v>
      </c>
      <c r="G255" s="9" t="str">
        <f aca="false">IF(AND(ISNUMBER(E255),ISNUMBER(F255)),E255-F255,"No disponible")</f>
        <v>No disponible</v>
      </c>
      <c r="H255" s="8" t="s">
        <v>86</v>
      </c>
      <c r="I255" s="8" t="s">
        <v>56</v>
      </c>
      <c r="J255" s="8" t="s">
        <v>87</v>
      </c>
      <c r="K255" s="8" t="s">
        <v>88</v>
      </c>
      <c r="L255" s="8" t="s">
        <v>89</v>
      </c>
      <c r="M255" s="8" t="s">
        <v>82</v>
      </c>
      <c r="N255" s="8" t="s">
        <v>46</v>
      </c>
      <c r="O255" s="8" t="s">
        <v>87</v>
      </c>
      <c r="P255" s="8"/>
      <c r="Q255" s="8" t="s">
        <v>87</v>
      </c>
      <c r="R255" s="8" t="s">
        <v>86</v>
      </c>
    </row>
    <row r="256" customFormat="false" ht="22.35" hidden="false" customHeight="false" outlineLevel="0" collapsed="false">
      <c r="A256" s="8" t="s">
        <v>1198</v>
      </c>
      <c r="B256" s="8" t="s">
        <v>1199</v>
      </c>
      <c r="C256" s="8" t="s">
        <v>1221</v>
      </c>
      <c r="D256" s="8" t="s">
        <v>86</v>
      </c>
      <c r="E256" s="9" t="n">
        <v>13200</v>
      </c>
      <c r="F256" s="9" t="s">
        <v>87</v>
      </c>
      <c r="G256" s="9" t="str">
        <f aca="false">IF(AND(ISNUMBER(E256),ISNUMBER(F256)),E256-F256,"No disponible")</f>
        <v>No disponible</v>
      </c>
      <c r="H256" s="8" t="s">
        <v>86</v>
      </c>
      <c r="I256" s="8" t="s">
        <v>56</v>
      </c>
      <c r="J256" s="8" t="s">
        <v>87</v>
      </c>
      <c r="K256" s="8" t="s">
        <v>88</v>
      </c>
      <c r="L256" s="8" t="s">
        <v>89</v>
      </c>
      <c r="M256" s="8" t="s">
        <v>82</v>
      </c>
      <c r="N256" s="8" t="s">
        <v>46</v>
      </c>
      <c r="O256" s="8" t="s">
        <v>87</v>
      </c>
      <c r="P256" s="8"/>
      <c r="Q256" s="8" t="s">
        <v>87</v>
      </c>
      <c r="R256" s="8" t="s">
        <v>86</v>
      </c>
    </row>
    <row r="257" customFormat="false" ht="22.35" hidden="false" customHeight="false" outlineLevel="0" collapsed="false">
      <c r="A257" s="8" t="s">
        <v>1198</v>
      </c>
      <c r="B257" s="8" t="s">
        <v>1199</v>
      </c>
      <c r="C257" s="8" t="s">
        <v>1222</v>
      </c>
      <c r="D257" s="8" t="s">
        <v>86</v>
      </c>
      <c r="E257" s="9" t="n">
        <v>13200</v>
      </c>
      <c r="F257" s="9" t="s">
        <v>87</v>
      </c>
      <c r="G257" s="9" t="str">
        <f aca="false">IF(AND(ISNUMBER(E257),ISNUMBER(F257)),E257-F257,"No disponible")</f>
        <v>No disponible</v>
      </c>
      <c r="H257" s="8" t="s">
        <v>86</v>
      </c>
      <c r="I257" s="8" t="s">
        <v>56</v>
      </c>
      <c r="J257" s="8" t="s">
        <v>87</v>
      </c>
      <c r="K257" s="8" t="s">
        <v>88</v>
      </c>
      <c r="L257" s="8" t="s">
        <v>89</v>
      </c>
      <c r="M257" s="8" t="s">
        <v>82</v>
      </c>
      <c r="N257" s="8" t="s">
        <v>46</v>
      </c>
      <c r="O257" s="8" t="s">
        <v>87</v>
      </c>
      <c r="P257" s="8"/>
      <c r="Q257" s="8" t="s">
        <v>87</v>
      </c>
      <c r="R257" s="8" t="s">
        <v>86</v>
      </c>
    </row>
    <row r="258" customFormat="false" ht="22.35" hidden="false" customHeight="false" outlineLevel="0" collapsed="false">
      <c r="A258" s="8" t="s">
        <v>1198</v>
      </c>
      <c r="B258" s="8" t="s">
        <v>1199</v>
      </c>
      <c r="C258" s="8" t="s">
        <v>1223</v>
      </c>
      <c r="D258" s="8" t="s">
        <v>86</v>
      </c>
      <c r="E258" s="9" t="n">
        <v>13200</v>
      </c>
      <c r="F258" s="9" t="s">
        <v>87</v>
      </c>
      <c r="G258" s="9" t="str">
        <f aca="false">IF(AND(ISNUMBER(E258),ISNUMBER(F258)),E258-F258,"No disponible")</f>
        <v>No disponible</v>
      </c>
      <c r="H258" s="8" t="s">
        <v>86</v>
      </c>
      <c r="I258" s="8" t="s">
        <v>56</v>
      </c>
      <c r="J258" s="8" t="s">
        <v>87</v>
      </c>
      <c r="K258" s="8" t="s">
        <v>88</v>
      </c>
      <c r="L258" s="8" t="s">
        <v>89</v>
      </c>
      <c r="M258" s="8" t="s">
        <v>82</v>
      </c>
      <c r="N258" s="8" t="s">
        <v>46</v>
      </c>
      <c r="O258" s="8" t="s">
        <v>87</v>
      </c>
      <c r="P258" s="8"/>
      <c r="Q258" s="8" t="s">
        <v>87</v>
      </c>
      <c r="R258" s="8" t="s">
        <v>86</v>
      </c>
    </row>
    <row r="259" customFormat="false" ht="22.35" hidden="false" customHeight="false" outlineLevel="0" collapsed="false">
      <c r="A259" s="8" t="s">
        <v>1198</v>
      </c>
      <c r="B259" s="8" t="s">
        <v>1199</v>
      </c>
      <c r="C259" s="8" t="s">
        <v>1224</v>
      </c>
      <c r="D259" s="8" t="s">
        <v>86</v>
      </c>
      <c r="E259" s="9" t="n">
        <v>13300</v>
      </c>
      <c r="F259" s="9" t="s">
        <v>87</v>
      </c>
      <c r="G259" s="9" t="str">
        <f aca="false">IF(AND(ISNUMBER(E259),ISNUMBER(F259)),E259-F259,"No disponible")</f>
        <v>No disponible</v>
      </c>
      <c r="H259" s="8" t="s">
        <v>86</v>
      </c>
      <c r="I259" s="8" t="s">
        <v>56</v>
      </c>
      <c r="J259" s="8" t="s">
        <v>87</v>
      </c>
      <c r="K259" s="8" t="s">
        <v>88</v>
      </c>
      <c r="L259" s="8" t="s">
        <v>89</v>
      </c>
      <c r="M259" s="8" t="s">
        <v>82</v>
      </c>
      <c r="N259" s="8" t="s">
        <v>46</v>
      </c>
      <c r="O259" s="8" t="s">
        <v>87</v>
      </c>
      <c r="P259" s="8"/>
      <c r="Q259" s="8" t="s">
        <v>87</v>
      </c>
      <c r="R259" s="8" t="s">
        <v>86</v>
      </c>
    </row>
    <row r="260" customFormat="false" ht="32.8" hidden="false" customHeight="false" outlineLevel="0" collapsed="false">
      <c r="A260" s="8" t="s">
        <v>1225</v>
      </c>
      <c r="B260" s="8" t="s">
        <v>1226</v>
      </c>
      <c r="C260" s="8" t="s">
        <v>1227</v>
      </c>
      <c r="D260" s="8" t="s">
        <v>266</v>
      </c>
      <c r="E260" s="9" t="n">
        <v>308000</v>
      </c>
      <c r="F260" s="9" t="n">
        <v>308000</v>
      </c>
      <c r="G260" s="9" t="n">
        <f aca="false">IF(AND(ISNUMBER(E260),ISNUMBER(F260)),E260-F260,"No disponible")</f>
        <v>0</v>
      </c>
      <c r="H260" s="8" t="s">
        <v>1228</v>
      </c>
      <c r="I260" s="8" t="s">
        <v>56</v>
      </c>
      <c r="J260" s="8" t="s">
        <v>43</v>
      </c>
      <c r="K260" s="8" t="s">
        <v>190</v>
      </c>
      <c r="L260" s="8" t="s">
        <v>45</v>
      </c>
      <c r="M260" s="8" t="s">
        <v>6</v>
      </c>
      <c r="N260" s="8" t="s">
        <v>46</v>
      </c>
      <c r="O260" s="8" t="s">
        <v>1229</v>
      </c>
      <c r="P260" s="8" t="s">
        <v>1230</v>
      </c>
      <c r="Q260" s="8" t="s">
        <v>193</v>
      </c>
      <c r="R260" s="8" t="s">
        <v>50</v>
      </c>
    </row>
    <row r="261" customFormat="false" ht="43.25" hidden="false" customHeight="false" outlineLevel="0" collapsed="false">
      <c r="A261" s="8" t="s">
        <v>1225</v>
      </c>
      <c r="B261" s="8" t="s">
        <v>1226</v>
      </c>
      <c r="C261" s="8" t="s">
        <v>1231</v>
      </c>
      <c r="D261" s="8" t="s">
        <v>127</v>
      </c>
      <c r="E261" s="9" t="n">
        <v>3000</v>
      </c>
      <c r="F261" s="9" t="n">
        <v>3000</v>
      </c>
      <c r="G261" s="9" t="n">
        <f aca="false">IF(AND(ISNUMBER(E261),ISNUMBER(F261)),E261-F261,"No disponible")</f>
        <v>0</v>
      </c>
      <c r="H261" s="8" t="s">
        <v>64</v>
      </c>
      <c r="I261" s="8" t="s">
        <v>56</v>
      </c>
      <c r="J261" s="8" t="s">
        <v>43</v>
      </c>
      <c r="K261" s="8" t="s">
        <v>44</v>
      </c>
      <c r="L261" s="8" t="s">
        <v>45</v>
      </c>
      <c r="M261" s="8" t="s">
        <v>6</v>
      </c>
      <c r="N261" s="8" t="s">
        <v>46</v>
      </c>
      <c r="O261" s="8" t="s">
        <v>1232</v>
      </c>
      <c r="P261" s="8" t="s">
        <v>1233</v>
      </c>
      <c r="Q261" s="8" t="s">
        <v>59</v>
      </c>
      <c r="R261" s="8" t="s">
        <v>50</v>
      </c>
    </row>
    <row r="262" customFormat="false" ht="43.25" hidden="false" customHeight="false" outlineLevel="0" collapsed="false">
      <c r="A262" s="8" t="s">
        <v>1225</v>
      </c>
      <c r="B262" s="8" t="s">
        <v>1226</v>
      </c>
      <c r="C262" s="8" t="s">
        <v>1234</v>
      </c>
      <c r="D262" s="8" t="s">
        <v>266</v>
      </c>
      <c r="E262" s="9" t="n">
        <v>26400</v>
      </c>
      <c r="F262" s="9" t="n">
        <v>26400</v>
      </c>
      <c r="G262" s="9" t="n">
        <f aca="false">IF(AND(ISNUMBER(E262),ISNUMBER(F262)),E262-F262,"No disponible")</f>
        <v>0</v>
      </c>
      <c r="H262" s="8" t="s">
        <v>1235</v>
      </c>
      <c r="I262" s="8" t="s">
        <v>56</v>
      </c>
      <c r="J262" s="8" t="s">
        <v>43</v>
      </c>
      <c r="K262" s="8" t="s">
        <v>44</v>
      </c>
      <c r="L262" s="8" t="s">
        <v>45</v>
      </c>
      <c r="M262" s="8" t="s">
        <v>6</v>
      </c>
      <c r="N262" s="8" t="s">
        <v>46</v>
      </c>
      <c r="O262" s="8" t="s">
        <v>1236</v>
      </c>
      <c r="P262" s="8" t="s">
        <v>1237</v>
      </c>
      <c r="Q262" s="8" t="s">
        <v>59</v>
      </c>
      <c r="R262" s="8" t="s">
        <v>50</v>
      </c>
    </row>
    <row r="263" customFormat="false" ht="32.8" hidden="false" customHeight="false" outlineLevel="0" collapsed="false">
      <c r="A263" s="8" t="s">
        <v>1225</v>
      </c>
      <c r="B263" s="8" t="s">
        <v>1226</v>
      </c>
      <c r="C263" s="8" t="s">
        <v>1238</v>
      </c>
      <c r="D263" s="8" t="s">
        <v>266</v>
      </c>
      <c r="E263" s="9" t="n">
        <v>27670</v>
      </c>
      <c r="F263" s="9" t="n">
        <v>27670</v>
      </c>
      <c r="G263" s="9" t="n">
        <f aca="false">IF(AND(ISNUMBER(E263),ISNUMBER(F263)),E263-F263,"No disponible")</f>
        <v>0</v>
      </c>
      <c r="H263" s="8" t="s">
        <v>1239</v>
      </c>
      <c r="I263" s="8" t="s">
        <v>56</v>
      </c>
      <c r="J263" s="8" t="s">
        <v>43</v>
      </c>
      <c r="K263" s="8" t="s">
        <v>190</v>
      </c>
      <c r="L263" s="8" t="s">
        <v>45</v>
      </c>
      <c r="M263" s="8" t="s">
        <v>6</v>
      </c>
      <c r="N263" s="8" t="s">
        <v>46</v>
      </c>
      <c r="O263" s="8" t="s">
        <v>1240</v>
      </c>
      <c r="P263" s="8" t="s">
        <v>1241</v>
      </c>
      <c r="Q263" s="8" t="s">
        <v>193</v>
      </c>
      <c r="R263" s="8" t="s">
        <v>50</v>
      </c>
    </row>
    <row r="264" customFormat="false" ht="43.25" hidden="false" customHeight="false" outlineLevel="0" collapsed="false">
      <c r="A264" s="8" t="s">
        <v>1225</v>
      </c>
      <c r="B264" s="8" t="s">
        <v>1226</v>
      </c>
      <c r="C264" s="8" t="s">
        <v>1242</v>
      </c>
      <c r="D264" s="8" t="s">
        <v>266</v>
      </c>
      <c r="E264" s="9" t="n">
        <v>24150</v>
      </c>
      <c r="F264" s="9" t="n">
        <v>24150</v>
      </c>
      <c r="G264" s="9" t="n">
        <f aca="false">IF(AND(ISNUMBER(E264),ISNUMBER(F264)),E264-F264,"No disponible")</f>
        <v>0</v>
      </c>
      <c r="H264" s="8" t="s">
        <v>1243</v>
      </c>
      <c r="I264" s="8" t="s">
        <v>56</v>
      </c>
      <c r="J264" s="8" t="s">
        <v>43</v>
      </c>
      <c r="K264" s="8" t="s">
        <v>44</v>
      </c>
      <c r="L264" s="8" t="s">
        <v>45</v>
      </c>
      <c r="M264" s="8" t="s">
        <v>6</v>
      </c>
      <c r="N264" s="8" t="s">
        <v>46</v>
      </c>
      <c r="O264" s="8" t="s">
        <v>1244</v>
      </c>
      <c r="P264" s="8" t="s">
        <v>1245</v>
      </c>
      <c r="Q264" s="8" t="s">
        <v>59</v>
      </c>
      <c r="R264" s="8" t="s">
        <v>50</v>
      </c>
    </row>
    <row r="265" customFormat="false" ht="43.25" hidden="false" customHeight="false" outlineLevel="0" collapsed="false">
      <c r="A265" s="8" t="s">
        <v>1225</v>
      </c>
      <c r="B265" s="8" t="s">
        <v>1226</v>
      </c>
      <c r="C265" s="8" t="s">
        <v>1246</v>
      </c>
      <c r="D265" s="8" t="s">
        <v>266</v>
      </c>
      <c r="E265" s="9" t="n">
        <v>17850</v>
      </c>
      <c r="F265" s="9" t="n">
        <v>17850</v>
      </c>
      <c r="G265" s="9" t="n">
        <f aca="false">IF(AND(ISNUMBER(E265),ISNUMBER(F265)),E265-F265,"No disponible")</f>
        <v>0</v>
      </c>
      <c r="H265" s="8" t="s">
        <v>1247</v>
      </c>
      <c r="I265" s="8" t="s">
        <v>56</v>
      </c>
      <c r="J265" s="8" t="s">
        <v>43</v>
      </c>
      <c r="K265" s="8" t="s">
        <v>44</v>
      </c>
      <c r="L265" s="8" t="s">
        <v>45</v>
      </c>
      <c r="M265" s="8" t="s">
        <v>6</v>
      </c>
      <c r="N265" s="8" t="s">
        <v>46</v>
      </c>
      <c r="O265" s="8" t="s">
        <v>1248</v>
      </c>
      <c r="P265" s="8" t="s">
        <v>1249</v>
      </c>
      <c r="Q265" s="8" t="s">
        <v>59</v>
      </c>
      <c r="R265" s="8" t="s">
        <v>50</v>
      </c>
    </row>
    <row r="266" customFormat="false" ht="43.25" hidden="false" customHeight="false" outlineLevel="0" collapsed="false">
      <c r="A266" s="8" t="s">
        <v>1250</v>
      </c>
      <c r="B266" s="8" t="s">
        <v>1251</v>
      </c>
      <c r="C266" s="8" t="s">
        <v>1252</v>
      </c>
      <c r="D266" s="8" t="s">
        <v>127</v>
      </c>
      <c r="E266" s="9" t="n">
        <v>8000</v>
      </c>
      <c r="F266" s="9" t="n">
        <v>8000</v>
      </c>
      <c r="G266" s="9" t="n">
        <f aca="false">IF(AND(ISNUMBER(E266),ISNUMBER(F266)),E266-F266,"No disponible")</f>
        <v>0</v>
      </c>
      <c r="H266" s="8" t="s">
        <v>64</v>
      </c>
      <c r="I266" s="8" t="s">
        <v>56</v>
      </c>
      <c r="J266" s="8" t="s">
        <v>43</v>
      </c>
      <c r="K266" s="8" t="s">
        <v>44</v>
      </c>
      <c r="L266" s="8" t="s">
        <v>45</v>
      </c>
      <c r="M266" s="8" t="s">
        <v>6</v>
      </c>
      <c r="N266" s="8" t="s">
        <v>46</v>
      </c>
      <c r="O266" s="8" t="s">
        <v>1253</v>
      </c>
      <c r="P266" s="8" t="s">
        <v>1254</v>
      </c>
      <c r="Q266" s="8" t="s">
        <v>59</v>
      </c>
      <c r="R266" s="8" t="s">
        <v>50</v>
      </c>
    </row>
    <row r="267" customFormat="false" ht="43.25" hidden="false" customHeight="false" outlineLevel="0" collapsed="false">
      <c r="A267" s="8" t="s">
        <v>1255</v>
      </c>
      <c r="B267" s="8" t="s">
        <v>1256</v>
      </c>
      <c r="C267" s="8" t="s">
        <v>1257</v>
      </c>
      <c r="D267" s="8" t="s">
        <v>1258</v>
      </c>
      <c r="E267" s="9" t="n">
        <v>1773275</v>
      </c>
      <c r="F267" s="9" t="n">
        <v>1773275</v>
      </c>
      <c r="G267" s="9" t="n">
        <f aca="false">IF(AND(ISNUMBER(E267),ISNUMBER(F267)),E267-F267,"No disponible")</f>
        <v>0</v>
      </c>
      <c r="H267" s="8" t="s">
        <v>1259</v>
      </c>
      <c r="I267" s="8" t="s">
        <v>42</v>
      </c>
      <c r="J267" s="8" t="s">
        <v>43</v>
      </c>
      <c r="K267" s="8" t="s">
        <v>44</v>
      </c>
      <c r="L267" s="8" t="s">
        <v>45</v>
      </c>
      <c r="M267" s="8" t="s">
        <v>6</v>
      </c>
      <c r="N267" s="8" t="s">
        <v>46</v>
      </c>
      <c r="O267" s="8" t="s">
        <v>1260</v>
      </c>
      <c r="P267" s="8" t="s">
        <v>1261</v>
      </c>
      <c r="Q267" s="8" t="s">
        <v>59</v>
      </c>
      <c r="R267" s="8" t="s">
        <v>50</v>
      </c>
    </row>
    <row r="268" customFormat="false" ht="43.25" hidden="false" customHeight="false" outlineLevel="0" collapsed="false">
      <c r="A268" s="8" t="s">
        <v>1273</v>
      </c>
      <c r="B268" s="8" t="s">
        <v>1274</v>
      </c>
      <c r="C268" s="8" t="s">
        <v>1275</v>
      </c>
      <c r="D268" s="8" t="s">
        <v>127</v>
      </c>
      <c r="E268" s="9" t="n">
        <v>300000</v>
      </c>
      <c r="F268" s="9" t="n">
        <v>300000</v>
      </c>
      <c r="G268" s="9" t="n">
        <f aca="false">IF(AND(ISNUMBER(E268),ISNUMBER(F268)),E268-F268,"No disponible")</f>
        <v>0</v>
      </c>
      <c r="H268" s="8" t="s">
        <v>64</v>
      </c>
      <c r="I268" s="8" t="s">
        <v>42</v>
      </c>
      <c r="J268" s="8" t="s">
        <v>43</v>
      </c>
      <c r="K268" s="8" t="s">
        <v>44</v>
      </c>
      <c r="L268" s="8" t="s">
        <v>45</v>
      </c>
      <c r="M268" s="8" t="s">
        <v>6</v>
      </c>
      <c r="N268" s="8" t="s">
        <v>46</v>
      </c>
      <c r="O268" s="8" t="s">
        <v>1276</v>
      </c>
      <c r="P268" s="8" t="s">
        <v>1277</v>
      </c>
      <c r="Q268" s="8" t="s">
        <v>59</v>
      </c>
      <c r="R268" s="8" t="s">
        <v>50</v>
      </c>
    </row>
    <row r="269" customFormat="false" ht="22.35" hidden="false" customHeight="false" outlineLevel="0" collapsed="false">
      <c r="A269" s="8" t="s">
        <v>1293</v>
      </c>
      <c r="B269" s="8" t="s">
        <v>1294</v>
      </c>
      <c r="C269" s="8" t="s">
        <v>1295</v>
      </c>
      <c r="D269" s="8" t="s">
        <v>86</v>
      </c>
      <c r="E269" s="9" t="n">
        <v>14221</v>
      </c>
      <c r="F269" s="9" t="s">
        <v>87</v>
      </c>
      <c r="G269" s="9" t="str">
        <f aca="false">IF(AND(ISNUMBER(E269),ISNUMBER(F269)),E269-F269,"No disponible")</f>
        <v>No disponible</v>
      </c>
      <c r="H269" s="8" t="s">
        <v>86</v>
      </c>
      <c r="I269" s="8" t="s">
        <v>56</v>
      </c>
      <c r="J269" s="8" t="s">
        <v>87</v>
      </c>
      <c r="K269" s="8" t="s">
        <v>140</v>
      </c>
      <c r="L269" s="8" t="s">
        <v>141</v>
      </c>
      <c r="M269" s="8" t="s">
        <v>82</v>
      </c>
      <c r="N269" s="8" t="s">
        <v>46</v>
      </c>
      <c r="O269" s="8" t="s">
        <v>87</v>
      </c>
      <c r="P269" s="8"/>
      <c r="Q269" s="8" t="s">
        <v>87</v>
      </c>
      <c r="R269" s="8" t="s">
        <v>86</v>
      </c>
    </row>
    <row r="270" customFormat="false" ht="22.35" hidden="false" customHeight="false" outlineLevel="0" collapsed="false">
      <c r="A270" s="8" t="s">
        <v>1293</v>
      </c>
      <c r="B270" s="8" t="s">
        <v>1294</v>
      </c>
      <c r="C270" s="8" t="s">
        <v>1296</v>
      </c>
      <c r="D270" s="8" t="s">
        <v>86</v>
      </c>
      <c r="E270" s="9" t="n">
        <v>10000</v>
      </c>
      <c r="F270" s="9" t="s">
        <v>87</v>
      </c>
      <c r="G270" s="9" t="str">
        <f aca="false">IF(AND(ISNUMBER(E270),ISNUMBER(F270)),E270-F270,"No disponible")</f>
        <v>No disponible</v>
      </c>
      <c r="H270" s="8" t="s">
        <v>86</v>
      </c>
      <c r="I270" s="8" t="s">
        <v>56</v>
      </c>
      <c r="J270" s="8" t="s">
        <v>87</v>
      </c>
      <c r="K270" s="8" t="s">
        <v>140</v>
      </c>
      <c r="L270" s="8" t="s">
        <v>141</v>
      </c>
      <c r="M270" s="8" t="s">
        <v>82</v>
      </c>
      <c r="N270" s="8" t="s">
        <v>46</v>
      </c>
      <c r="O270" s="8" t="s">
        <v>87</v>
      </c>
      <c r="P270" s="8"/>
      <c r="Q270" s="8" t="s">
        <v>87</v>
      </c>
      <c r="R270" s="8" t="s">
        <v>86</v>
      </c>
    </row>
    <row r="271" customFormat="false" ht="43.25" hidden="false" customHeight="false" outlineLevel="0" collapsed="false">
      <c r="A271" s="8" t="s">
        <v>1303</v>
      </c>
      <c r="B271" s="8" t="s">
        <v>1304</v>
      </c>
      <c r="C271" s="8" t="s">
        <v>1305</v>
      </c>
      <c r="D271" s="8" t="s">
        <v>127</v>
      </c>
      <c r="E271" s="9" t="n">
        <v>24000</v>
      </c>
      <c r="F271" s="9" t="n">
        <v>24000</v>
      </c>
      <c r="G271" s="9" t="n">
        <f aca="false">IF(AND(ISNUMBER(E271),ISNUMBER(F271)),E271-F271,"No disponible")</f>
        <v>0</v>
      </c>
      <c r="H271" s="8" t="s">
        <v>64</v>
      </c>
      <c r="I271" s="8" t="s">
        <v>42</v>
      </c>
      <c r="J271" s="8" t="s">
        <v>43</v>
      </c>
      <c r="K271" s="8" t="s">
        <v>44</v>
      </c>
      <c r="L271" s="8" t="s">
        <v>45</v>
      </c>
      <c r="M271" s="8" t="s">
        <v>6</v>
      </c>
      <c r="N271" s="8" t="s">
        <v>46</v>
      </c>
      <c r="O271" s="8" t="s">
        <v>1306</v>
      </c>
      <c r="P271" s="8" t="s">
        <v>1307</v>
      </c>
      <c r="Q271" s="8" t="s">
        <v>59</v>
      </c>
      <c r="R271" s="8" t="s">
        <v>50</v>
      </c>
    </row>
    <row r="272" customFormat="false" ht="43.25" hidden="false" customHeight="false" outlineLevel="0" collapsed="false">
      <c r="A272" s="8" t="s">
        <v>1303</v>
      </c>
      <c r="B272" s="8" t="s">
        <v>1304</v>
      </c>
      <c r="C272" s="8" t="s">
        <v>1308</v>
      </c>
      <c r="D272" s="8" t="s">
        <v>127</v>
      </c>
      <c r="E272" s="9" t="n">
        <v>24000</v>
      </c>
      <c r="F272" s="9" t="n">
        <v>24000</v>
      </c>
      <c r="G272" s="9" t="n">
        <f aca="false">IF(AND(ISNUMBER(E272),ISNUMBER(F272)),E272-F272,"No disponible")</f>
        <v>0</v>
      </c>
      <c r="H272" s="8" t="s">
        <v>64</v>
      </c>
      <c r="I272" s="8" t="s">
        <v>42</v>
      </c>
      <c r="J272" s="8" t="s">
        <v>43</v>
      </c>
      <c r="K272" s="8" t="s">
        <v>44</v>
      </c>
      <c r="L272" s="8" t="s">
        <v>45</v>
      </c>
      <c r="M272" s="8" t="s">
        <v>6</v>
      </c>
      <c r="N272" s="8" t="s">
        <v>46</v>
      </c>
      <c r="O272" s="8" t="s">
        <v>1309</v>
      </c>
      <c r="P272" s="8" t="s">
        <v>1310</v>
      </c>
      <c r="Q272" s="8" t="s">
        <v>59</v>
      </c>
      <c r="R272" s="8" t="s">
        <v>50</v>
      </c>
    </row>
    <row r="273" customFormat="false" ht="43.25" hidden="false" customHeight="false" outlineLevel="0" collapsed="false">
      <c r="A273" s="8" t="s">
        <v>1311</v>
      </c>
      <c r="B273" s="8" t="s">
        <v>1312</v>
      </c>
      <c r="C273" s="8" t="s">
        <v>1313</v>
      </c>
      <c r="D273" s="8" t="s">
        <v>1314</v>
      </c>
      <c r="E273" s="9" t="n">
        <v>708750</v>
      </c>
      <c r="F273" s="9" t="n">
        <v>708750</v>
      </c>
      <c r="G273" s="9" t="n">
        <f aca="false">IF(AND(ISNUMBER(E273),ISNUMBER(F273)),E273-F273,"No disponible")</f>
        <v>0</v>
      </c>
      <c r="H273" s="8" t="s">
        <v>1315</v>
      </c>
      <c r="I273" s="8" t="s">
        <v>56</v>
      </c>
      <c r="J273" s="8" t="s">
        <v>43</v>
      </c>
      <c r="K273" s="8" t="s">
        <v>44</v>
      </c>
      <c r="L273" s="8" t="s">
        <v>45</v>
      </c>
      <c r="M273" s="8" t="s">
        <v>6</v>
      </c>
      <c r="N273" s="8" t="s">
        <v>46</v>
      </c>
      <c r="O273" s="8" t="s">
        <v>1316</v>
      </c>
      <c r="P273" s="8" t="s">
        <v>1317</v>
      </c>
      <c r="Q273" s="8" t="s">
        <v>59</v>
      </c>
      <c r="R273" s="8" t="s">
        <v>50</v>
      </c>
    </row>
    <row r="274" customFormat="false" ht="43.25" hidden="false" customHeight="false" outlineLevel="0" collapsed="false">
      <c r="A274" s="8" t="s">
        <v>1318</v>
      </c>
      <c r="B274" s="8" t="s">
        <v>1319</v>
      </c>
      <c r="C274" s="8" t="s">
        <v>1320</v>
      </c>
      <c r="D274" s="8" t="s">
        <v>93</v>
      </c>
      <c r="E274" s="9" t="n">
        <v>296900</v>
      </c>
      <c r="F274" s="9" t="n">
        <v>296900</v>
      </c>
      <c r="G274" s="9" t="n">
        <f aca="false">IF(AND(ISNUMBER(E274),ISNUMBER(F274)),E274-F274,"No disponible")</f>
        <v>0</v>
      </c>
      <c r="H274" s="8" t="s">
        <v>1321</v>
      </c>
      <c r="I274" s="8" t="s">
        <v>56</v>
      </c>
      <c r="J274" s="8" t="s">
        <v>43</v>
      </c>
      <c r="K274" s="8" t="s">
        <v>44</v>
      </c>
      <c r="L274" s="8" t="s">
        <v>45</v>
      </c>
      <c r="M274" s="8" t="s">
        <v>6</v>
      </c>
      <c r="N274" s="8" t="s">
        <v>46</v>
      </c>
      <c r="O274" s="8" t="s">
        <v>1322</v>
      </c>
      <c r="P274" s="8" t="s">
        <v>1323</v>
      </c>
      <c r="Q274" s="8" t="s">
        <v>59</v>
      </c>
      <c r="R274" s="8" t="s">
        <v>50</v>
      </c>
    </row>
    <row r="275" customFormat="false" ht="32.8" hidden="false" customHeight="false" outlineLevel="0" collapsed="false">
      <c r="A275" s="8" t="s">
        <v>1324</v>
      </c>
      <c r="B275" s="8" t="s">
        <v>1325</v>
      </c>
      <c r="C275" s="8" t="s">
        <v>1326</v>
      </c>
      <c r="D275" s="8" t="s">
        <v>1327</v>
      </c>
      <c r="E275" s="9" t="n">
        <v>315116.34</v>
      </c>
      <c r="F275" s="9" t="n">
        <v>315117</v>
      </c>
      <c r="G275" s="9" t="n">
        <f aca="false">IF(AND(ISNUMBER(E275),ISNUMBER(F275)),E275-F275,"No disponible")</f>
        <v>-0.659999999974389</v>
      </c>
      <c r="H275" s="8" t="s">
        <v>1328</v>
      </c>
      <c r="I275" s="8" t="s">
        <v>56</v>
      </c>
      <c r="J275" s="8" t="s">
        <v>43</v>
      </c>
      <c r="K275" s="8" t="s">
        <v>114</v>
      </c>
      <c r="L275" s="8" t="s">
        <v>45</v>
      </c>
      <c r="M275" s="8" t="s">
        <v>82</v>
      </c>
      <c r="N275" s="8" t="s">
        <v>46</v>
      </c>
      <c r="O275" s="8" t="s">
        <v>1329</v>
      </c>
      <c r="P275" s="8" t="s">
        <v>1330</v>
      </c>
      <c r="Q275" s="8" t="s">
        <v>59</v>
      </c>
      <c r="R275" s="8" t="s">
        <v>111</v>
      </c>
    </row>
    <row r="276" customFormat="false" ht="43.25" hidden="false" customHeight="false" outlineLevel="0" collapsed="false">
      <c r="A276" s="8" t="s">
        <v>1331</v>
      </c>
      <c r="B276" s="8" t="s">
        <v>1332</v>
      </c>
      <c r="C276" s="8" t="s">
        <v>1333</v>
      </c>
      <c r="D276" s="8" t="s">
        <v>227</v>
      </c>
      <c r="E276" s="9" t="n">
        <v>2000</v>
      </c>
      <c r="F276" s="9" t="n">
        <v>2000</v>
      </c>
      <c r="G276" s="9" t="n">
        <f aca="false">IF(AND(ISNUMBER(E276),ISNUMBER(F276)),E276-F276,"No disponible")</f>
        <v>0</v>
      </c>
      <c r="H276" s="8" t="s">
        <v>64</v>
      </c>
      <c r="I276" s="8" t="s">
        <v>42</v>
      </c>
      <c r="J276" s="8" t="s">
        <v>43</v>
      </c>
      <c r="K276" s="8" t="s">
        <v>44</v>
      </c>
      <c r="L276" s="8" t="s">
        <v>45</v>
      </c>
      <c r="M276" s="8" t="s">
        <v>6</v>
      </c>
      <c r="N276" s="8" t="s">
        <v>46</v>
      </c>
      <c r="O276" s="8" t="s">
        <v>1334</v>
      </c>
      <c r="P276" s="8" t="s">
        <v>1335</v>
      </c>
      <c r="Q276" s="8" t="s">
        <v>49</v>
      </c>
      <c r="R276" s="8" t="s">
        <v>50</v>
      </c>
    </row>
    <row r="277" customFormat="false" ht="43.25" hidden="false" customHeight="false" outlineLevel="0" collapsed="false">
      <c r="A277" s="8" t="s">
        <v>1331</v>
      </c>
      <c r="B277" s="8" t="s">
        <v>1332</v>
      </c>
      <c r="C277" s="8" t="s">
        <v>1336</v>
      </c>
      <c r="D277" s="8" t="s">
        <v>227</v>
      </c>
      <c r="E277" s="9" t="n">
        <v>4000</v>
      </c>
      <c r="F277" s="9" t="n">
        <v>4000</v>
      </c>
      <c r="G277" s="9" t="n">
        <f aca="false">IF(AND(ISNUMBER(E277),ISNUMBER(F277)),E277-F277,"No disponible")</f>
        <v>0</v>
      </c>
      <c r="H277" s="8" t="s">
        <v>64</v>
      </c>
      <c r="I277" s="8" t="s">
        <v>42</v>
      </c>
      <c r="J277" s="8" t="s">
        <v>43</v>
      </c>
      <c r="K277" s="8" t="s">
        <v>44</v>
      </c>
      <c r="L277" s="8" t="s">
        <v>45</v>
      </c>
      <c r="M277" s="8" t="s">
        <v>6</v>
      </c>
      <c r="N277" s="8" t="s">
        <v>46</v>
      </c>
      <c r="O277" s="8" t="s">
        <v>1337</v>
      </c>
      <c r="P277" s="8" t="s">
        <v>1338</v>
      </c>
      <c r="Q277" s="8" t="s">
        <v>49</v>
      </c>
      <c r="R277" s="8" t="s">
        <v>50</v>
      </c>
    </row>
    <row r="278" customFormat="false" ht="32.8" hidden="false" customHeight="false" outlineLevel="0" collapsed="false">
      <c r="A278" s="8" t="s">
        <v>1339</v>
      </c>
      <c r="B278" s="8" t="s">
        <v>1340</v>
      </c>
      <c r="C278" s="8" t="s">
        <v>1341</v>
      </c>
      <c r="D278" s="8" t="s">
        <v>93</v>
      </c>
      <c r="E278" s="9" t="n">
        <v>40000</v>
      </c>
      <c r="F278" s="9" t="n">
        <v>39999</v>
      </c>
      <c r="G278" s="9" t="n">
        <f aca="false">IF(AND(ISNUMBER(E278),ISNUMBER(F278)),E278-F278,"No disponible")</f>
        <v>1</v>
      </c>
      <c r="H278" s="8" t="s">
        <v>1342</v>
      </c>
      <c r="I278" s="8" t="s">
        <v>56</v>
      </c>
      <c r="J278" s="8" t="s">
        <v>43</v>
      </c>
      <c r="K278" s="8" t="s">
        <v>81</v>
      </c>
      <c r="L278" s="8" t="s">
        <v>45</v>
      </c>
      <c r="M278" s="8" t="s">
        <v>82</v>
      </c>
      <c r="N278" s="8" t="s">
        <v>46</v>
      </c>
      <c r="O278" s="8" t="s">
        <v>1343</v>
      </c>
      <c r="P278" s="8" t="s">
        <v>1344</v>
      </c>
      <c r="Q278" s="8" t="s">
        <v>59</v>
      </c>
      <c r="R278" s="8" t="s">
        <v>50</v>
      </c>
    </row>
    <row r="279" customFormat="false" ht="43.25" hidden="false" customHeight="false" outlineLevel="0" collapsed="false">
      <c r="A279" s="8" t="s">
        <v>1345</v>
      </c>
      <c r="B279" s="8" t="s">
        <v>1346</v>
      </c>
      <c r="C279" s="8" t="s">
        <v>1347</v>
      </c>
      <c r="D279" s="8" t="s">
        <v>948</v>
      </c>
      <c r="E279" s="9" t="n">
        <v>195500</v>
      </c>
      <c r="F279" s="9" t="n">
        <v>195500</v>
      </c>
      <c r="G279" s="9" t="n">
        <f aca="false">IF(AND(ISNUMBER(E279),ISNUMBER(F279)),E279-F279,"No disponible")</f>
        <v>0</v>
      </c>
      <c r="H279" s="8" t="s">
        <v>1348</v>
      </c>
      <c r="I279" s="8" t="s">
        <v>56</v>
      </c>
      <c r="J279" s="8" t="s">
        <v>43</v>
      </c>
      <c r="K279" s="8" t="s">
        <v>44</v>
      </c>
      <c r="L279" s="8" t="s">
        <v>45</v>
      </c>
      <c r="M279" s="8" t="s">
        <v>6</v>
      </c>
      <c r="N279" s="8" t="s">
        <v>46</v>
      </c>
      <c r="O279" s="8" t="s">
        <v>1349</v>
      </c>
      <c r="P279" s="8" t="s">
        <v>1350</v>
      </c>
      <c r="Q279" s="8" t="s">
        <v>59</v>
      </c>
      <c r="R279" s="8" t="s">
        <v>50</v>
      </c>
    </row>
    <row r="280" customFormat="false" ht="32.8" hidden="false" customHeight="false" outlineLevel="0" collapsed="false">
      <c r="A280" s="8" t="s">
        <v>1345</v>
      </c>
      <c r="B280" s="8" t="s">
        <v>1346</v>
      </c>
      <c r="C280" s="8" t="s">
        <v>1351</v>
      </c>
      <c r="D280" s="8" t="s">
        <v>948</v>
      </c>
      <c r="E280" s="9" t="n">
        <v>49500</v>
      </c>
      <c r="F280" s="9" t="n">
        <v>49500</v>
      </c>
      <c r="G280" s="9" t="n">
        <f aca="false">IF(AND(ISNUMBER(E280),ISNUMBER(F280)),E280-F280,"No disponible")</f>
        <v>0</v>
      </c>
      <c r="H280" s="8" t="s">
        <v>1352</v>
      </c>
      <c r="I280" s="8" t="s">
        <v>56</v>
      </c>
      <c r="J280" s="8" t="s">
        <v>43</v>
      </c>
      <c r="K280" s="8" t="s">
        <v>190</v>
      </c>
      <c r="L280" s="8" t="s">
        <v>45</v>
      </c>
      <c r="M280" s="8" t="s">
        <v>6</v>
      </c>
      <c r="N280" s="8" t="s">
        <v>46</v>
      </c>
      <c r="O280" s="8" t="s">
        <v>1353</v>
      </c>
      <c r="P280" s="8" t="s">
        <v>1354</v>
      </c>
      <c r="Q280" s="8" t="s">
        <v>193</v>
      </c>
      <c r="R280" s="8" t="s">
        <v>50</v>
      </c>
    </row>
    <row r="281" customFormat="false" ht="22.35" hidden="false" customHeight="false" outlineLevel="0" collapsed="false">
      <c r="A281" s="8" t="s">
        <v>1345</v>
      </c>
      <c r="B281" s="8" t="s">
        <v>1346</v>
      </c>
      <c r="C281" s="8" t="s">
        <v>1355</v>
      </c>
      <c r="D281" s="8" t="s">
        <v>86</v>
      </c>
      <c r="E281" s="9" t="n">
        <v>20000</v>
      </c>
      <c r="F281" s="9" t="s">
        <v>87</v>
      </c>
      <c r="G281" s="9" t="str">
        <f aca="false">IF(AND(ISNUMBER(E281),ISNUMBER(F281)),E281-F281,"No disponible")</f>
        <v>No disponible</v>
      </c>
      <c r="H281" s="8" t="s">
        <v>86</v>
      </c>
      <c r="I281" s="8" t="s">
        <v>56</v>
      </c>
      <c r="J281" s="8" t="s">
        <v>87</v>
      </c>
      <c r="K281" s="8" t="s">
        <v>88</v>
      </c>
      <c r="L281" s="8" t="s">
        <v>89</v>
      </c>
      <c r="M281" s="8" t="s">
        <v>82</v>
      </c>
      <c r="N281" s="8" t="s">
        <v>46</v>
      </c>
      <c r="O281" s="8" t="s">
        <v>87</v>
      </c>
      <c r="P281" s="8"/>
      <c r="Q281" s="8" t="s">
        <v>87</v>
      </c>
      <c r="R281" s="8" t="s">
        <v>86</v>
      </c>
    </row>
    <row r="282" customFormat="false" ht="53.7" hidden="false" customHeight="false" outlineLevel="0" collapsed="false">
      <c r="A282" s="8" t="s">
        <v>1356</v>
      </c>
      <c r="B282" s="8" t="s">
        <v>1357</v>
      </c>
      <c r="C282" s="8" t="s">
        <v>1358</v>
      </c>
      <c r="D282" s="8" t="s">
        <v>1359</v>
      </c>
      <c r="E282" s="9" t="n">
        <v>1190000</v>
      </c>
      <c r="F282" s="9" t="n">
        <v>1190000</v>
      </c>
      <c r="G282" s="9" t="n">
        <f aca="false">IF(AND(ISNUMBER(E282),ISNUMBER(F282)),E282-F282,"No disponible")</f>
        <v>0</v>
      </c>
      <c r="H282" s="8" t="s">
        <v>1360</v>
      </c>
      <c r="I282" s="8" t="s">
        <v>56</v>
      </c>
      <c r="J282" s="8" t="s">
        <v>43</v>
      </c>
      <c r="K282" s="8" t="s">
        <v>44</v>
      </c>
      <c r="L282" s="8" t="s">
        <v>45</v>
      </c>
      <c r="M282" s="8" t="s">
        <v>6</v>
      </c>
      <c r="N282" s="8" t="s">
        <v>46</v>
      </c>
      <c r="O282" s="8" t="s">
        <v>1361</v>
      </c>
      <c r="P282" s="8" t="s">
        <v>1362</v>
      </c>
      <c r="Q282" s="8" t="s">
        <v>59</v>
      </c>
      <c r="R282" s="8" t="s">
        <v>50</v>
      </c>
    </row>
    <row r="283" customFormat="false" ht="43.25" hidden="false" customHeight="false" outlineLevel="0" collapsed="false">
      <c r="A283" s="8" t="s">
        <v>1363</v>
      </c>
      <c r="B283" s="8" t="s">
        <v>1364</v>
      </c>
      <c r="C283" s="8" t="s">
        <v>1365</v>
      </c>
      <c r="D283" s="8" t="s">
        <v>266</v>
      </c>
      <c r="E283" s="9" t="n">
        <v>75000</v>
      </c>
      <c r="F283" s="9" t="n">
        <v>75000</v>
      </c>
      <c r="G283" s="9" t="n">
        <f aca="false">IF(AND(ISNUMBER(E283),ISNUMBER(F283)),E283-F283,"No disponible")</f>
        <v>0</v>
      </c>
      <c r="H283" s="8" t="s">
        <v>1366</v>
      </c>
      <c r="I283" s="8" t="s">
        <v>56</v>
      </c>
      <c r="J283" s="8" t="s">
        <v>43</v>
      </c>
      <c r="K283" s="8" t="s">
        <v>44</v>
      </c>
      <c r="L283" s="8" t="s">
        <v>45</v>
      </c>
      <c r="M283" s="8" t="s">
        <v>6</v>
      </c>
      <c r="N283" s="8" t="s">
        <v>46</v>
      </c>
      <c r="O283" s="8" t="s">
        <v>1367</v>
      </c>
      <c r="P283" s="8" t="s">
        <v>1368</v>
      </c>
      <c r="Q283" s="8" t="s">
        <v>59</v>
      </c>
      <c r="R283" s="8" t="s">
        <v>50</v>
      </c>
    </row>
    <row r="284" customFormat="false" ht="22.35" hidden="false" customHeight="false" outlineLevel="0" collapsed="false">
      <c r="A284" s="8" t="s">
        <v>1369</v>
      </c>
      <c r="B284" s="8" t="s">
        <v>1370</v>
      </c>
      <c r="C284" s="8" t="s">
        <v>1371</v>
      </c>
      <c r="D284" s="8" t="s">
        <v>86</v>
      </c>
      <c r="E284" s="9" t="n">
        <v>15000</v>
      </c>
      <c r="F284" s="9" t="s">
        <v>87</v>
      </c>
      <c r="G284" s="9" t="str">
        <f aca="false">IF(AND(ISNUMBER(E284),ISNUMBER(F284)),E284-F284,"No disponible")</f>
        <v>No disponible</v>
      </c>
      <c r="H284" s="8" t="s">
        <v>86</v>
      </c>
      <c r="I284" s="8" t="s">
        <v>56</v>
      </c>
      <c r="J284" s="8" t="s">
        <v>87</v>
      </c>
      <c r="K284" s="8" t="s">
        <v>140</v>
      </c>
      <c r="L284" s="8" t="s">
        <v>141</v>
      </c>
      <c r="M284" s="8" t="s">
        <v>82</v>
      </c>
      <c r="N284" s="8" t="s">
        <v>46</v>
      </c>
      <c r="O284" s="8" t="s">
        <v>87</v>
      </c>
      <c r="P284" s="8"/>
      <c r="Q284" s="8" t="s">
        <v>87</v>
      </c>
      <c r="R284" s="8" t="s">
        <v>86</v>
      </c>
    </row>
    <row r="285" customFormat="false" ht="22.35" hidden="false" customHeight="false" outlineLevel="0" collapsed="false">
      <c r="A285" s="8" t="s">
        <v>1369</v>
      </c>
      <c r="B285" s="8" t="s">
        <v>1370</v>
      </c>
      <c r="C285" s="8" t="s">
        <v>1372</v>
      </c>
      <c r="D285" s="8" t="s">
        <v>86</v>
      </c>
      <c r="E285" s="9" t="n">
        <v>14015</v>
      </c>
      <c r="F285" s="9" t="s">
        <v>87</v>
      </c>
      <c r="G285" s="9" t="str">
        <f aca="false">IF(AND(ISNUMBER(E285),ISNUMBER(F285)),E285-F285,"No disponible")</f>
        <v>No disponible</v>
      </c>
      <c r="H285" s="8" t="s">
        <v>86</v>
      </c>
      <c r="I285" s="8" t="s">
        <v>56</v>
      </c>
      <c r="J285" s="8" t="s">
        <v>87</v>
      </c>
      <c r="K285" s="8" t="s">
        <v>140</v>
      </c>
      <c r="L285" s="8" t="s">
        <v>141</v>
      </c>
      <c r="M285" s="8" t="s">
        <v>82</v>
      </c>
      <c r="N285" s="8" t="s">
        <v>46</v>
      </c>
      <c r="O285" s="8" t="s">
        <v>87</v>
      </c>
      <c r="P285" s="8"/>
      <c r="Q285" s="8" t="s">
        <v>87</v>
      </c>
      <c r="R285" s="8" t="s">
        <v>86</v>
      </c>
    </row>
    <row r="286" customFormat="false" ht="43.25" hidden="false" customHeight="false" outlineLevel="0" collapsed="false">
      <c r="A286" s="8" t="s">
        <v>1373</v>
      </c>
      <c r="B286" s="8" t="s">
        <v>1374</v>
      </c>
      <c r="C286" s="8" t="s">
        <v>1375</v>
      </c>
      <c r="D286" s="8" t="s">
        <v>93</v>
      </c>
      <c r="E286" s="9" t="n">
        <v>398202</v>
      </c>
      <c r="F286" s="9" t="n">
        <v>398202</v>
      </c>
      <c r="G286" s="9" t="n">
        <f aca="false">IF(AND(ISNUMBER(E286),ISNUMBER(F286)),E286-F286,"No disponible")</f>
        <v>0</v>
      </c>
      <c r="H286" s="8" t="s">
        <v>1376</v>
      </c>
      <c r="I286" s="8" t="s">
        <v>56</v>
      </c>
      <c r="J286" s="8" t="s">
        <v>43</v>
      </c>
      <c r="K286" s="8" t="s">
        <v>44</v>
      </c>
      <c r="L286" s="8" t="s">
        <v>45</v>
      </c>
      <c r="M286" s="8" t="s">
        <v>6</v>
      </c>
      <c r="N286" s="8" t="s">
        <v>46</v>
      </c>
      <c r="O286" s="8" t="s">
        <v>1377</v>
      </c>
      <c r="P286" s="8" t="s">
        <v>1378</v>
      </c>
      <c r="Q286" s="8" t="s">
        <v>59</v>
      </c>
      <c r="R286" s="8" t="s">
        <v>50</v>
      </c>
    </row>
    <row r="287" customFormat="false" ht="43.25" hidden="false" customHeight="false" outlineLevel="0" collapsed="false">
      <c r="A287" s="8" t="s">
        <v>1379</v>
      </c>
      <c r="B287" s="8" t="s">
        <v>1380</v>
      </c>
      <c r="C287" s="8" t="s">
        <v>1381</v>
      </c>
      <c r="D287" s="8" t="s">
        <v>266</v>
      </c>
      <c r="E287" s="9" t="n">
        <v>421260</v>
      </c>
      <c r="F287" s="9" t="n">
        <v>421260</v>
      </c>
      <c r="G287" s="9" t="n">
        <f aca="false">IF(AND(ISNUMBER(E287),ISNUMBER(F287)),E287-F287,"No disponible")</f>
        <v>0</v>
      </c>
      <c r="H287" s="8" t="s">
        <v>1382</v>
      </c>
      <c r="I287" s="8" t="s">
        <v>56</v>
      </c>
      <c r="J287" s="8" t="s">
        <v>43</v>
      </c>
      <c r="K287" s="8" t="s">
        <v>44</v>
      </c>
      <c r="L287" s="8" t="s">
        <v>45</v>
      </c>
      <c r="M287" s="8" t="s">
        <v>6</v>
      </c>
      <c r="N287" s="8" t="s">
        <v>46</v>
      </c>
      <c r="O287" s="8" t="s">
        <v>1383</v>
      </c>
      <c r="P287" s="8" t="s">
        <v>1384</v>
      </c>
      <c r="Q287" s="8" t="s">
        <v>59</v>
      </c>
      <c r="R287" s="8" t="s">
        <v>50</v>
      </c>
    </row>
    <row r="288" customFormat="false" ht="22.35" hidden="false" customHeight="false" outlineLevel="0" collapsed="false">
      <c r="A288" s="8" t="s">
        <v>1385</v>
      </c>
      <c r="B288" s="8" t="s">
        <v>1386</v>
      </c>
      <c r="C288" s="8" t="s">
        <v>1387</v>
      </c>
      <c r="D288" s="8" t="s">
        <v>86</v>
      </c>
      <c r="E288" s="9" t="n">
        <v>1330374</v>
      </c>
      <c r="F288" s="9" t="s">
        <v>87</v>
      </c>
      <c r="G288" s="9" t="str">
        <f aca="false">IF(AND(ISNUMBER(E288),ISNUMBER(F288)),E288-F288,"No disponible")</f>
        <v>No disponible</v>
      </c>
      <c r="H288" s="8" t="s">
        <v>86</v>
      </c>
      <c r="I288" s="8" t="s">
        <v>56</v>
      </c>
      <c r="J288" s="8" t="s">
        <v>87</v>
      </c>
      <c r="K288" s="8" t="s">
        <v>140</v>
      </c>
      <c r="L288" s="8" t="s">
        <v>141</v>
      </c>
      <c r="M288" s="8" t="s">
        <v>82</v>
      </c>
      <c r="N288" s="8" t="s">
        <v>46</v>
      </c>
      <c r="O288" s="8" t="s">
        <v>87</v>
      </c>
      <c r="P288" s="8"/>
      <c r="Q288" s="8" t="s">
        <v>87</v>
      </c>
      <c r="R288" s="8" t="s">
        <v>86</v>
      </c>
    </row>
    <row r="289" customFormat="false" ht="32.8" hidden="false" customHeight="false" outlineLevel="0" collapsed="false">
      <c r="A289" s="8" t="s">
        <v>1388</v>
      </c>
      <c r="B289" s="8" t="s">
        <v>1389</v>
      </c>
      <c r="C289" s="8" t="s">
        <v>1390</v>
      </c>
      <c r="D289" s="8" t="s">
        <v>93</v>
      </c>
      <c r="E289" s="9" t="n">
        <v>8990573.76</v>
      </c>
      <c r="F289" s="9" t="n">
        <v>8990574</v>
      </c>
      <c r="G289" s="9" t="n">
        <f aca="false">IF(AND(ISNUMBER(E289),ISNUMBER(F289)),E289-F289,"No disponible")</f>
        <v>-0.240000000223517</v>
      </c>
      <c r="H289" s="8" t="s">
        <v>1391</v>
      </c>
      <c r="I289" s="8" t="s">
        <v>56</v>
      </c>
      <c r="J289" s="8" t="s">
        <v>43</v>
      </c>
      <c r="K289" s="8" t="s">
        <v>81</v>
      </c>
      <c r="L289" s="8" t="s">
        <v>45</v>
      </c>
      <c r="M289" s="8" t="s">
        <v>82</v>
      </c>
      <c r="N289" s="8" t="s">
        <v>46</v>
      </c>
      <c r="O289" s="8" t="s">
        <v>1392</v>
      </c>
      <c r="P289" s="8" t="s">
        <v>1393</v>
      </c>
      <c r="Q289" s="8" t="s">
        <v>59</v>
      </c>
      <c r="R289" s="8" t="s">
        <v>50</v>
      </c>
    </row>
    <row r="290" customFormat="false" ht="22.35" hidden="false" customHeight="false" outlineLevel="0" collapsed="false">
      <c r="A290" s="8" t="s">
        <v>1394</v>
      </c>
      <c r="B290" s="8" t="s">
        <v>1395</v>
      </c>
      <c r="C290" s="8" t="s">
        <v>1396</v>
      </c>
      <c r="D290" s="8" t="s">
        <v>86</v>
      </c>
      <c r="E290" s="9" t="n">
        <v>17783</v>
      </c>
      <c r="F290" s="9" t="s">
        <v>87</v>
      </c>
      <c r="G290" s="9" t="str">
        <f aca="false">IF(AND(ISNUMBER(E290),ISNUMBER(F290)),E290-F290,"No disponible")</f>
        <v>No disponible</v>
      </c>
      <c r="H290" s="8" t="s">
        <v>86</v>
      </c>
      <c r="I290" s="8" t="s">
        <v>56</v>
      </c>
      <c r="J290" s="8" t="s">
        <v>87</v>
      </c>
      <c r="K290" s="8" t="s">
        <v>140</v>
      </c>
      <c r="L290" s="8" t="s">
        <v>141</v>
      </c>
      <c r="M290" s="8" t="s">
        <v>82</v>
      </c>
      <c r="N290" s="8" t="s">
        <v>46</v>
      </c>
      <c r="O290" s="8" t="s">
        <v>87</v>
      </c>
      <c r="P290" s="8"/>
      <c r="Q290" s="8" t="s">
        <v>87</v>
      </c>
      <c r="R290" s="8" t="s">
        <v>86</v>
      </c>
    </row>
    <row r="291" customFormat="false" ht="22.35" hidden="false" customHeight="false" outlineLevel="0" collapsed="false">
      <c r="A291" s="8" t="s">
        <v>1394</v>
      </c>
      <c r="B291" s="8" t="s">
        <v>1395</v>
      </c>
      <c r="C291" s="8" t="s">
        <v>1397</v>
      </c>
      <c r="D291" s="8" t="s">
        <v>86</v>
      </c>
      <c r="E291" s="9" t="n">
        <v>15000</v>
      </c>
      <c r="F291" s="9" t="s">
        <v>87</v>
      </c>
      <c r="G291" s="9" t="str">
        <f aca="false">IF(AND(ISNUMBER(E291),ISNUMBER(F291)),E291-F291,"No disponible")</f>
        <v>No disponible</v>
      </c>
      <c r="H291" s="8" t="s">
        <v>86</v>
      </c>
      <c r="I291" s="8" t="s">
        <v>56</v>
      </c>
      <c r="J291" s="8" t="s">
        <v>87</v>
      </c>
      <c r="K291" s="8" t="s">
        <v>140</v>
      </c>
      <c r="L291" s="8" t="s">
        <v>141</v>
      </c>
      <c r="M291" s="8" t="s">
        <v>82</v>
      </c>
      <c r="N291" s="8" t="s">
        <v>46</v>
      </c>
      <c r="O291" s="8" t="s">
        <v>87</v>
      </c>
      <c r="P291" s="8"/>
      <c r="Q291" s="8" t="s">
        <v>87</v>
      </c>
      <c r="R291" s="8" t="s">
        <v>86</v>
      </c>
    </row>
    <row r="292" customFormat="false" ht="22.35" hidden="false" customHeight="false" outlineLevel="0" collapsed="false">
      <c r="A292" s="8" t="s">
        <v>1394</v>
      </c>
      <c r="B292" s="8" t="s">
        <v>1395</v>
      </c>
      <c r="C292" s="8" t="s">
        <v>1398</v>
      </c>
      <c r="D292" s="8" t="s">
        <v>86</v>
      </c>
      <c r="E292" s="9" t="n">
        <v>17017</v>
      </c>
      <c r="F292" s="9" t="s">
        <v>87</v>
      </c>
      <c r="G292" s="9" t="str">
        <f aca="false">IF(AND(ISNUMBER(E292),ISNUMBER(F292)),E292-F292,"No disponible")</f>
        <v>No disponible</v>
      </c>
      <c r="H292" s="8" t="s">
        <v>86</v>
      </c>
      <c r="I292" s="8" t="s">
        <v>56</v>
      </c>
      <c r="J292" s="8" t="s">
        <v>87</v>
      </c>
      <c r="K292" s="8" t="s">
        <v>140</v>
      </c>
      <c r="L292" s="8" t="s">
        <v>141</v>
      </c>
      <c r="M292" s="8" t="s">
        <v>82</v>
      </c>
      <c r="N292" s="8" t="s">
        <v>46</v>
      </c>
      <c r="O292" s="8" t="s">
        <v>87</v>
      </c>
      <c r="P292" s="8"/>
      <c r="Q292" s="8" t="s">
        <v>87</v>
      </c>
      <c r="R292" s="8" t="s">
        <v>86</v>
      </c>
    </row>
    <row r="293" customFormat="false" ht="22.35" hidden="false" customHeight="false" outlineLevel="0" collapsed="false">
      <c r="A293" s="8" t="s">
        <v>1394</v>
      </c>
      <c r="B293" s="8" t="s">
        <v>1395</v>
      </c>
      <c r="C293" s="8" t="s">
        <v>1399</v>
      </c>
      <c r="D293" s="8" t="s">
        <v>86</v>
      </c>
      <c r="E293" s="9" t="n">
        <v>14000</v>
      </c>
      <c r="F293" s="9" t="s">
        <v>87</v>
      </c>
      <c r="G293" s="9" t="str">
        <f aca="false">IF(AND(ISNUMBER(E293),ISNUMBER(F293)),E293-F293,"No disponible")</f>
        <v>No disponible</v>
      </c>
      <c r="H293" s="8" t="s">
        <v>86</v>
      </c>
      <c r="I293" s="8" t="s">
        <v>56</v>
      </c>
      <c r="J293" s="8" t="s">
        <v>87</v>
      </c>
      <c r="K293" s="8" t="s">
        <v>140</v>
      </c>
      <c r="L293" s="8" t="s">
        <v>141</v>
      </c>
      <c r="M293" s="8" t="s">
        <v>82</v>
      </c>
      <c r="N293" s="8" t="s">
        <v>46</v>
      </c>
      <c r="O293" s="8" t="s">
        <v>87</v>
      </c>
      <c r="P293" s="8"/>
      <c r="Q293" s="8" t="s">
        <v>87</v>
      </c>
      <c r="R293" s="8" t="s">
        <v>86</v>
      </c>
    </row>
    <row r="294" customFormat="false" ht="43.25" hidden="false" customHeight="false" outlineLevel="0" collapsed="false">
      <c r="A294" s="8" t="s">
        <v>1400</v>
      </c>
      <c r="B294" s="8" t="s">
        <v>1401</v>
      </c>
      <c r="C294" s="8" t="s">
        <v>1402</v>
      </c>
      <c r="D294" s="8" t="s">
        <v>93</v>
      </c>
      <c r="E294" s="9" t="n">
        <v>329535</v>
      </c>
      <c r="F294" s="9" t="n">
        <v>329535</v>
      </c>
      <c r="G294" s="9" t="n">
        <f aca="false">IF(AND(ISNUMBER(E294),ISNUMBER(F294)),E294-F294,"No disponible")</f>
        <v>0</v>
      </c>
      <c r="H294" s="8" t="s">
        <v>1403</v>
      </c>
      <c r="I294" s="8" t="s">
        <v>56</v>
      </c>
      <c r="J294" s="8" t="s">
        <v>43</v>
      </c>
      <c r="K294" s="8" t="s">
        <v>44</v>
      </c>
      <c r="L294" s="8" t="s">
        <v>45</v>
      </c>
      <c r="M294" s="8" t="s">
        <v>6</v>
      </c>
      <c r="N294" s="8" t="s">
        <v>46</v>
      </c>
      <c r="O294" s="8" t="s">
        <v>1404</v>
      </c>
      <c r="P294" s="8" t="s">
        <v>1405</v>
      </c>
      <c r="Q294" s="8" t="s">
        <v>59</v>
      </c>
      <c r="R294" s="8" t="s">
        <v>50</v>
      </c>
    </row>
    <row r="295" customFormat="false" ht="22.35" hidden="false" customHeight="false" outlineLevel="0" collapsed="false">
      <c r="A295" s="8" t="s">
        <v>1406</v>
      </c>
      <c r="B295" s="8" t="s">
        <v>1407</v>
      </c>
      <c r="C295" s="8" t="s">
        <v>1408</v>
      </c>
      <c r="D295" s="8" t="s">
        <v>86</v>
      </c>
      <c r="E295" s="9" t="n">
        <v>165920</v>
      </c>
      <c r="F295" s="9" t="s">
        <v>87</v>
      </c>
      <c r="G295" s="9" t="str">
        <f aca="false">IF(AND(ISNUMBER(E295),ISNUMBER(F295)),E295-F295,"No disponible")</f>
        <v>No disponible</v>
      </c>
      <c r="H295" s="8" t="s">
        <v>86</v>
      </c>
      <c r="I295" s="8" t="s">
        <v>56</v>
      </c>
      <c r="J295" s="8" t="s">
        <v>87</v>
      </c>
      <c r="K295" s="8" t="s">
        <v>140</v>
      </c>
      <c r="L295" s="8" t="s">
        <v>141</v>
      </c>
      <c r="M295" s="8" t="s">
        <v>82</v>
      </c>
      <c r="N295" s="8" t="s">
        <v>46</v>
      </c>
      <c r="O295" s="8" t="s">
        <v>87</v>
      </c>
      <c r="P295" s="8"/>
      <c r="Q295" s="8" t="s">
        <v>87</v>
      </c>
      <c r="R295" s="8" t="s">
        <v>86</v>
      </c>
    </row>
    <row r="296" customFormat="false" ht="43.25" hidden="false" customHeight="false" outlineLevel="0" collapsed="false">
      <c r="A296" s="8" t="s">
        <v>1409</v>
      </c>
      <c r="B296" s="8" t="s">
        <v>1410</v>
      </c>
      <c r="C296" s="8" t="s">
        <v>1411</v>
      </c>
      <c r="D296" s="8" t="s">
        <v>266</v>
      </c>
      <c r="E296" s="9" t="n">
        <v>746000</v>
      </c>
      <c r="F296" s="9" t="n">
        <v>746000</v>
      </c>
      <c r="G296" s="9" t="n">
        <f aca="false">IF(AND(ISNUMBER(E296),ISNUMBER(F296)),E296-F296,"No disponible")</f>
        <v>0</v>
      </c>
      <c r="H296" s="8" t="s">
        <v>1412</v>
      </c>
      <c r="I296" s="8" t="s">
        <v>56</v>
      </c>
      <c r="J296" s="8" t="s">
        <v>43</v>
      </c>
      <c r="K296" s="8" t="s">
        <v>44</v>
      </c>
      <c r="L296" s="8" t="s">
        <v>45</v>
      </c>
      <c r="M296" s="8" t="s">
        <v>6</v>
      </c>
      <c r="N296" s="8" t="s">
        <v>46</v>
      </c>
      <c r="O296" s="8" t="s">
        <v>1413</v>
      </c>
      <c r="P296" s="8" t="s">
        <v>1414</v>
      </c>
      <c r="Q296" s="8" t="s">
        <v>59</v>
      </c>
      <c r="R296" s="8" t="s">
        <v>50</v>
      </c>
    </row>
    <row r="297" customFormat="false" ht="43.25" hidden="false" customHeight="false" outlineLevel="0" collapsed="false">
      <c r="A297" s="8" t="s">
        <v>1415</v>
      </c>
      <c r="B297" s="8" t="s">
        <v>1416</v>
      </c>
      <c r="C297" s="8" t="s">
        <v>1417</v>
      </c>
      <c r="D297" s="8" t="s">
        <v>93</v>
      </c>
      <c r="E297" s="9" t="n">
        <v>865063</v>
      </c>
      <c r="F297" s="9" t="n">
        <v>865063</v>
      </c>
      <c r="G297" s="9" t="n">
        <f aca="false">IF(AND(ISNUMBER(E297),ISNUMBER(F297)),E297-F297,"No disponible")</f>
        <v>0</v>
      </c>
      <c r="H297" s="8" t="s">
        <v>1418</v>
      </c>
      <c r="I297" s="8" t="s">
        <v>56</v>
      </c>
      <c r="J297" s="8" t="s">
        <v>43</v>
      </c>
      <c r="K297" s="8" t="s">
        <v>44</v>
      </c>
      <c r="L297" s="8" t="s">
        <v>45</v>
      </c>
      <c r="M297" s="8" t="s">
        <v>6</v>
      </c>
      <c r="N297" s="8" t="s">
        <v>46</v>
      </c>
      <c r="O297" s="8" t="s">
        <v>1419</v>
      </c>
      <c r="P297" s="8" t="s">
        <v>1420</v>
      </c>
      <c r="Q297" s="8" t="s">
        <v>59</v>
      </c>
      <c r="R297" s="8" t="s">
        <v>50</v>
      </c>
    </row>
    <row r="298" customFormat="false" ht="43.25" hidden="false" customHeight="false" outlineLevel="0" collapsed="false">
      <c r="A298" s="8" t="s">
        <v>1415</v>
      </c>
      <c r="B298" s="8" t="s">
        <v>1416</v>
      </c>
      <c r="C298" s="8" t="s">
        <v>1421</v>
      </c>
      <c r="D298" s="8" t="s">
        <v>93</v>
      </c>
      <c r="E298" s="9" t="n">
        <v>2658597</v>
      </c>
      <c r="F298" s="9" t="n">
        <v>2658597</v>
      </c>
      <c r="G298" s="9" t="n">
        <f aca="false">IF(AND(ISNUMBER(E298),ISNUMBER(F298)),E298-F298,"No disponible")</f>
        <v>0</v>
      </c>
      <c r="H298" s="8" t="s">
        <v>1422</v>
      </c>
      <c r="I298" s="8" t="s">
        <v>56</v>
      </c>
      <c r="J298" s="8" t="s">
        <v>43</v>
      </c>
      <c r="K298" s="8" t="s">
        <v>44</v>
      </c>
      <c r="L298" s="8" t="s">
        <v>45</v>
      </c>
      <c r="M298" s="8" t="s">
        <v>6</v>
      </c>
      <c r="N298" s="8" t="s">
        <v>46</v>
      </c>
      <c r="O298" s="8" t="s">
        <v>1423</v>
      </c>
      <c r="P298" s="8" t="s">
        <v>1424</v>
      </c>
      <c r="Q298" s="8" t="s">
        <v>59</v>
      </c>
      <c r="R298" s="8" t="s">
        <v>50</v>
      </c>
    </row>
    <row r="299" customFormat="false" ht="43.25" hidden="false" customHeight="false" outlineLevel="0" collapsed="false">
      <c r="A299" s="8" t="s">
        <v>1415</v>
      </c>
      <c r="B299" s="8" t="s">
        <v>1416</v>
      </c>
      <c r="C299" s="8" t="s">
        <v>1425</v>
      </c>
      <c r="D299" s="8" t="s">
        <v>93</v>
      </c>
      <c r="E299" s="9" t="n">
        <v>143330</v>
      </c>
      <c r="F299" s="9" t="n">
        <v>143330</v>
      </c>
      <c r="G299" s="9" t="n">
        <f aca="false">IF(AND(ISNUMBER(E299),ISNUMBER(F299)),E299-F299,"No disponible")</f>
        <v>0</v>
      </c>
      <c r="H299" s="8" t="s">
        <v>1426</v>
      </c>
      <c r="I299" s="8" t="s">
        <v>56</v>
      </c>
      <c r="J299" s="8" t="s">
        <v>43</v>
      </c>
      <c r="K299" s="8" t="s">
        <v>44</v>
      </c>
      <c r="L299" s="8" t="s">
        <v>45</v>
      </c>
      <c r="M299" s="8" t="s">
        <v>6</v>
      </c>
      <c r="N299" s="8" t="s">
        <v>46</v>
      </c>
      <c r="O299" s="8" t="s">
        <v>1427</v>
      </c>
      <c r="P299" s="8" t="s">
        <v>1428</v>
      </c>
      <c r="Q299" s="8" t="s">
        <v>59</v>
      </c>
      <c r="R299" s="8" t="s">
        <v>50</v>
      </c>
    </row>
    <row r="300" customFormat="false" ht="32.8" hidden="false" customHeight="false" outlineLevel="0" collapsed="false">
      <c r="A300" s="8" t="s">
        <v>1429</v>
      </c>
      <c r="B300" s="8" t="s">
        <v>1430</v>
      </c>
      <c r="C300" s="8" t="s">
        <v>1441</v>
      </c>
      <c r="D300" s="8" t="s">
        <v>86</v>
      </c>
      <c r="E300" s="9" t="n">
        <v>115855</v>
      </c>
      <c r="F300" s="9" t="s">
        <v>87</v>
      </c>
      <c r="G300" s="9" t="str">
        <f aca="false">IF(AND(ISNUMBER(E300),ISNUMBER(F300)),E300-F300,"No disponible")</f>
        <v>No disponible</v>
      </c>
      <c r="H300" s="8" t="s">
        <v>86</v>
      </c>
      <c r="I300" s="8" t="s">
        <v>65</v>
      </c>
      <c r="J300" s="8" t="s">
        <v>524</v>
      </c>
      <c r="K300" s="8" t="s">
        <v>525</v>
      </c>
      <c r="L300" s="8" t="s">
        <v>1442</v>
      </c>
      <c r="M300" s="8" t="s">
        <v>82</v>
      </c>
      <c r="N300" s="8" t="s">
        <v>46</v>
      </c>
      <c r="O300" s="8" t="s">
        <v>1443</v>
      </c>
      <c r="P300" s="8"/>
      <c r="Q300" s="8" t="s">
        <v>59</v>
      </c>
      <c r="R300" s="8" t="s">
        <v>86</v>
      </c>
    </row>
    <row r="301" customFormat="false" ht="43.25" hidden="false" customHeight="false" outlineLevel="0" collapsed="false">
      <c r="A301" s="8" t="s">
        <v>1444</v>
      </c>
      <c r="B301" s="8" t="s">
        <v>1445</v>
      </c>
      <c r="C301" s="8" t="s">
        <v>1446</v>
      </c>
      <c r="D301" s="8" t="s">
        <v>266</v>
      </c>
      <c r="E301" s="9" t="n">
        <v>32400</v>
      </c>
      <c r="F301" s="9" t="n">
        <v>32400</v>
      </c>
      <c r="G301" s="9" t="n">
        <f aca="false">IF(AND(ISNUMBER(E301),ISNUMBER(F301)),E301-F301,"No disponible")</f>
        <v>0</v>
      </c>
      <c r="H301" s="8" t="s">
        <v>1447</v>
      </c>
      <c r="I301" s="8" t="s">
        <v>56</v>
      </c>
      <c r="J301" s="8" t="s">
        <v>43</v>
      </c>
      <c r="K301" s="8" t="s">
        <v>44</v>
      </c>
      <c r="L301" s="8" t="s">
        <v>45</v>
      </c>
      <c r="M301" s="8" t="s">
        <v>6</v>
      </c>
      <c r="N301" s="8" t="s">
        <v>46</v>
      </c>
      <c r="O301" s="8" t="s">
        <v>1448</v>
      </c>
      <c r="P301" s="8" t="s">
        <v>1449</v>
      </c>
      <c r="Q301" s="8" t="s">
        <v>59</v>
      </c>
      <c r="R301" s="8" t="s">
        <v>50</v>
      </c>
    </row>
    <row r="302" customFormat="false" ht="32.8" hidden="false" customHeight="false" outlineLevel="0" collapsed="false">
      <c r="A302" s="8" t="s">
        <v>1444</v>
      </c>
      <c r="B302" s="8" t="s">
        <v>1445</v>
      </c>
      <c r="C302" s="8" t="s">
        <v>1450</v>
      </c>
      <c r="D302" s="8" t="s">
        <v>266</v>
      </c>
      <c r="E302" s="9" t="n">
        <v>80300</v>
      </c>
      <c r="F302" s="9" t="n">
        <v>80300</v>
      </c>
      <c r="G302" s="9" t="n">
        <f aca="false">IF(AND(ISNUMBER(E302),ISNUMBER(F302)),E302-F302,"No disponible")</f>
        <v>0</v>
      </c>
      <c r="H302" s="8" t="s">
        <v>1451</v>
      </c>
      <c r="I302" s="8" t="s">
        <v>56</v>
      </c>
      <c r="J302" s="8" t="s">
        <v>43</v>
      </c>
      <c r="K302" s="8" t="s">
        <v>190</v>
      </c>
      <c r="L302" s="8" t="s">
        <v>45</v>
      </c>
      <c r="M302" s="8" t="s">
        <v>6</v>
      </c>
      <c r="N302" s="8" t="s">
        <v>46</v>
      </c>
      <c r="O302" s="8" t="s">
        <v>1452</v>
      </c>
      <c r="P302" s="8" t="s">
        <v>1453</v>
      </c>
      <c r="Q302" s="8" t="s">
        <v>193</v>
      </c>
      <c r="R302" s="8" t="s">
        <v>50</v>
      </c>
    </row>
    <row r="303" customFormat="false" ht="32.8" hidden="false" customHeight="false" outlineLevel="0" collapsed="false">
      <c r="A303" s="8" t="s">
        <v>1444</v>
      </c>
      <c r="B303" s="8" t="s">
        <v>1445</v>
      </c>
      <c r="C303" s="8" t="s">
        <v>1454</v>
      </c>
      <c r="D303" s="8" t="s">
        <v>266</v>
      </c>
      <c r="E303" s="9" t="n">
        <v>47800</v>
      </c>
      <c r="F303" s="9" t="n">
        <v>47800</v>
      </c>
      <c r="G303" s="9" t="n">
        <f aca="false">IF(AND(ISNUMBER(E303),ISNUMBER(F303)),E303-F303,"No disponible")</f>
        <v>0</v>
      </c>
      <c r="H303" s="8" t="s">
        <v>1455</v>
      </c>
      <c r="I303" s="8" t="s">
        <v>56</v>
      </c>
      <c r="J303" s="8" t="s">
        <v>43</v>
      </c>
      <c r="K303" s="8" t="s">
        <v>190</v>
      </c>
      <c r="L303" s="8" t="s">
        <v>45</v>
      </c>
      <c r="M303" s="8" t="s">
        <v>6</v>
      </c>
      <c r="N303" s="8" t="s">
        <v>46</v>
      </c>
      <c r="O303" s="8" t="s">
        <v>1456</v>
      </c>
      <c r="P303" s="8" t="s">
        <v>1457</v>
      </c>
      <c r="Q303" s="8" t="s">
        <v>193</v>
      </c>
      <c r="R303" s="8" t="s">
        <v>50</v>
      </c>
    </row>
    <row r="304" customFormat="false" ht="32.8" hidden="false" customHeight="false" outlineLevel="0" collapsed="false">
      <c r="A304" s="8" t="s">
        <v>1444</v>
      </c>
      <c r="B304" s="8" t="s">
        <v>1445</v>
      </c>
      <c r="C304" s="8" t="s">
        <v>1458</v>
      </c>
      <c r="D304" s="8" t="s">
        <v>266</v>
      </c>
      <c r="E304" s="9" t="n">
        <v>53400</v>
      </c>
      <c r="F304" s="9" t="n">
        <v>2407950</v>
      </c>
      <c r="G304" s="9" t="n">
        <f aca="false">IF(AND(ISNUMBER(E304),ISNUMBER(F304)),E304-F304,"No disponible")</f>
        <v>-2354550</v>
      </c>
      <c r="H304" s="8" t="s">
        <v>1459</v>
      </c>
      <c r="I304" s="8" t="s">
        <v>56</v>
      </c>
      <c r="J304" s="8" t="s">
        <v>43</v>
      </c>
      <c r="K304" s="8" t="s">
        <v>81</v>
      </c>
      <c r="L304" s="8" t="s">
        <v>45</v>
      </c>
      <c r="M304" s="8" t="s">
        <v>82</v>
      </c>
      <c r="N304" s="8" t="s">
        <v>46</v>
      </c>
      <c r="O304" s="8" t="s">
        <v>1460</v>
      </c>
      <c r="P304" s="8" t="s">
        <v>1461</v>
      </c>
      <c r="Q304" s="8" t="s">
        <v>59</v>
      </c>
      <c r="R304" s="8" t="s">
        <v>50</v>
      </c>
    </row>
    <row r="305" customFormat="false" ht="32.8" hidden="false" customHeight="false" outlineLevel="0" collapsed="false">
      <c r="A305" s="8" t="s">
        <v>1444</v>
      </c>
      <c r="B305" s="8" t="s">
        <v>1445</v>
      </c>
      <c r="C305" s="8" t="s">
        <v>1462</v>
      </c>
      <c r="D305" s="8" t="s">
        <v>266</v>
      </c>
      <c r="E305" s="9" t="n">
        <v>856500</v>
      </c>
      <c r="F305" s="9" t="n">
        <v>856500</v>
      </c>
      <c r="G305" s="9" t="n">
        <f aca="false">IF(AND(ISNUMBER(E305),ISNUMBER(F305)),E305-F305,"No disponible")</f>
        <v>0</v>
      </c>
      <c r="H305" s="8" t="s">
        <v>1463</v>
      </c>
      <c r="I305" s="8" t="s">
        <v>56</v>
      </c>
      <c r="J305" s="8" t="s">
        <v>43</v>
      </c>
      <c r="K305" s="8" t="s">
        <v>190</v>
      </c>
      <c r="L305" s="8" t="s">
        <v>45</v>
      </c>
      <c r="M305" s="8" t="s">
        <v>6</v>
      </c>
      <c r="N305" s="8" t="s">
        <v>46</v>
      </c>
      <c r="O305" s="8" t="s">
        <v>1464</v>
      </c>
      <c r="P305" s="8" t="s">
        <v>1465</v>
      </c>
      <c r="Q305" s="8" t="s">
        <v>193</v>
      </c>
      <c r="R305" s="8" t="s">
        <v>50</v>
      </c>
    </row>
    <row r="306" customFormat="false" ht="22.35" hidden="false" customHeight="false" outlineLevel="0" collapsed="false">
      <c r="A306" s="8" t="s">
        <v>1444</v>
      </c>
      <c r="B306" s="8" t="s">
        <v>1445</v>
      </c>
      <c r="C306" s="8" t="s">
        <v>1466</v>
      </c>
      <c r="D306" s="8" t="s">
        <v>86</v>
      </c>
      <c r="E306" s="9" t="n">
        <v>120600</v>
      </c>
      <c r="F306" s="9" t="s">
        <v>87</v>
      </c>
      <c r="G306" s="9" t="str">
        <f aca="false">IF(AND(ISNUMBER(E306),ISNUMBER(F306)),E306-F306,"No disponible")</f>
        <v>No disponible</v>
      </c>
      <c r="H306" s="8" t="s">
        <v>86</v>
      </c>
      <c r="I306" s="8" t="s">
        <v>56</v>
      </c>
      <c r="J306" s="8" t="s">
        <v>87</v>
      </c>
      <c r="K306" s="8" t="s">
        <v>88</v>
      </c>
      <c r="L306" s="8" t="s">
        <v>89</v>
      </c>
      <c r="M306" s="8" t="s">
        <v>82</v>
      </c>
      <c r="N306" s="8" t="s">
        <v>46</v>
      </c>
      <c r="O306" s="8" t="s">
        <v>87</v>
      </c>
      <c r="P306" s="8"/>
      <c r="Q306" s="8" t="s">
        <v>87</v>
      </c>
      <c r="R306" s="8" t="s">
        <v>86</v>
      </c>
    </row>
    <row r="307" customFormat="false" ht="32.8" hidden="false" customHeight="false" outlineLevel="0" collapsed="false">
      <c r="A307" s="8" t="s">
        <v>1444</v>
      </c>
      <c r="B307" s="8" t="s">
        <v>1445</v>
      </c>
      <c r="C307" s="8" t="s">
        <v>1467</v>
      </c>
      <c r="D307" s="8" t="s">
        <v>1468</v>
      </c>
      <c r="E307" s="9" t="n">
        <v>199900</v>
      </c>
      <c r="F307" s="9" t="n">
        <v>199900</v>
      </c>
      <c r="G307" s="9" t="n">
        <f aca="false">IF(AND(ISNUMBER(E307),ISNUMBER(F307)),E307-F307,"No disponible")</f>
        <v>0</v>
      </c>
      <c r="H307" s="8" t="s">
        <v>1469</v>
      </c>
      <c r="I307" s="8" t="s">
        <v>56</v>
      </c>
      <c r="J307" s="8" t="s">
        <v>43</v>
      </c>
      <c r="K307" s="8" t="s">
        <v>190</v>
      </c>
      <c r="L307" s="8" t="s">
        <v>1470</v>
      </c>
      <c r="M307" s="8" t="s">
        <v>6</v>
      </c>
      <c r="N307" s="8" t="s">
        <v>46</v>
      </c>
      <c r="O307" s="8" t="s">
        <v>1471</v>
      </c>
      <c r="P307" s="8" t="s">
        <v>1472</v>
      </c>
      <c r="Q307" s="8" t="s">
        <v>193</v>
      </c>
      <c r="R307" s="8" t="s">
        <v>111</v>
      </c>
    </row>
    <row r="308" customFormat="false" ht="32.8" hidden="false" customHeight="false" outlineLevel="0" collapsed="false">
      <c r="A308" s="8" t="s">
        <v>1444</v>
      </c>
      <c r="B308" s="8" t="s">
        <v>1445</v>
      </c>
      <c r="C308" s="8" t="s">
        <v>1473</v>
      </c>
      <c r="D308" s="8" t="s">
        <v>266</v>
      </c>
      <c r="E308" s="9" t="n">
        <v>90686</v>
      </c>
      <c r="F308" s="9" t="n">
        <v>90686</v>
      </c>
      <c r="G308" s="9" t="n">
        <f aca="false">IF(AND(ISNUMBER(E308),ISNUMBER(F308)),E308-F308,"No disponible")</f>
        <v>0</v>
      </c>
      <c r="H308" s="8" t="s">
        <v>1474</v>
      </c>
      <c r="I308" s="8" t="s">
        <v>56</v>
      </c>
      <c r="J308" s="8" t="s">
        <v>43</v>
      </c>
      <c r="K308" s="8" t="s">
        <v>190</v>
      </c>
      <c r="L308" s="8" t="s">
        <v>45</v>
      </c>
      <c r="M308" s="8" t="s">
        <v>6</v>
      </c>
      <c r="N308" s="8" t="s">
        <v>46</v>
      </c>
      <c r="O308" s="8" t="s">
        <v>1475</v>
      </c>
      <c r="P308" s="8" t="s">
        <v>1476</v>
      </c>
      <c r="Q308" s="8" t="s">
        <v>193</v>
      </c>
      <c r="R308" s="8" t="s">
        <v>50</v>
      </c>
    </row>
    <row r="309" customFormat="false" ht="32.8" hidden="false" customHeight="false" outlineLevel="0" collapsed="false">
      <c r="A309" s="8" t="s">
        <v>1444</v>
      </c>
      <c r="B309" s="8" t="s">
        <v>1445</v>
      </c>
      <c r="C309" s="8" t="s">
        <v>1477</v>
      </c>
      <c r="D309" s="8" t="s">
        <v>266</v>
      </c>
      <c r="E309" s="9" t="n">
        <v>294500</v>
      </c>
      <c r="F309" s="9" t="n">
        <v>294500</v>
      </c>
      <c r="G309" s="9" t="n">
        <f aca="false">IF(AND(ISNUMBER(E309),ISNUMBER(F309)),E309-F309,"No disponible")</f>
        <v>0</v>
      </c>
      <c r="H309" s="8" t="s">
        <v>1478</v>
      </c>
      <c r="I309" s="8" t="s">
        <v>56</v>
      </c>
      <c r="J309" s="8" t="s">
        <v>43</v>
      </c>
      <c r="K309" s="8" t="s">
        <v>190</v>
      </c>
      <c r="L309" s="8" t="s">
        <v>45</v>
      </c>
      <c r="M309" s="8" t="s">
        <v>6</v>
      </c>
      <c r="N309" s="8" t="s">
        <v>46</v>
      </c>
      <c r="O309" s="8" t="s">
        <v>1479</v>
      </c>
      <c r="P309" s="8" t="s">
        <v>1480</v>
      </c>
      <c r="Q309" s="8" t="s">
        <v>193</v>
      </c>
      <c r="R309" s="8" t="s">
        <v>50</v>
      </c>
    </row>
    <row r="310" customFormat="false" ht="32.8" hidden="false" customHeight="false" outlineLevel="0" collapsed="false">
      <c r="A310" s="8" t="s">
        <v>1444</v>
      </c>
      <c r="B310" s="8" t="s">
        <v>1445</v>
      </c>
      <c r="C310" s="8" t="s">
        <v>1481</v>
      </c>
      <c r="D310" s="8" t="s">
        <v>266</v>
      </c>
      <c r="E310" s="9" t="n">
        <v>93800</v>
      </c>
      <c r="F310" s="9" t="n">
        <v>93799</v>
      </c>
      <c r="G310" s="9" t="n">
        <f aca="false">IF(AND(ISNUMBER(E310),ISNUMBER(F310)),E310-F310,"No disponible")</f>
        <v>1</v>
      </c>
      <c r="H310" s="8" t="s">
        <v>1482</v>
      </c>
      <c r="I310" s="8" t="s">
        <v>56</v>
      </c>
      <c r="J310" s="8" t="s">
        <v>43</v>
      </c>
      <c r="K310" s="8" t="s">
        <v>81</v>
      </c>
      <c r="L310" s="8" t="s">
        <v>45</v>
      </c>
      <c r="M310" s="8" t="s">
        <v>82</v>
      </c>
      <c r="N310" s="8" t="s">
        <v>46</v>
      </c>
      <c r="O310" s="8" t="s">
        <v>1483</v>
      </c>
      <c r="P310" s="8" t="s">
        <v>1484</v>
      </c>
      <c r="Q310" s="8" t="s">
        <v>59</v>
      </c>
      <c r="R310" s="8" t="s">
        <v>50</v>
      </c>
    </row>
    <row r="311" customFormat="false" ht="32.8" hidden="false" customHeight="false" outlineLevel="0" collapsed="false">
      <c r="A311" s="8" t="s">
        <v>1444</v>
      </c>
      <c r="B311" s="8" t="s">
        <v>1445</v>
      </c>
      <c r="C311" s="8" t="s">
        <v>1485</v>
      </c>
      <c r="D311" s="8" t="s">
        <v>266</v>
      </c>
      <c r="E311" s="9" t="n">
        <v>894950</v>
      </c>
      <c r="F311" s="9" t="n">
        <v>894950</v>
      </c>
      <c r="G311" s="9" t="n">
        <f aca="false">IF(AND(ISNUMBER(E311),ISNUMBER(F311)),E311-F311,"No disponible")</f>
        <v>0</v>
      </c>
      <c r="H311" s="8" t="s">
        <v>1486</v>
      </c>
      <c r="I311" s="8" t="s">
        <v>56</v>
      </c>
      <c r="J311" s="8" t="s">
        <v>43</v>
      </c>
      <c r="K311" s="8" t="s">
        <v>190</v>
      </c>
      <c r="L311" s="8" t="s">
        <v>45</v>
      </c>
      <c r="M311" s="8" t="s">
        <v>6</v>
      </c>
      <c r="N311" s="8" t="s">
        <v>46</v>
      </c>
      <c r="O311" s="8" t="s">
        <v>1487</v>
      </c>
      <c r="P311" s="8" t="s">
        <v>1488</v>
      </c>
      <c r="Q311" s="8" t="s">
        <v>193</v>
      </c>
      <c r="R311" s="8" t="s">
        <v>50</v>
      </c>
    </row>
    <row r="312" customFormat="false" ht="32.8" hidden="false" customHeight="false" outlineLevel="0" collapsed="false">
      <c r="A312" s="8" t="s">
        <v>1444</v>
      </c>
      <c r="B312" s="8" t="s">
        <v>1445</v>
      </c>
      <c r="C312" s="8" t="s">
        <v>1489</v>
      </c>
      <c r="D312" s="8" t="s">
        <v>266</v>
      </c>
      <c r="E312" s="9" t="n">
        <v>292400</v>
      </c>
      <c r="F312" s="9" t="n">
        <v>292400</v>
      </c>
      <c r="G312" s="9" t="n">
        <f aca="false">IF(AND(ISNUMBER(E312),ISNUMBER(F312)),E312-F312,"No disponible")</f>
        <v>0</v>
      </c>
      <c r="H312" s="8" t="s">
        <v>1490</v>
      </c>
      <c r="I312" s="8" t="s">
        <v>56</v>
      </c>
      <c r="J312" s="8" t="s">
        <v>43</v>
      </c>
      <c r="K312" s="8" t="s">
        <v>190</v>
      </c>
      <c r="L312" s="8" t="s">
        <v>45</v>
      </c>
      <c r="M312" s="8" t="s">
        <v>6</v>
      </c>
      <c r="N312" s="8" t="s">
        <v>46</v>
      </c>
      <c r="O312" s="8" t="s">
        <v>1491</v>
      </c>
      <c r="P312" s="8" t="s">
        <v>1492</v>
      </c>
      <c r="Q312" s="8" t="s">
        <v>193</v>
      </c>
      <c r="R312" s="8" t="s">
        <v>50</v>
      </c>
    </row>
    <row r="313" customFormat="false" ht="32.8" hidden="false" customHeight="false" outlineLevel="0" collapsed="false">
      <c r="A313" s="8" t="s">
        <v>1444</v>
      </c>
      <c r="B313" s="8" t="s">
        <v>1445</v>
      </c>
      <c r="C313" s="8" t="s">
        <v>1493</v>
      </c>
      <c r="D313" s="8" t="s">
        <v>266</v>
      </c>
      <c r="E313" s="9" t="n">
        <v>15900</v>
      </c>
      <c r="F313" s="9" t="n">
        <v>15900</v>
      </c>
      <c r="G313" s="9" t="n">
        <f aca="false">IF(AND(ISNUMBER(E313),ISNUMBER(F313)),E313-F313,"No disponible")</f>
        <v>0</v>
      </c>
      <c r="H313" s="8" t="s">
        <v>1494</v>
      </c>
      <c r="I313" s="8" t="s">
        <v>56</v>
      </c>
      <c r="J313" s="8" t="s">
        <v>43</v>
      </c>
      <c r="K313" s="8" t="s">
        <v>190</v>
      </c>
      <c r="L313" s="8" t="s">
        <v>45</v>
      </c>
      <c r="M313" s="8" t="s">
        <v>6</v>
      </c>
      <c r="N313" s="8" t="s">
        <v>46</v>
      </c>
      <c r="O313" s="8" t="s">
        <v>1495</v>
      </c>
      <c r="P313" s="8" t="s">
        <v>1496</v>
      </c>
      <c r="Q313" s="8" t="s">
        <v>193</v>
      </c>
      <c r="R313" s="8" t="s">
        <v>50</v>
      </c>
    </row>
    <row r="314" customFormat="false" ht="32.8" hidden="false" customHeight="false" outlineLevel="0" collapsed="false">
      <c r="A314" s="8" t="s">
        <v>1444</v>
      </c>
      <c r="B314" s="8" t="s">
        <v>1445</v>
      </c>
      <c r="C314" s="8" t="s">
        <v>1497</v>
      </c>
      <c r="D314" s="8" t="s">
        <v>266</v>
      </c>
      <c r="E314" s="9" t="n">
        <v>391600</v>
      </c>
      <c r="F314" s="9" t="n">
        <v>391600</v>
      </c>
      <c r="G314" s="9" t="n">
        <f aca="false">IF(AND(ISNUMBER(E314),ISNUMBER(F314)),E314-F314,"No disponible")</f>
        <v>0</v>
      </c>
      <c r="H314" s="8" t="s">
        <v>1498</v>
      </c>
      <c r="I314" s="8" t="s">
        <v>56</v>
      </c>
      <c r="J314" s="8" t="s">
        <v>43</v>
      </c>
      <c r="K314" s="8" t="s">
        <v>190</v>
      </c>
      <c r="L314" s="8" t="s">
        <v>45</v>
      </c>
      <c r="M314" s="8" t="s">
        <v>6</v>
      </c>
      <c r="N314" s="8" t="s">
        <v>46</v>
      </c>
      <c r="O314" s="8" t="s">
        <v>1499</v>
      </c>
      <c r="P314" s="8" t="s">
        <v>1500</v>
      </c>
      <c r="Q314" s="8" t="s">
        <v>193</v>
      </c>
      <c r="R314" s="8" t="s">
        <v>50</v>
      </c>
    </row>
    <row r="315" customFormat="false" ht="32.8" hidden="false" customHeight="false" outlineLevel="0" collapsed="false">
      <c r="A315" s="8" t="s">
        <v>1444</v>
      </c>
      <c r="B315" s="8" t="s">
        <v>1445</v>
      </c>
      <c r="C315" s="8" t="s">
        <v>1501</v>
      </c>
      <c r="D315" s="8" t="s">
        <v>266</v>
      </c>
      <c r="E315" s="9" t="n">
        <v>2407950</v>
      </c>
      <c r="F315" s="9" t="n">
        <v>2407950</v>
      </c>
      <c r="G315" s="9" t="n">
        <f aca="false">IF(AND(ISNUMBER(E315),ISNUMBER(F315)),E315-F315,"No disponible")</f>
        <v>0</v>
      </c>
      <c r="H315" s="8" t="s">
        <v>1459</v>
      </c>
      <c r="I315" s="8" t="s">
        <v>56</v>
      </c>
      <c r="J315" s="8" t="s">
        <v>43</v>
      </c>
      <c r="K315" s="8" t="s">
        <v>190</v>
      </c>
      <c r="L315" s="8" t="s">
        <v>45</v>
      </c>
      <c r="M315" s="8" t="s">
        <v>6</v>
      </c>
      <c r="N315" s="8" t="s">
        <v>46</v>
      </c>
      <c r="O315" s="8" t="s">
        <v>1460</v>
      </c>
      <c r="P315" s="8" t="s">
        <v>1461</v>
      </c>
      <c r="Q315" s="8" t="s">
        <v>193</v>
      </c>
      <c r="R315" s="8" t="s">
        <v>50</v>
      </c>
    </row>
    <row r="316" customFormat="false" ht="43.25" hidden="false" customHeight="false" outlineLevel="0" collapsed="false">
      <c r="A316" s="8" t="s">
        <v>1444</v>
      </c>
      <c r="B316" s="8" t="s">
        <v>1445</v>
      </c>
      <c r="C316" s="8" t="s">
        <v>1502</v>
      </c>
      <c r="D316" s="8" t="s">
        <v>266</v>
      </c>
      <c r="E316" s="9" t="n">
        <v>252700</v>
      </c>
      <c r="F316" s="9" t="n">
        <v>252700</v>
      </c>
      <c r="G316" s="9" t="n">
        <f aca="false">IF(AND(ISNUMBER(E316),ISNUMBER(F316)),E316-F316,"No disponible")</f>
        <v>0</v>
      </c>
      <c r="H316" s="8" t="s">
        <v>1503</v>
      </c>
      <c r="I316" s="8" t="s">
        <v>56</v>
      </c>
      <c r="J316" s="8" t="s">
        <v>43</v>
      </c>
      <c r="K316" s="8" t="s">
        <v>44</v>
      </c>
      <c r="L316" s="8" t="s">
        <v>45</v>
      </c>
      <c r="M316" s="8" t="s">
        <v>6</v>
      </c>
      <c r="N316" s="8" t="s">
        <v>46</v>
      </c>
      <c r="O316" s="8" t="s">
        <v>1504</v>
      </c>
      <c r="P316" s="8" t="s">
        <v>1505</v>
      </c>
      <c r="Q316" s="8" t="s">
        <v>59</v>
      </c>
      <c r="R316" s="8" t="s">
        <v>50</v>
      </c>
    </row>
    <row r="317" customFormat="false" ht="22.35" hidden="false" customHeight="false" outlineLevel="0" collapsed="false">
      <c r="A317" s="8" t="s">
        <v>1444</v>
      </c>
      <c r="B317" s="8" t="s">
        <v>1445</v>
      </c>
      <c r="C317" s="8" t="s">
        <v>1506</v>
      </c>
      <c r="D317" s="8" t="s">
        <v>86</v>
      </c>
      <c r="E317" s="9" t="n">
        <v>391600</v>
      </c>
      <c r="F317" s="9" t="s">
        <v>87</v>
      </c>
      <c r="G317" s="9" t="str">
        <f aca="false">IF(AND(ISNUMBER(E317),ISNUMBER(F317)),E317-F317,"No disponible")</f>
        <v>No disponible</v>
      </c>
      <c r="H317" s="8" t="s">
        <v>86</v>
      </c>
      <c r="I317" s="8" t="s">
        <v>65</v>
      </c>
      <c r="J317" s="8" t="s">
        <v>87</v>
      </c>
      <c r="K317" s="8" t="s">
        <v>88</v>
      </c>
      <c r="L317" s="8" t="s">
        <v>89</v>
      </c>
      <c r="M317" s="8" t="s">
        <v>82</v>
      </c>
      <c r="N317" s="8" t="s">
        <v>46</v>
      </c>
      <c r="O317" s="8" t="s">
        <v>87</v>
      </c>
      <c r="P317" s="8"/>
      <c r="Q317" s="8" t="s">
        <v>87</v>
      </c>
      <c r="R317" s="8" t="s">
        <v>86</v>
      </c>
    </row>
    <row r="318" customFormat="false" ht="22.35" hidden="false" customHeight="false" outlineLevel="0" collapsed="false">
      <c r="A318" s="8" t="s">
        <v>1444</v>
      </c>
      <c r="B318" s="8" t="s">
        <v>1445</v>
      </c>
      <c r="C318" s="8" t="s">
        <v>1507</v>
      </c>
      <c r="D318" s="8" t="s">
        <v>86</v>
      </c>
      <c r="E318" s="9" t="n">
        <v>104700</v>
      </c>
      <c r="F318" s="9" t="s">
        <v>87</v>
      </c>
      <c r="G318" s="9" t="str">
        <f aca="false">IF(AND(ISNUMBER(E318),ISNUMBER(F318)),E318-F318,"No disponible")</f>
        <v>No disponible</v>
      </c>
      <c r="H318" s="8" t="s">
        <v>86</v>
      </c>
      <c r="I318" s="8" t="s">
        <v>65</v>
      </c>
      <c r="J318" s="8" t="s">
        <v>87</v>
      </c>
      <c r="K318" s="8" t="s">
        <v>88</v>
      </c>
      <c r="L318" s="8" t="s">
        <v>89</v>
      </c>
      <c r="M318" s="8" t="s">
        <v>82</v>
      </c>
      <c r="N318" s="8" t="s">
        <v>46</v>
      </c>
      <c r="O318" s="8" t="s">
        <v>87</v>
      </c>
      <c r="P318" s="8"/>
      <c r="Q318" s="8" t="s">
        <v>87</v>
      </c>
      <c r="R318" s="8" t="s">
        <v>86</v>
      </c>
    </row>
    <row r="319" customFormat="false" ht="22.35" hidden="false" customHeight="false" outlineLevel="0" collapsed="false">
      <c r="A319" s="8" t="s">
        <v>1444</v>
      </c>
      <c r="B319" s="8" t="s">
        <v>1445</v>
      </c>
      <c r="C319" s="8" t="s">
        <v>1508</v>
      </c>
      <c r="D319" s="8" t="s">
        <v>86</v>
      </c>
      <c r="E319" s="9" t="n">
        <v>39900</v>
      </c>
      <c r="F319" s="9" t="s">
        <v>87</v>
      </c>
      <c r="G319" s="9" t="str">
        <f aca="false">IF(AND(ISNUMBER(E319),ISNUMBER(F319)),E319-F319,"No disponible")</f>
        <v>No disponible</v>
      </c>
      <c r="H319" s="8" t="s">
        <v>86</v>
      </c>
      <c r="I319" s="8" t="s">
        <v>65</v>
      </c>
      <c r="J319" s="8" t="s">
        <v>87</v>
      </c>
      <c r="K319" s="8" t="s">
        <v>88</v>
      </c>
      <c r="L319" s="8" t="s">
        <v>89</v>
      </c>
      <c r="M319" s="8" t="s">
        <v>82</v>
      </c>
      <c r="N319" s="8" t="s">
        <v>46</v>
      </c>
      <c r="O319" s="8" t="s">
        <v>87</v>
      </c>
      <c r="P319" s="8"/>
      <c r="Q319" s="8" t="s">
        <v>87</v>
      </c>
      <c r="R319" s="8" t="s">
        <v>86</v>
      </c>
    </row>
    <row r="320" customFormat="false" ht="85.05" hidden="false" customHeight="false" outlineLevel="0" collapsed="false">
      <c r="A320" s="8" t="s">
        <v>1509</v>
      </c>
      <c r="B320" s="8" t="s">
        <v>1510</v>
      </c>
      <c r="C320" s="8" t="s">
        <v>1511</v>
      </c>
      <c r="D320" s="8" t="s">
        <v>1512</v>
      </c>
      <c r="E320" s="9" t="n">
        <v>14542891.05</v>
      </c>
      <c r="F320" s="9" t="n">
        <v>14542891</v>
      </c>
      <c r="G320" s="9" t="n">
        <f aca="false">IF(AND(ISNUMBER(E320),ISNUMBER(F320)),E320-F320,"No disponible")</f>
        <v>0.0500000007450581</v>
      </c>
      <c r="H320" s="8" t="s">
        <v>1513</v>
      </c>
      <c r="I320" s="8" t="s">
        <v>56</v>
      </c>
      <c r="J320" s="8" t="s">
        <v>43</v>
      </c>
      <c r="K320" s="8" t="s">
        <v>114</v>
      </c>
      <c r="L320" s="8" t="s">
        <v>1514</v>
      </c>
      <c r="M320" s="8" t="s">
        <v>82</v>
      </c>
      <c r="N320" s="8" t="s">
        <v>46</v>
      </c>
      <c r="O320" s="8" t="s">
        <v>1515</v>
      </c>
      <c r="P320" s="8" t="s">
        <v>1516</v>
      </c>
      <c r="Q320" s="8" t="s">
        <v>59</v>
      </c>
      <c r="R320" s="8" t="s">
        <v>111</v>
      </c>
    </row>
    <row r="321" customFormat="false" ht="85.05" hidden="false" customHeight="false" outlineLevel="0" collapsed="false">
      <c r="A321" s="8" t="s">
        <v>1509</v>
      </c>
      <c r="B321" s="8" t="s">
        <v>1510</v>
      </c>
      <c r="C321" s="8" t="s">
        <v>1517</v>
      </c>
      <c r="D321" s="8" t="s">
        <v>1512</v>
      </c>
      <c r="E321" s="9" t="n">
        <v>8656670.82</v>
      </c>
      <c r="F321" s="9" t="n">
        <v>8656671</v>
      </c>
      <c r="G321" s="9" t="n">
        <f aca="false">IF(AND(ISNUMBER(E321),ISNUMBER(F321)),E321-F321,"No disponible")</f>
        <v>-0.179999999701977</v>
      </c>
      <c r="H321" s="8" t="s">
        <v>1518</v>
      </c>
      <c r="I321" s="8" t="s">
        <v>56</v>
      </c>
      <c r="J321" s="8" t="s">
        <v>43</v>
      </c>
      <c r="K321" s="8" t="s">
        <v>114</v>
      </c>
      <c r="L321" s="8" t="s">
        <v>1519</v>
      </c>
      <c r="M321" s="8" t="s">
        <v>82</v>
      </c>
      <c r="N321" s="8" t="s">
        <v>46</v>
      </c>
      <c r="O321" s="8" t="s">
        <v>1520</v>
      </c>
      <c r="P321" s="8" t="s">
        <v>1521</v>
      </c>
      <c r="Q321" s="8" t="s">
        <v>59</v>
      </c>
      <c r="R321" s="8" t="s">
        <v>111</v>
      </c>
    </row>
    <row r="322" customFormat="false" ht="43.25" hidden="false" customHeight="false" outlineLevel="0" collapsed="false">
      <c r="A322" s="8" t="s">
        <v>1522</v>
      </c>
      <c r="B322" s="8" t="s">
        <v>1523</v>
      </c>
      <c r="C322" s="8" t="s">
        <v>1524</v>
      </c>
      <c r="D322" s="8" t="s">
        <v>1036</v>
      </c>
      <c r="E322" s="9" t="n">
        <v>560799</v>
      </c>
      <c r="F322" s="9" t="n">
        <v>560799</v>
      </c>
      <c r="G322" s="9" t="n">
        <f aca="false">IF(AND(ISNUMBER(E322),ISNUMBER(F322)),E322-F322,"No disponible")</f>
        <v>0</v>
      </c>
      <c r="H322" s="8" t="s">
        <v>1525</v>
      </c>
      <c r="I322" s="8" t="s">
        <v>56</v>
      </c>
      <c r="J322" s="8" t="s">
        <v>43</v>
      </c>
      <c r="K322" s="8" t="s">
        <v>190</v>
      </c>
      <c r="L322" s="8" t="s">
        <v>45</v>
      </c>
      <c r="M322" s="8" t="s">
        <v>6</v>
      </c>
      <c r="N322" s="8" t="s">
        <v>46</v>
      </c>
      <c r="O322" s="8" t="s">
        <v>1526</v>
      </c>
      <c r="P322" s="8" t="s">
        <v>1527</v>
      </c>
      <c r="Q322" s="8" t="s">
        <v>193</v>
      </c>
      <c r="R322" s="8" t="s">
        <v>111</v>
      </c>
    </row>
    <row r="323" customFormat="false" ht="43.25" hidden="false" customHeight="false" outlineLevel="0" collapsed="false">
      <c r="A323" s="8" t="s">
        <v>1534</v>
      </c>
      <c r="B323" s="8" t="s">
        <v>1535</v>
      </c>
      <c r="C323" s="8" t="s">
        <v>1536</v>
      </c>
      <c r="D323" s="8" t="s">
        <v>127</v>
      </c>
      <c r="E323" s="9" t="n">
        <v>66000</v>
      </c>
      <c r="F323" s="9" t="n">
        <v>66000</v>
      </c>
      <c r="G323" s="9" t="n">
        <f aca="false">IF(AND(ISNUMBER(E323),ISNUMBER(F323)),E323-F323,"No disponible")</f>
        <v>0</v>
      </c>
      <c r="H323" s="8" t="s">
        <v>64</v>
      </c>
      <c r="I323" s="8" t="s">
        <v>56</v>
      </c>
      <c r="J323" s="8" t="s">
        <v>43</v>
      </c>
      <c r="K323" s="8" t="s">
        <v>44</v>
      </c>
      <c r="L323" s="8" t="s">
        <v>45</v>
      </c>
      <c r="M323" s="8" t="s">
        <v>6</v>
      </c>
      <c r="N323" s="8" t="s">
        <v>46</v>
      </c>
      <c r="O323" s="8" t="s">
        <v>1537</v>
      </c>
      <c r="P323" s="8" t="s">
        <v>1538</v>
      </c>
      <c r="Q323" s="8" t="s">
        <v>59</v>
      </c>
      <c r="R323" s="8" t="s">
        <v>50</v>
      </c>
    </row>
    <row r="324" customFormat="false" ht="43.25" hidden="false" customHeight="false" outlineLevel="0" collapsed="false">
      <c r="A324" s="8" t="s">
        <v>1534</v>
      </c>
      <c r="B324" s="8" t="s">
        <v>1535</v>
      </c>
      <c r="C324" s="8" t="s">
        <v>1539</v>
      </c>
      <c r="D324" s="8" t="s">
        <v>127</v>
      </c>
      <c r="E324" s="9" t="n">
        <v>20000</v>
      </c>
      <c r="F324" s="9" t="n">
        <v>20000</v>
      </c>
      <c r="G324" s="9" t="n">
        <f aca="false">IF(AND(ISNUMBER(E324),ISNUMBER(F324)),E324-F324,"No disponible")</f>
        <v>0</v>
      </c>
      <c r="H324" s="8" t="s">
        <v>64</v>
      </c>
      <c r="I324" s="8" t="s">
        <v>56</v>
      </c>
      <c r="J324" s="8" t="s">
        <v>43</v>
      </c>
      <c r="K324" s="8" t="s">
        <v>44</v>
      </c>
      <c r="L324" s="8" t="s">
        <v>45</v>
      </c>
      <c r="M324" s="8" t="s">
        <v>6</v>
      </c>
      <c r="N324" s="8" t="s">
        <v>46</v>
      </c>
      <c r="O324" s="8" t="s">
        <v>1540</v>
      </c>
      <c r="P324" s="8" t="s">
        <v>1541</v>
      </c>
      <c r="Q324" s="8" t="s">
        <v>59</v>
      </c>
      <c r="R324" s="8" t="s">
        <v>50</v>
      </c>
    </row>
    <row r="325" customFormat="false" ht="32.8" hidden="false" customHeight="false" outlineLevel="0" collapsed="false">
      <c r="A325" s="8" t="s">
        <v>1542</v>
      </c>
      <c r="B325" s="8" t="s">
        <v>1543</v>
      </c>
      <c r="C325" s="8" t="s">
        <v>1544</v>
      </c>
      <c r="D325" s="8" t="s">
        <v>127</v>
      </c>
      <c r="E325" s="9" t="n">
        <v>43820</v>
      </c>
      <c r="F325" s="9" t="n">
        <v>43820</v>
      </c>
      <c r="G325" s="9" t="n">
        <f aca="false">IF(AND(ISNUMBER(E325),ISNUMBER(F325)),E325-F325,"No disponible")</f>
        <v>0</v>
      </c>
      <c r="H325" s="8" t="s">
        <v>64</v>
      </c>
      <c r="I325" s="8" t="s">
        <v>56</v>
      </c>
      <c r="J325" s="8" t="s">
        <v>43</v>
      </c>
      <c r="K325" s="8" t="s">
        <v>190</v>
      </c>
      <c r="L325" s="8" t="s">
        <v>45</v>
      </c>
      <c r="M325" s="8" t="s">
        <v>6</v>
      </c>
      <c r="N325" s="8" t="s">
        <v>46</v>
      </c>
      <c r="O325" s="8" t="s">
        <v>1545</v>
      </c>
      <c r="P325" s="8" t="s">
        <v>1546</v>
      </c>
      <c r="Q325" s="8" t="s">
        <v>193</v>
      </c>
      <c r="R325" s="8" t="s">
        <v>50</v>
      </c>
    </row>
    <row r="326" customFormat="false" ht="32.8" hidden="false" customHeight="false" outlineLevel="0" collapsed="false">
      <c r="A326" s="8" t="s">
        <v>1542</v>
      </c>
      <c r="B326" s="8" t="s">
        <v>1543</v>
      </c>
      <c r="C326" s="8" t="s">
        <v>1547</v>
      </c>
      <c r="D326" s="8" t="s">
        <v>127</v>
      </c>
      <c r="E326" s="9" t="n">
        <v>639660</v>
      </c>
      <c r="F326" s="9" t="n">
        <v>639660</v>
      </c>
      <c r="G326" s="9" t="n">
        <f aca="false">IF(AND(ISNUMBER(E326),ISNUMBER(F326)),E326-F326,"No disponible")</f>
        <v>0</v>
      </c>
      <c r="H326" s="8" t="s">
        <v>64</v>
      </c>
      <c r="I326" s="8" t="s">
        <v>56</v>
      </c>
      <c r="J326" s="8" t="s">
        <v>43</v>
      </c>
      <c r="K326" s="8" t="s">
        <v>190</v>
      </c>
      <c r="L326" s="8" t="s">
        <v>45</v>
      </c>
      <c r="M326" s="8" t="s">
        <v>6</v>
      </c>
      <c r="N326" s="8" t="s">
        <v>46</v>
      </c>
      <c r="O326" s="8" t="s">
        <v>1548</v>
      </c>
      <c r="P326" s="8" t="s">
        <v>1549</v>
      </c>
      <c r="Q326" s="8" t="s">
        <v>193</v>
      </c>
      <c r="R326" s="8" t="s">
        <v>50</v>
      </c>
    </row>
    <row r="327" customFormat="false" ht="43.25" hidden="false" customHeight="false" outlineLevel="0" collapsed="false">
      <c r="A327" s="8" t="s">
        <v>1550</v>
      </c>
      <c r="B327" s="8" t="s">
        <v>1551</v>
      </c>
      <c r="C327" s="8" t="s">
        <v>1552</v>
      </c>
      <c r="D327" s="8" t="s">
        <v>266</v>
      </c>
      <c r="E327" s="9" t="n">
        <v>50000</v>
      </c>
      <c r="F327" s="9" t="n">
        <v>50000</v>
      </c>
      <c r="G327" s="9" t="n">
        <f aca="false">IF(AND(ISNUMBER(E327),ISNUMBER(F327)),E327-F327,"No disponible")</f>
        <v>0</v>
      </c>
      <c r="H327" s="8" t="s">
        <v>1553</v>
      </c>
      <c r="I327" s="8" t="s">
        <v>56</v>
      </c>
      <c r="J327" s="8" t="s">
        <v>43</v>
      </c>
      <c r="K327" s="8" t="s">
        <v>44</v>
      </c>
      <c r="L327" s="8" t="s">
        <v>45</v>
      </c>
      <c r="M327" s="8" t="s">
        <v>6</v>
      </c>
      <c r="N327" s="8" t="s">
        <v>46</v>
      </c>
      <c r="O327" s="8" t="s">
        <v>1554</v>
      </c>
      <c r="P327" s="8" t="s">
        <v>1555</v>
      </c>
      <c r="Q327" s="8" t="s">
        <v>59</v>
      </c>
      <c r="R327" s="8" t="s">
        <v>50</v>
      </c>
    </row>
    <row r="328" customFormat="false" ht="43.25" hidden="false" customHeight="false" outlineLevel="0" collapsed="false">
      <c r="A328" s="8" t="s">
        <v>1550</v>
      </c>
      <c r="B328" s="8" t="s">
        <v>1551</v>
      </c>
      <c r="C328" s="8" t="s">
        <v>1556</v>
      </c>
      <c r="D328" s="8" t="s">
        <v>266</v>
      </c>
      <c r="E328" s="9" t="n">
        <v>35000</v>
      </c>
      <c r="F328" s="9" t="n">
        <v>35000</v>
      </c>
      <c r="G328" s="9" t="n">
        <f aca="false">IF(AND(ISNUMBER(E328),ISNUMBER(F328)),E328-F328,"No disponible")</f>
        <v>0</v>
      </c>
      <c r="H328" s="8" t="s">
        <v>1557</v>
      </c>
      <c r="I328" s="8" t="s">
        <v>56</v>
      </c>
      <c r="J328" s="8" t="s">
        <v>43</v>
      </c>
      <c r="K328" s="8" t="s">
        <v>44</v>
      </c>
      <c r="L328" s="8" t="s">
        <v>45</v>
      </c>
      <c r="M328" s="8" t="s">
        <v>6</v>
      </c>
      <c r="N328" s="8" t="s">
        <v>46</v>
      </c>
      <c r="O328" s="8" t="s">
        <v>1558</v>
      </c>
      <c r="P328" s="8" t="s">
        <v>1559</v>
      </c>
      <c r="Q328" s="8" t="s">
        <v>59</v>
      </c>
      <c r="R328" s="8" t="s">
        <v>50</v>
      </c>
    </row>
    <row r="329" customFormat="false" ht="43.25" hidden="false" customHeight="false" outlineLevel="0" collapsed="false">
      <c r="A329" s="8" t="s">
        <v>1550</v>
      </c>
      <c r="B329" s="8" t="s">
        <v>1551</v>
      </c>
      <c r="C329" s="8" t="s">
        <v>1560</v>
      </c>
      <c r="D329" s="8" t="s">
        <v>266</v>
      </c>
      <c r="E329" s="9" t="n">
        <v>89000</v>
      </c>
      <c r="F329" s="9" t="n">
        <v>89000</v>
      </c>
      <c r="G329" s="9" t="n">
        <f aca="false">IF(AND(ISNUMBER(E329),ISNUMBER(F329)),E329-F329,"No disponible")</f>
        <v>0</v>
      </c>
      <c r="H329" s="8" t="s">
        <v>1561</v>
      </c>
      <c r="I329" s="8" t="s">
        <v>56</v>
      </c>
      <c r="J329" s="8" t="s">
        <v>43</v>
      </c>
      <c r="K329" s="8" t="s">
        <v>44</v>
      </c>
      <c r="L329" s="8" t="s">
        <v>45</v>
      </c>
      <c r="M329" s="8" t="s">
        <v>6</v>
      </c>
      <c r="N329" s="8" t="s">
        <v>46</v>
      </c>
      <c r="O329" s="8" t="s">
        <v>1562</v>
      </c>
      <c r="P329" s="8" t="s">
        <v>1563</v>
      </c>
      <c r="Q329" s="8" t="s">
        <v>59</v>
      </c>
      <c r="R329" s="8" t="s">
        <v>50</v>
      </c>
    </row>
    <row r="330" customFormat="false" ht="43.25" hidden="false" customHeight="false" outlineLevel="0" collapsed="false">
      <c r="A330" s="8" t="s">
        <v>1564</v>
      </c>
      <c r="B330" s="8" t="s">
        <v>1565</v>
      </c>
      <c r="C330" s="8" t="s">
        <v>1566</v>
      </c>
      <c r="D330" s="8" t="s">
        <v>63</v>
      </c>
      <c r="E330" s="9" t="n">
        <v>806247</v>
      </c>
      <c r="F330" s="9" t="n">
        <v>806247</v>
      </c>
      <c r="G330" s="9" t="n">
        <f aca="false">IF(AND(ISNUMBER(E330),ISNUMBER(F330)),E330-F330,"No disponible")</f>
        <v>0</v>
      </c>
      <c r="H330" s="8" t="s">
        <v>64</v>
      </c>
      <c r="I330" s="8" t="s">
        <v>56</v>
      </c>
      <c r="J330" s="8" t="s">
        <v>43</v>
      </c>
      <c r="K330" s="8" t="s">
        <v>44</v>
      </c>
      <c r="L330" s="8" t="s">
        <v>45</v>
      </c>
      <c r="M330" s="8" t="s">
        <v>6</v>
      </c>
      <c r="N330" s="8" t="s">
        <v>46</v>
      </c>
      <c r="O330" s="8" t="s">
        <v>1567</v>
      </c>
      <c r="P330" s="8" t="s">
        <v>1568</v>
      </c>
      <c r="Q330" s="8" t="s">
        <v>59</v>
      </c>
      <c r="R330" s="8" t="s">
        <v>50</v>
      </c>
    </row>
    <row r="331" customFormat="false" ht="43.25" hidden="false" customHeight="false" outlineLevel="0" collapsed="false">
      <c r="A331" s="8" t="s">
        <v>1564</v>
      </c>
      <c r="B331" s="8" t="s">
        <v>1565</v>
      </c>
      <c r="C331" s="8" t="s">
        <v>1569</v>
      </c>
      <c r="D331" s="8" t="s">
        <v>63</v>
      </c>
      <c r="E331" s="9" t="n">
        <v>725860</v>
      </c>
      <c r="F331" s="9" t="n">
        <v>725860</v>
      </c>
      <c r="G331" s="9" t="n">
        <f aca="false">IF(AND(ISNUMBER(E331),ISNUMBER(F331)),E331-F331,"No disponible")</f>
        <v>0</v>
      </c>
      <c r="H331" s="8" t="s">
        <v>64</v>
      </c>
      <c r="I331" s="8" t="s">
        <v>56</v>
      </c>
      <c r="J331" s="8" t="s">
        <v>43</v>
      </c>
      <c r="K331" s="8" t="s">
        <v>44</v>
      </c>
      <c r="L331" s="8" t="s">
        <v>45</v>
      </c>
      <c r="M331" s="8" t="s">
        <v>6</v>
      </c>
      <c r="N331" s="8" t="s">
        <v>46</v>
      </c>
      <c r="O331" s="8" t="s">
        <v>1570</v>
      </c>
      <c r="P331" s="8" t="s">
        <v>1571</v>
      </c>
      <c r="Q331" s="8" t="s">
        <v>59</v>
      </c>
      <c r="R331" s="8" t="s">
        <v>50</v>
      </c>
    </row>
    <row r="332" customFormat="false" ht="43.25" hidden="false" customHeight="false" outlineLevel="0" collapsed="false">
      <c r="A332" s="8" t="s">
        <v>1564</v>
      </c>
      <c r="B332" s="8" t="s">
        <v>1565</v>
      </c>
      <c r="C332" s="8" t="s">
        <v>1572</v>
      </c>
      <c r="D332" s="8" t="s">
        <v>63</v>
      </c>
      <c r="E332" s="9" t="n">
        <v>444843</v>
      </c>
      <c r="F332" s="9" t="n">
        <v>444843</v>
      </c>
      <c r="G332" s="9" t="n">
        <f aca="false">IF(AND(ISNUMBER(E332),ISNUMBER(F332)),E332-F332,"No disponible")</f>
        <v>0</v>
      </c>
      <c r="H332" s="8" t="s">
        <v>64</v>
      </c>
      <c r="I332" s="8" t="s">
        <v>56</v>
      </c>
      <c r="J332" s="8" t="s">
        <v>43</v>
      </c>
      <c r="K332" s="8" t="s">
        <v>44</v>
      </c>
      <c r="L332" s="8" t="s">
        <v>45</v>
      </c>
      <c r="M332" s="8" t="s">
        <v>6</v>
      </c>
      <c r="N332" s="8" t="s">
        <v>46</v>
      </c>
      <c r="O332" s="8" t="s">
        <v>1573</v>
      </c>
      <c r="P332" s="8" t="s">
        <v>1574</v>
      </c>
      <c r="Q332" s="8" t="s">
        <v>59</v>
      </c>
      <c r="R332" s="8" t="s">
        <v>50</v>
      </c>
    </row>
    <row r="333" customFormat="false" ht="43.25" hidden="false" customHeight="false" outlineLevel="0" collapsed="false">
      <c r="A333" s="8" t="s">
        <v>1564</v>
      </c>
      <c r="B333" s="8" t="s">
        <v>1565</v>
      </c>
      <c r="C333" s="8" t="s">
        <v>1575</v>
      </c>
      <c r="D333" s="8" t="s">
        <v>63</v>
      </c>
      <c r="E333" s="9" t="n">
        <v>483640</v>
      </c>
      <c r="F333" s="9" t="n">
        <v>483640</v>
      </c>
      <c r="G333" s="9" t="n">
        <f aca="false">IF(AND(ISNUMBER(E333),ISNUMBER(F333)),E333-F333,"No disponible")</f>
        <v>0</v>
      </c>
      <c r="H333" s="8" t="s">
        <v>64</v>
      </c>
      <c r="I333" s="8" t="s">
        <v>56</v>
      </c>
      <c r="J333" s="8" t="s">
        <v>43</v>
      </c>
      <c r="K333" s="8" t="s">
        <v>44</v>
      </c>
      <c r="L333" s="8" t="s">
        <v>45</v>
      </c>
      <c r="M333" s="8" t="s">
        <v>6</v>
      </c>
      <c r="N333" s="8" t="s">
        <v>46</v>
      </c>
      <c r="O333" s="8" t="s">
        <v>1576</v>
      </c>
      <c r="P333" s="8" t="s">
        <v>1577</v>
      </c>
      <c r="Q333" s="8" t="s">
        <v>59</v>
      </c>
      <c r="R333" s="8" t="s">
        <v>50</v>
      </c>
    </row>
    <row r="334" customFormat="false" ht="22.35" hidden="false" customHeight="false" outlineLevel="0" collapsed="false">
      <c r="A334" s="8" t="s">
        <v>1578</v>
      </c>
      <c r="B334" s="8" t="s">
        <v>1579</v>
      </c>
      <c r="C334" s="8" t="s">
        <v>1580</v>
      </c>
      <c r="D334" s="8" t="s">
        <v>86</v>
      </c>
      <c r="E334" s="9" t="n">
        <v>2800.07</v>
      </c>
      <c r="F334" s="9" t="s">
        <v>87</v>
      </c>
      <c r="G334" s="9" t="str">
        <f aca="false">IF(AND(ISNUMBER(E334),ISNUMBER(F334)),E334-F334,"No disponible")</f>
        <v>No disponible</v>
      </c>
      <c r="H334" s="8" t="s">
        <v>86</v>
      </c>
      <c r="I334" s="8" t="s">
        <v>56</v>
      </c>
      <c r="J334" s="8" t="s">
        <v>87</v>
      </c>
      <c r="K334" s="8" t="s">
        <v>88</v>
      </c>
      <c r="L334" s="8" t="s">
        <v>89</v>
      </c>
      <c r="M334" s="8" t="s">
        <v>82</v>
      </c>
      <c r="N334" s="8" t="s">
        <v>46</v>
      </c>
      <c r="O334" s="8" t="s">
        <v>87</v>
      </c>
      <c r="P334" s="8"/>
      <c r="Q334" s="8" t="s">
        <v>87</v>
      </c>
      <c r="R334" s="8" t="s">
        <v>86</v>
      </c>
    </row>
    <row r="335" customFormat="false" ht="43.25" hidden="false" customHeight="false" outlineLevel="0" collapsed="false">
      <c r="A335" s="8" t="s">
        <v>1581</v>
      </c>
      <c r="B335" s="8" t="s">
        <v>1582</v>
      </c>
      <c r="C335" s="8" t="s">
        <v>1583</v>
      </c>
      <c r="D335" s="8" t="s">
        <v>1584</v>
      </c>
      <c r="E335" s="9" t="n">
        <v>7500000</v>
      </c>
      <c r="F335" s="9" t="n">
        <v>7500000</v>
      </c>
      <c r="G335" s="9" t="n">
        <f aca="false">IF(AND(ISNUMBER(E335),ISNUMBER(F335)),E335-F335,"No disponible")</f>
        <v>0</v>
      </c>
      <c r="H335" s="8" t="s">
        <v>1585</v>
      </c>
      <c r="I335" s="8" t="s">
        <v>56</v>
      </c>
      <c r="J335" s="8" t="s">
        <v>43</v>
      </c>
      <c r="K335" s="8" t="s">
        <v>44</v>
      </c>
      <c r="L335" s="8" t="s">
        <v>45</v>
      </c>
      <c r="M335" s="8" t="s">
        <v>6</v>
      </c>
      <c r="N335" s="8" t="s">
        <v>46</v>
      </c>
      <c r="O335" s="8" t="s">
        <v>1586</v>
      </c>
      <c r="P335" s="8" t="s">
        <v>1587</v>
      </c>
      <c r="Q335" s="8" t="s">
        <v>59</v>
      </c>
      <c r="R335" s="8" t="s">
        <v>50</v>
      </c>
    </row>
    <row r="336" customFormat="false" ht="53.7" hidden="false" customHeight="false" outlineLevel="0" collapsed="false">
      <c r="A336" s="8" t="s">
        <v>1588</v>
      </c>
      <c r="B336" s="8" t="s">
        <v>1589</v>
      </c>
      <c r="C336" s="8" t="s">
        <v>1590</v>
      </c>
      <c r="D336" s="8" t="s">
        <v>1591</v>
      </c>
      <c r="E336" s="9" t="n">
        <v>690000</v>
      </c>
      <c r="F336" s="9" t="n">
        <v>690000</v>
      </c>
      <c r="G336" s="9" t="n">
        <f aca="false">IF(AND(ISNUMBER(E336),ISNUMBER(F336)),E336-F336,"No disponible")</f>
        <v>0</v>
      </c>
      <c r="H336" s="8" t="s">
        <v>1592</v>
      </c>
      <c r="I336" s="8" t="s">
        <v>56</v>
      </c>
      <c r="J336" s="8" t="s">
        <v>43</v>
      </c>
      <c r="K336" s="8" t="s">
        <v>44</v>
      </c>
      <c r="L336" s="8" t="s">
        <v>45</v>
      </c>
      <c r="M336" s="8" t="s">
        <v>6</v>
      </c>
      <c r="N336" s="8" t="s">
        <v>46</v>
      </c>
      <c r="O336" s="8" t="s">
        <v>1593</v>
      </c>
      <c r="P336" s="8" t="s">
        <v>1594</v>
      </c>
      <c r="Q336" s="8" t="s">
        <v>59</v>
      </c>
      <c r="R336" s="8" t="s">
        <v>50</v>
      </c>
    </row>
    <row r="337" customFormat="false" ht="43.25" hidden="false" customHeight="false" outlineLevel="0" collapsed="false">
      <c r="A337" s="8" t="s">
        <v>1588</v>
      </c>
      <c r="B337" s="8" t="s">
        <v>1589</v>
      </c>
      <c r="C337" s="8" t="s">
        <v>1595</v>
      </c>
      <c r="D337" s="8" t="s">
        <v>127</v>
      </c>
      <c r="E337" s="9" t="n">
        <v>303000</v>
      </c>
      <c r="F337" s="9" t="n">
        <v>303000</v>
      </c>
      <c r="G337" s="9" t="n">
        <f aca="false">IF(AND(ISNUMBER(E337),ISNUMBER(F337)),E337-F337,"No disponible")</f>
        <v>0</v>
      </c>
      <c r="H337" s="8" t="s">
        <v>64</v>
      </c>
      <c r="I337" s="8" t="s">
        <v>56</v>
      </c>
      <c r="J337" s="8" t="s">
        <v>43</v>
      </c>
      <c r="K337" s="8" t="s">
        <v>44</v>
      </c>
      <c r="L337" s="8" t="s">
        <v>45</v>
      </c>
      <c r="M337" s="8" t="s">
        <v>6</v>
      </c>
      <c r="N337" s="8" t="s">
        <v>46</v>
      </c>
      <c r="O337" s="8" t="s">
        <v>1596</v>
      </c>
      <c r="P337" s="8" t="s">
        <v>1597</v>
      </c>
      <c r="Q337" s="8" t="s">
        <v>59</v>
      </c>
      <c r="R337" s="8" t="s">
        <v>50</v>
      </c>
    </row>
    <row r="338" customFormat="false" ht="53.7" hidden="false" customHeight="false" outlineLevel="0" collapsed="false">
      <c r="A338" s="8" t="s">
        <v>1598</v>
      </c>
      <c r="B338" s="8" t="s">
        <v>1599</v>
      </c>
      <c r="C338" s="8" t="s">
        <v>1600</v>
      </c>
      <c r="D338" s="8" t="s">
        <v>428</v>
      </c>
      <c r="E338" s="9" t="n">
        <v>2241960</v>
      </c>
      <c r="F338" s="9" t="n">
        <v>2241960</v>
      </c>
      <c r="G338" s="9" t="n">
        <f aca="false">IF(AND(ISNUMBER(E338),ISNUMBER(F338)),E338-F338,"No disponible")</f>
        <v>0</v>
      </c>
      <c r="H338" s="8" t="s">
        <v>1601</v>
      </c>
      <c r="I338" s="8" t="s">
        <v>56</v>
      </c>
      <c r="J338" s="8" t="s">
        <v>43</v>
      </c>
      <c r="K338" s="8" t="s">
        <v>44</v>
      </c>
      <c r="L338" s="8" t="s">
        <v>45</v>
      </c>
      <c r="M338" s="8" t="s">
        <v>6</v>
      </c>
      <c r="N338" s="8" t="s">
        <v>46</v>
      </c>
      <c r="O338" s="8" t="s">
        <v>1602</v>
      </c>
      <c r="P338" s="8" t="s">
        <v>1603</v>
      </c>
      <c r="Q338" s="8" t="s">
        <v>59</v>
      </c>
      <c r="R338" s="8" t="s">
        <v>50</v>
      </c>
    </row>
    <row r="339" customFormat="false" ht="43.25" hidden="false" customHeight="false" outlineLevel="0" collapsed="false">
      <c r="A339" s="8" t="s">
        <v>1604</v>
      </c>
      <c r="B339" s="8" t="s">
        <v>1605</v>
      </c>
      <c r="C339" s="8" t="s">
        <v>1606</v>
      </c>
      <c r="D339" s="8" t="s">
        <v>127</v>
      </c>
      <c r="E339" s="9" t="n">
        <v>1735000</v>
      </c>
      <c r="F339" s="9" t="n">
        <v>1735000</v>
      </c>
      <c r="G339" s="9" t="n">
        <f aca="false">IF(AND(ISNUMBER(E339),ISNUMBER(F339)),E339-F339,"No disponible")</f>
        <v>0</v>
      </c>
      <c r="H339" s="8" t="s">
        <v>64</v>
      </c>
      <c r="I339" s="8" t="s">
        <v>42</v>
      </c>
      <c r="J339" s="8" t="s">
        <v>43</v>
      </c>
      <c r="K339" s="8" t="s">
        <v>44</v>
      </c>
      <c r="L339" s="8" t="s">
        <v>45</v>
      </c>
      <c r="M339" s="8" t="s">
        <v>6</v>
      </c>
      <c r="N339" s="8" t="s">
        <v>46</v>
      </c>
      <c r="O339" s="8" t="s">
        <v>1607</v>
      </c>
      <c r="P339" s="8" t="s">
        <v>1608</v>
      </c>
      <c r="Q339" s="8" t="s">
        <v>49</v>
      </c>
      <c r="R339" s="8" t="s">
        <v>50</v>
      </c>
    </row>
    <row r="340" customFormat="false" ht="43.25" hidden="false" customHeight="false" outlineLevel="0" collapsed="false">
      <c r="A340" s="8" t="s">
        <v>1604</v>
      </c>
      <c r="B340" s="8" t="s">
        <v>1605</v>
      </c>
      <c r="C340" s="8" t="s">
        <v>1609</v>
      </c>
      <c r="D340" s="8" t="s">
        <v>127</v>
      </c>
      <c r="E340" s="9" t="n">
        <v>1725000</v>
      </c>
      <c r="F340" s="9" t="n">
        <v>1725000</v>
      </c>
      <c r="G340" s="9" t="n">
        <f aca="false">IF(AND(ISNUMBER(E340),ISNUMBER(F340)),E340-F340,"No disponible")</f>
        <v>0</v>
      </c>
      <c r="H340" s="8" t="s">
        <v>64</v>
      </c>
      <c r="I340" s="8" t="s">
        <v>42</v>
      </c>
      <c r="J340" s="8" t="s">
        <v>43</v>
      </c>
      <c r="K340" s="8" t="s">
        <v>44</v>
      </c>
      <c r="L340" s="8" t="s">
        <v>45</v>
      </c>
      <c r="M340" s="8" t="s">
        <v>6</v>
      </c>
      <c r="N340" s="8" t="s">
        <v>46</v>
      </c>
      <c r="O340" s="8" t="s">
        <v>1610</v>
      </c>
      <c r="P340" s="8" t="s">
        <v>1611</v>
      </c>
      <c r="Q340" s="8" t="s">
        <v>59</v>
      </c>
      <c r="R340" s="8" t="s">
        <v>50</v>
      </c>
    </row>
    <row r="341" customFormat="false" ht="43.25" hidden="false" customHeight="false" outlineLevel="0" collapsed="false">
      <c r="A341" s="8" t="s">
        <v>1612</v>
      </c>
      <c r="B341" s="8" t="s">
        <v>1613</v>
      </c>
      <c r="C341" s="8" t="s">
        <v>1614</v>
      </c>
      <c r="D341" s="8" t="s">
        <v>127</v>
      </c>
      <c r="E341" s="9" t="n">
        <v>704700</v>
      </c>
      <c r="F341" s="9" t="n">
        <v>704700</v>
      </c>
      <c r="G341" s="9" t="n">
        <f aca="false">IF(AND(ISNUMBER(E341),ISNUMBER(F341)),E341-F341,"No disponible")</f>
        <v>0</v>
      </c>
      <c r="H341" s="8" t="s">
        <v>64</v>
      </c>
      <c r="I341" s="8" t="s">
        <v>56</v>
      </c>
      <c r="J341" s="8" t="s">
        <v>43</v>
      </c>
      <c r="K341" s="8" t="s">
        <v>44</v>
      </c>
      <c r="L341" s="8" t="s">
        <v>45</v>
      </c>
      <c r="M341" s="8" t="s">
        <v>6</v>
      </c>
      <c r="N341" s="8" t="s">
        <v>46</v>
      </c>
      <c r="O341" s="8" t="s">
        <v>1615</v>
      </c>
      <c r="P341" s="8" t="s">
        <v>1616</v>
      </c>
      <c r="Q341" s="8" t="s">
        <v>59</v>
      </c>
      <c r="R341" s="8" t="s">
        <v>50</v>
      </c>
    </row>
    <row r="342" customFormat="false" ht="32.8" hidden="false" customHeight="false" outlineLevel="0" collapsed="false">
      <c r="A342" s="8" t="s">
        <v>1617</v>
      </c>
      <c r="B342" s="8" t="s">
        <v>1618</v>
      </c>
      <c r="C342" s="8" t="s">
        <v>87</v>
      </c>
      <c r="D342" s="8" t="s">
        <v>1619</v>
      </c>
      <c r="E342" s="9" t="s">
        <v>87</v>
      </c>
      <c r="F342" s="9" t="n">
        <v>2988700.11</v>
      </c>
      <c r="G342" s="9" t="str">
        <f aca="false">IF(AND(ISNUMBER(E342),ISNUMBER(F342)),E342-F342,"No disponible")</f>
        <v>No disponible</v>
      </c>
      <c r="H342" s="8" t="s">
        <v>64</v>
      </c>
      <c r="I342" s="8" t="s">
        <v>87</v>
      </c>
      <c r="J342" s="8" t="s">
        <v>43</v>
      </c>
      <c r="K342" s="8" t="s">
        <v>1620</v>
      </c>
      <c r="L342" s="8" t="s">
        <v>1621</v>
      </c>
      <c r="M342" s="8" t="s">
        <v>82</v>
      </c>
      <c r="N342" s="8" t="s">
        <v>1622</v>
      </c>
      <c r="O342" s="8" t="s">
        <v>1623</v>
      </c>
      <c r="P342" s="8" t="s">
        <v>1624</v>
      </c>
      <c r="Q342" s="8" t="s">
        <v>86</v>
      </c>
      <c r="R342" s="8" t="s">
        <v>50</v>
      </c>
    </row>
    <row r="343" customFormat="false" ht="32.8" hidden="false" customHeight="false" outlineLevel="0" collapsed="false">
      <c r="A343" s="8" t="s">
        <v>1625</v>
      </c>
      <c r="B343" s="8" t="s">
        <v>1626</v>
      </c>
      <c r="C343" s="8" t="s">
        <v>87</v>
      </c>
      <c r="D343" s="8" t="s">
        <v>266</v>
      </c>
      <c r="E343" s="9" t="s">
        <v>87</v>
      </c>
      <c r="F343" s="9" t="n">
        <v>804628</v>
      </c>
      <c r="G343" s="9" t="str">
        <f aca="false">IF(AND(ISNUMBER(E343),ISNUMBER(F343)),E343-F343,"No disponible")</f>
        <v>No disponible</v>
      </c>
      <c r="H343" s="8" t="s">
        <v>1627</v>
      </c>
      <c r="I343" s="8" t="s">
        <v>87</v>
      </c>
      <c r="J343" s="8" t="s">
        <v>43</v>
      </c>
      <c r="K343" s="8" t="s">
        <v>1628</v>
      </c>
      <c r="L343" s="8" t="s">
        <v>1629</v>
      </c>
      <c r="M343" s="8" t="s">
        <v>82</v>
      </c>
      <c r="N343" s="8" t="s">
        <v>1622</v>
      </c>
      <c r="O343" s="8" t="s">
        <v>1630</v>
      </c>
      <c r="P343" s="8" t="s">
        <v>1631</v>
      </c>
      <c r="Q343" s="8" t="s">
        <v>86</v>
      </c>
      <c r="R343" s="8" t="s">
        <v>50</v>
      </c>
    </row>
    <row r="344" customFormat="false" ht="32.8" hidden="false" customHeight="false" outlineLevel="0" collapsed="false">
      <c r="A344" s="8" t="s">
        <v>1625</v>
      </c>
      <c r="B344" s="8" t="s">
        <v>1626</v>
      </c>
      <c r="C344" s="8" t="s">
        <v>87</v>
      </c>
      <c r="D344" s="8" t="s">
        <v>266</v>
      </c>
      <c r="E344" s="9" t="s">
        <v>87</v>
      </c>
      <c r="F344" s="9" t="n">
        <v>676158</v>
      </c>
      <c r="G344" s="9" t="str">
        <f aca="false">IF(AND(ISNUMBER(E344),ISNUMBER(F344)),E344-F344,"No disponible")</f>
        <v>No disponible</v>
      </c>
      <c r="H344" s="8" t="s">
        <v>1632</v>
      </c>
      <c r="I344" s="8" t="s">
        <v>87</v>
      </c>
      <c r="J344" s="8" t="s">
        <v>43</v>
      </c>
      <c r="K344" s="8" t="s">
        <v>1628</v>
      </c>
      <c r="L344" s="8" t="s">
        <v>1633</v>
      </c>
      <c r="M344" s="8" t="s">
        <v>82</v>
      </c>
      <c r="N344" s="8" t="s">
        <v>1622</v>
      </c>
      <c r="O344" s="8" t="s">
        <v>1634</v>
      </c>
      <c r="P344" s="8" t="s">
        <v>1635</v>
      </c>
      <c r="Q344" s="8" t="s">
        <v>86</v>
      </c>
      <c r="R344" s="8" t="s">
        <v>50</v>
      </c>
    </row>
    <row r="345" customFormat="false" ht="32.8" hidden="false" customHeight="false" outlineLevel="0" collapsed="false">
      <c r="A345" s="8" t="s">
        <v>1636</v>
      </c>
      <c r="B345" s="8" t="s">
        <v>1637</v>
      </c>
      <c r="C345" s="8" t="s">
        <v>87</v>
      </c>
      <c r="D345" s="8" t="s">
        <v>1638</v>
      </c>
      <c r="E345" s="9" t="s">
        <v>87</v>
      </c>
      <c r="F345" s="9" t="n">
        <v>66208</v>
      </c>
      <c r="G345" s="9" t="str">
        <f aca="false">IF(AND(ISNUMBER(E345),ISNUMBER(F345)),E345-F345,"No disponible")</f>
        <v>No disponible</v>
      </c>
      <c r="H345" s="8" t="s">
        <v>1639</v>
      </c>
      <c r="I345" s="8" t="s">
        <v>87</v>
      </c>
      <c r="J345" s="8" t="s">
        <v>43</v>
      </c>
      <c r="K345" s="8" t="s">
        <v>1628</v>
      </c>
      <c r="L345" s="8" t="s">
        <v>1640</v>
      </c>
      <c r="M345" s="8" t="s">
        <v>82</v>
      </c>
      <c r="N345" s="8" t="s">
        <v>1622</v>
      </c>
      <c r="O345" s="8" t="s">
        <v>1641</v>
      </c>
      <c r="P345" s="8" t="s">
        <v>1642</v>
      </c>
      <c r="Q345" s="8" t="s">
        <v>86</v>
      </c>
      <c r="R345" s="8" t="s">
        <v>50</v>
      </c>
    </row>
    <row r="346" customFormat="false" ht="32.8" hidden="false" customHeight="false" outlineLevel="0" collapsed="false">
      <c r="A346" s="8" t="s">
        <v>130</v>
      </c>
      <c r="B346" s="8" t="s">
        <v>131</v>
      </c>
      <c r="C346" s="8" t="s">
        <v>87</v>
      </c>
      <c r="D346" s="8" t="s">
        <v>133</v>
      </c>
      <c r="E346" s="9" t="s">
        <v>87</v>
      </c>
      <c r="F346" s="9" t="n">
        <v>1850000</v>
      </c>
      <c r="G346" s="9" t="str">
        <f aca="false">IF(AND(ISNUMBER(E346),ISNUMBER(F346)),E346-F346,"No disponible")</f>
        <v>No disponible</v>
      </c>
      <c r="H346" s="8" t="s">
        <v>134</v>
      </c>
      <c r="I346" s="8" t="s">
        <v>87</v>
      </c>
      <c r="J346" s="8" t="s">
        <v>43</v>
      </c>
      <c r="K346" s="8" t="s">
        <v>1628</v>
      </c>
      <c r="L346" s="8" t="s">
        <v>1643</v>
      </c>
      <c r="M346" s="8" t="s">
        <v>82</v>
      </c>
      <c r="N346" s="8" t="s">
        <v>1622</v>
      </c>
      <c r="O346" s="8" t="s">
        <v>1644</v>
      </c>
      <c r="P346" s="8" t="s">
        <v>1645</v>
      </c>
      <c r="Q346" s="8" t="s">
        <v>86</v>
      </c>
      <c r="R346" s="8" t="s">
        <v>111</v>
      </c>
    </row>
    <row r="347" customFormat="false" ht="32.8" hidden="false" customHeight="false" outlineLevel="0" collapsed="false">
      <c r="A347" s="8" t="s">
        <v>130</v>
      </c>
      <c r="B347" s="8" t="s">
        <v>131</v>
      </c>
      <c r="C347" s="8" t="s">
        <v>87</v>
      </c>
      <c r="D347" s="8" t="s">
        <v>133</v>
      </c>
      <c r="E347" s="9" t="s">
        <v>87</v>
      </c>
      <c r="F347" s="9" t="n">
        <v>1850000</v>
      </c>
      <c r="G347" s="9" t="str">
        <f aca="false">IF(AND(ISNUMBER(E347),ISNUMBER(F347)),E347-F347,"No disponible")</f>
        <v>No disponible</v>
      </c>
      <c r="H347" s="8" t="s">
        <v>134</v>
      </c>
      <c r="I347" s="8" t="s">
        <v>87</v>
      </c>
      <c r="J347" s="8" t="s">
        <v>43</v>
      </c>
      <c r="K347" s="8" t="s">
        <v>1628</v>
      </c>
      <c r="L347" s="8" t="s">
        <v>1643</v>
      </c>
      <c r="M347" s="8" t="s">
        <v>82</v>
      </c>
      <c r="N347" s="8" t="s">
        <v>1622</v>
      </c>
      <c r="O347" s="8" t="s">
        <v>1646</v>
      </c>
      <c r="P347" s="8" t="s">
        <v>1647</v>
      </c>
      <c r="Q347" s="8" t="s">
        <v>86</v>
      </c>
      <c r="R347" s="8" t="s">
        <v>111</v>
      </c>
    </row>
    <row r="348" customFormat="false" ht="32.8" hidden="false" customHeight="false" outlineLevel="0" collapsed="false">
      <c r="A348" s="8" t="s">
        <v>1648</v>
      </c>
      <c r="B348" s="8" t="s">
        <v>1649</v>
      </c>
      <c r="C348" s="8" t="s">
        <v>87</v>
      </c>
      <c r="D348" s="8" t="s">
        <v>1619</v>
      </c>
      <c r="E348" s="9" t="s">
        <v>87</v>
      </c>
      <c r="F348" s="9" t="n">
        <v>2000</v>
      </c>
      <c r="G348" s="9" t="str">
        <f aca="false">IF(AND(ISNUMBER(E348),ISNUMBER(F348)),E348-F348,"No disponible")</f>
        <v>No disponible</v>
      </c>
      <c r="H348" s="8" t="s">
        <v>64</v>
      </c>
      <c r="I348" s="8" t="s">
        <v>87</v>
      </c>
      <c r="J348" s="8" t="s">
        <v>43</v>
      </c>
      <c r="K348" s="8" t="s">
        <v>1620</v>
      </c>
      <c r="L348" s="8" t="s">
        <v>1621</v>
      </c>
      <c r="M348" s="8" t="s">
        <v>82</v>
      </c>
      <c r="N348" s="8" t="s">
        <v>1622</v>
      </c>
      <c r="O348" s="8" t="s">
        <v>1623</v>
      </c>
      <c r="P348" s="8" t="s">
        <v>1650</v>
      </c>
      <c r="Q348" s="8" t="s">
        <v>86</v>
      </c>
      <c r="R348" s="8" t="s">
        <v>50</v>
      </c>
    </row>
    <row r="349" customFormat="false" ht="32.8" hidden="false" customHeight="false" outlineLevel="0" collapsed="false">
      <c r="A349" s="8" t="s">
        <v>1648</v>
      </c>
      <c r="B349" s="8" t="s">
        <v>1649</v>
      </c>
      <c r="C349" s="8" t="s">
        <v>87</v>
      </c>
      <c r="D349" s="8" t="s">
        <v>1619</v>
      </c>
      <c r="E349" s="9" t="s">
        <v>87</v>
      </c>
      <c r="F349" s="9" t="n">
        <v>154679</v>
      </c>
      <c r="G349" s="9" t="str">
        <f aca="false">IF(AND(ISNUMBER(E349),ISNUMBER(F349)),E349-F349,"No disponible")</f>
        <v>No disponible</v>
      </c>
      <c r="H349" s="8" t="s">
        <v>64</v>
      </c>
      <c r="I349" s="8" t="s">
        <v>87</v>
      </c>
      <c r="J349" s="8" t="s">
        <v>43</v>
      </c>
      <c r="K349" s="8" t="s">
        <v>1628</v>
      </c>
      <c r="L349" s="8" t="s">
        <v>1651</v>
      </c>
      <c r="M349" s="8" t="s">
        <v>82</v>
      </c>
      <c r="N349" s="8" t="s">
        <v>1622</v>
      </c>
      <c r="O349" s="8" t="s">
        <v>1652</v>
      </c>
      <c r="P349" s="8" t="s">
        <v>1653</v>
      </c>
      <c r="Q349" s="8" t="s">
        <v>86</v>
      </c>
      <c r="R349" s="8" t="s">
        <v>50</v>
      </c>
    </row>
    <row r="350" customFormat="false" ht="32.8" hidden="false" customHeight="false" outlineLevel="0" collapsed="false">
      <c r="A350" s="8" t="s">
        <v>1654</v>
      </c>
      <c r="B350" s="8" t="s">
        <v>181</v>
      </c>
      <c r="C350" s="8" t="s">
        <v>87</v>
      </c>
      <c r="D350" s="8" t="s">
        <v>183</v>
      </c>
      <c r="E350" s="9" t="s">
        <v>87</v>
      </c>
      <c r="F350" s="9" t="n">
        <v>275000</v>
      </c>
      <c r="G350" s="9" t="str">
        <f aca="false">IF(AND(ISNUMBER(E350),ISNUMBER(F350)),E350-F350,"No disponible")</f>
        <v>No disponible</v>
      </c>
      <c r="H350" s="8" t="s">
        <v>184</v>
      </c>
      <c r="I350" s="8" t="s">
        <v>87</v>
      </c>
      <c r="J350" s="8" t="s">
        <v>43</v>
      </c>
      <c r="K350" s="8" t="s">
        <v>1628</v>
      </c>
      <c r="L350" s="8" t="s">
        <v>1655</v>
      </c>
      <c r="M350" s="8" t="s">
        <v>82</v>
      </c>
      <c r="N350" s="8" t="s">
        <v>1622</v>
      </c>
      <c r="O350" s="8" t="s">
        <v>1656</v>
      </c>
      <c r="P350" s="8" t="s">
        <v>1657</v>
      </c>
      <c r="Q350" s="8" t="s">
        <v>86</v>
      </c>
      <c r="R350" s="8" t="s">
        <v>111</v>
      </c>
    </row>
    <row r="351" customFormat="false" ht="32.8" hidden="false" customHeight="false" outlineLevel="0" collapsed="false">
      <c r="A351" s="8" t="s">
        <v>1654</v>
      </c>
      <c r="B351" s="8" t="s">
        <v>181</v>
      </c>
      <c r="C351" s="8" t="s">
        <v>87</v>
      </c>
      <c r="D351" s="8" t="s">
        <v>183</v>
      </c>
      <c r="E351" s="9" t="s">
        <v>87</v>
      </c>
      <c r="F351" s="9" t="n">
        <v>275000</v>
      </c>
      <c r="G351" s="9" t="str">
        <f aca="false">IF(AND(ISNUMBER(E351),ISNUMBER(F351)),E351-F351,"No disponible")</f>
        <v>No disponible</v>
      </c>
      <c r="H351" s="8" t="s">
        <v>184</v>
      </c>
      <c r="I351" s="8" t="s">
        <v>87</v>
      </c>
      <c r="J351" s="8" t="s">
        <v>43</v>
      </c>
      <c r="K351" s="8" t="s">
        <v>1628</v>
      </c>
      <c r="L351" s="8" t="s">
        <v>1658</v>
      </c>
      <c r="M351" s="8" t="s">
        <v>82</v>
      </c>
      <c r="N351" s="8" t="s">
        <v>1622</v>
      </c>
      <c r="O351" s="8" t="s">
        <v>1659</v>
      </c>
      <c r="P351" s="8" t="s">
        <v>1660</v>
      </c>
      <c r="Q351" s="8" t="s">
        <v>86</v>
      </c>
      <c r="R351" s="8" t="s">
        <v>111</v>
      </c>
    </row>
    <row r="352" customFormat="false" ht="32.8" hidden="false" customHeight="false" outlineLevel="0" collapsed="false">
      <c r="A352" s="8" t="s">
        <v>1661</v>
      </c>
      <c r="B352" s="8" t="s">
        <v>91</v>
      </c>
      <c r="C352" s="8" t="s">
        <v>87</v>
      </c>
      <c r="D352" s="8" t="s">
        <v>127</v>
      </c>
      <c r="E352" s="9" t="s">
        <v>87</v>
      </c>
      <c r="F352" s="9" t="n">
        <v>159800</v>
      </c>
      <c r="G352" s="9" t="str">
        <f aca="false">IF(AND(ISNUMBER(E352),ISNUMBER(F352)),E352-F352,"No disponible")</f>
        <v>No disponible</v>
      </c>
      <c r="H352" s="8" t="s">
        <v>64</v>
      </c>
      <c r="I352" s="8" t="s">
        <v>87</v>
      </c>
      <c r="J352" s="8" t="s">
        <v>43</v>
      </c>
      <c r="K352" s="8" t="s">
        <v>1628</v>
      </c>
      <c r="L352" s="8" t="s">
        <v>1662</v>
      </c>
      <c r="M352" s="8" t="s">
        <v>82</v>
      </c>
      <c r="N352" s="8" t="s">
        <v>1622</v>
      </c>
      <c r="O352" s="8" t="s">
        <v>1663</v>
      </c>
      <c r="P352" s="8" t="s">
        <v>1664</v>
      </c>
      <c r="Q352" s="8" t="s">
        <v>86</v>
      </c>
      <c r="R352" s="8" t="s">
        <v>50</v>
      </c>
    </row>
    <row r="353" customFormat="false" ht="32.8" hidden="false" customHeight="false" outlineLevel="0" collapsed="false">
      <c r="A353" s="8" t="s">
        <v>1665</v>
      </c>
      <c r="B353" s="8" t="s">
        <v>1666</v>
      </c>
      <c r="C353" s="8" t="s">
        <v>87</v>
      </c>
      <c r="D353" s="8" t="s">
        <v>1619</v>
      </c>
      <c r="E353" s="9" t="s">
        <v>87</v>
      </c>
      <c r="F353" s="9" t="n">
        <v>7920000</v>
      </c>
      <c r="G353" s="9" t="str">
        <f aca="false">IF(AND(ISNUMBER(E353),ISNUMBER(F353)),E353-F353,"No disponible")</f>
        <v>No disponible</v>
      </c>
      <c r="H353" s="8" t="s">
        <v>64</v>
      </c>
      <c r="I353" s="8" t="s">
        <v>87</v>
      </c>
      <c r="J353" s="8" t="s">
        <v>43</v>
      </c>
      <c r="K353" s="8" t="s">
        <v>1620</v>
      </c>
      <c r="L353" s="8" t="s">
        <v>1621</v>
      </c>
      <c r="M353" s="8" t="s">
        <v>82</v>
      </c>
      <c r="N353" s="8" t="s">
        <v>1622</v>
      </c>
      <c r="O353" s="8" t="s">
        <v>1623</v>
      </c>
      <c r="P353" s="8" t="s">
        <v>1667</v>
      </c>
      <c r="Q353" s="8" t="s">
        <v>86</v>
      </c>
      <c r="R353" s="8" t="s">
        <v>50</v>
      </c>
    </row>
    <row r="354" customFormat="false" ht="32.8" hidden="false" customHeight="false" outlineLevel="0" collapsed="false">
      <c r="A354" s="8" t="s">
        <v>1668</v>
      </c>
      <c r="B354" s="8" t="s">
        <v>1669</v>
      </c>
      <c r="C354" s="8" t="s">
        <v>87</v>
      </c>
      <c r="D354" s="8" t="s">
        <v>1670</v>
      </c>
      <c r="E354" s="9" t="s">
        <v>87</v>
      </c>
      <c r="F354" s="9" t="n">
        <v>79942</v>
      </c>
      <c r="G354" s="9" t="str">
        <f aca="false">IF(AND(ISNUMBER(E354),ISNUMBER(F354)),E354-F354,"No disponible")</f>
        <v>No disponible</v>
      </c>
      <c r="H354" s="8" t="s">
        <v>1671</v>
      </c>
      <c r="I354" s="8" t="s">
        <v>87</v>
      </c>
      <c r="J354" s="8" t="s">
        <v>43</v>
      </c>
      <c r="K354" s="8" t="s">
        <v>1628</v>
      </c>
      <c r="L354" s="8" t="s">
        <v>1672</v>
      </c>
      <c r="M354" s="8" t="s">
        <v>82</v>
      </c>
      <c r="N354" s="8" t="s">
        <v>1622</v>
      </c>
      <c r="O354" s="8" t="s">
        <v>1673</v>
      </c>
      <c r="P354" s="8" t="s">
        <v>1674</v>
      </c>
      <c r="Q354" s="8" t="s">
        <v>86</v>
      </c>
      <c r="R354" s="8" t="s">
        <v>111</v>
      </c>
    </row>
    <row r="355" customFormat="false" ht="32.8" hidden="false" customHeight="false" outlineLevel="0" collapsed="false">
      <c r="A355" s="8" t="s">
        <v>1668</v>
      </c>
      <c r="B355" s="8" t="s">
        <v>1669</v>
      </c>
      <c r="C355" s="8" t="s">
        <v>87</v>
      </c>
      <c r="D355" s="8" t="s">
        <v>1670</v>
      </c>
      <c r="E355" s="9" t="s">
        <v>87</v>
      </c>
      <c r="F355" s="9" t="n">
        <v>233000</v>
      </c>
      <c r="G355" s="9" t="str">
        <f aca="false">IF(AND(ISNUMBER(E355),ISNUMBER(F355)),E355-F355,"No disponible")</f>
        <v>No disponible</v>
      </c>
      <c r="H355" s="8" t="s">
        <v>1675</v>
      </c>
      <c r="I355" s="8" t="s">
        <v>87</v>
      </c>
      <c r="J355" s="8" t="s">
        <v>43</v>
      </c>
      <c r="K355" s="8" t="s">
        <v>1628</v>
      </c>
      <c r="L355" s="8" t="s">
        <v>1672</v>
      </c>
      <c r="M355" s="8" t="s">
        <v>82</v>
      </c>
      <c r="N355" s="8" t="s">
        <v>1622</v>
      </c>
      <c r="O355" s="8" t="s">
        <v>1676</v>
      </c>
      <c r="P355" s="8" t="s">
        <v>1677</v>
      </c>
      <c r="Q355" s="8" t="s">
        <v>86</v>
      </c>
      <c r="R355" s="8" t="s">
        <v>111</v>
      </c>
    </row>
    <row r="356" customFormat="false" ht="32.8" hidden="false" customHeight="false" outlineLevel="0" collapsed="false">
      <c r="A356" s="8" t="s">
        <v>1668</v>
      </c>
      <c r="B356" s="8" t="s">
        <v>1669</v>
      </c>
      <c r="C356" s="8" t="s">
        <v>87</v>
      </c>
      <c r="D356" s="8" t="s">
        <v>1670</v>
      </c>
      <c r="E356" s="9" t="s">
        <v>87</v>
      </c>
      <c r="F356" s="9" t="n">
        <v>114100</v>
      </c>
      <c r="G356" s="9" t="str">
        <f aca="false">IF(AND(ISNUMBER(E356),ISNUMBER(F356)),E356-F356,"No disponible")</f>
        <v>No disponible</v>
      </c>
      <c r="H356" s="8" t="s">
        <v>1678</v>
      </c>
      <c r="I356" s="8" t="s">
        <v>87</v>
      </c>
      <c r="J356" s="8" t="s">
        <v>43</v>
      </c>
      <c r="K356" s="8" t="s">
        <v>1628</v>
      </c>
      <c r="L356" s="8" t="s">
        <v>1679</v>
      </c>
      <c r="M356" s="8" t="s">
        <v>82</v>
      </c>
      <c r="N356" s="8" t="s">
        <v>1622</v>
      </c>
      <c r="O356" s="8" t="s">
        <v>1680</v>
      </c>
      <c r="P356" s="8" t="s">
        <v>1681</v>
      </c>
      <c r="Q356" s="8" t="s">
        <v>86</v>
      </c>
      <c r="R356" s="8" t="s">
        <v>111</v>
      </c>
    </row>
    <row r="357" customFormat="false" ht="32.8" hidden="false" customHeight="false" outlineLevel="0" collapsed="false">
      <c r="A357" s="8" t="s">
        <v>276</v>
      </c>
      <c r="B357" s="8" t="s">
        <v>277</v>
      </c>
      <c r="C357" s="8" t="s">
        <v>87</v>
      </c>
      <c r="D357" s="8" t="s">
        <v>127</v>
      </c>
      <c r="E357" s="9" t="s">
        <v>87</v>
      </c>
      <c r="F357" s="9" t="n">
        <v>3561323</v>
      </c>
      <c r="G357" s="9" t="str">
        <f aca="false">IF(AND(ISNUMBER(E357),ISNUMBER(F357)),E357-F357,"No disponible")</f>
        <v>No disponible</v>
      </c>
      <c r="H357" s="8" t="s">
        <v>64</v>
      </c>
      <c r="I357" s="8" t="s">
        <v>87</v>
      </c>
      <c r="J357" s="8" t="s">
        <v>43</v>
      </c>
      <c r="K357" s="8" t="s">
        <v>1628</v>
      </c>
      <c r="L357" s="8" t="s">
        <v>1682</v>
      </c>
      <c r="M357" s="8" t="s">
        <v>82</v>
      </c>
      <c r="N357" s="8" t="s">
        <v>1622</v>
      </c>
      <c r="O357" s="8" t="s">
        <v>1683</v>
      </c>
      <c r="P357" s="8" t="s">
        <v>1684</v>
      </c>
      <c r="Q357" s="8" t="s">
        <v>86</v>
      </c>
      <c r="R357" s="8" t="s">
        <v>50</v>
      </c>
    </row>
    <row r="358" customFormat="false" ht="32.8" hidden="false" customHeight="false" outlineLevel="0" collapsed="false">
      <c r="A358" s="8" t="s">
        <v>276</v>
      </c>
      <c r="B358" s="8" t="s">
        <v>277</v>
      </c>
      <c r="C358" s="8" t="s">
        <v>87</v>
      </c>
      <c r="D358" s="8" t="s">
        <v>127</v>
      </c>
      <c r="E358" s="9" t="s">
        <v>87</v>
      </c>
      <c r="F358" s="9" t="n">
        <v>7190279</v>
      </c>
      <c r="G358" s="9" t="str">
        <f aca="false">IF(AND(ISNUMBER(E358),ISNUMBER(F358)),E358-F358,"No disponible")</f>
        <v>No disponible</v>
      </c>
      <c r="H358" s="8" t="s">
        <v>64</v>
      </c>
      <c r="I358" s="8" t="s">
        <v>87</v>
      </c>
      <c r="J358" s="8" t="s">
        <v>43</v>
      </c>
      <c r="K358" s="8" t="s">
        <v>1628</v>
      </c>
      <c r="L358" s="8" t="s">
        <v>1685</v>
      </c>
      <c r="M358" s="8" t="s">
        <v>82</v>
      </c>
      <c r="N358" s="8" t="s">
        <v>1622</v>
      </c>
      <c r="O358" s="8" t="s">
        <v>1686</v>
      </c>
      <c r="P358" s="8" t="s">
        <v>1687</v>
      </c>
      <c r="Q358" s="8" t="s">
        <v>86</v>
      </c>
      <c r="R358" s="8" t="s">
        <v>50</v>
      </c>
    </row>
    <row r="359" customFormat="false" ht="32.8" hidden="false" customHeight="false" outlineLevel="0" collapsed="false">
      <c r="A359" s="8" t="s">
        <v>296</v>
      </c>
      <c r="B359" s="8" t="s">
        <v>297</v>
      </c>
      <c r="C359" s="8" t="s">
        <v>87</v>
      </c>
      <c r="D359" s="8" t="s">
        <v>127</v>
      </c>
      <c r="E359" s="9" t="s">
        <v>87</v>
      </c>
      <c r="F359" s="9" t="n">
        <v>28000</v>
      </c>
      <c r="G359" s="9" t="str">
        <f aca="false">IF(AND(ISNUMBER(E359),ISNUMBER(F359)),E359-F359,"No disponible")</f>
        <v>No disponible</v>
      </c>
      <c r="H359" s="8" t="s">
        <v>64</v>
      </c>
      <c r="I359" s="8" t="s">
        <v>87</v>
      </c>
      <c r="J359" s="8" t="s">
        <v>43</v>
      </c>
      <c r="K359" s="8" t="s">
        <v>1628</v>
      </c>
      <c r="L359" s="8" t="s">
        <v>1688</v>
      </c>
      <c r="M359" s="8" t="s">
        <v>82</v>
      </c>
      <c r="N359" s="8" t="s">
        <v>1622</v>
      </c>
      <c r="O359" s="8" t="s">
        <v>299</v>
      </c>
      <c r="P359" s="8" t="s">
        <v>300</v>
      </c>
      <c r="Q359" s="8" t="s">
        <v>86</v>
      </c>
      <c r="R359" s="8" t="s">
        <v>50</v>
      </c>
    </row>
    <row r="360" customFormat="false" ht="32.8" hidden="false" customHeight="false" outlineLevel="0" collapsed="false">
      <c r="A360" s="8" t="s">
        <v>1689</v>
      </c>
      <c r="B360" s="8" t="s">
        <v>403</v>
      </c>
      <c r="C360" s="8" t="s">
        <v>87</v>
      </c>
      <c r="D360" s="8" t="s">
        <v>127</v>
      </c>
      <c r="E360" s="9" t="s">
        <v>87</v>
      </c>
      <c r="F360" s="9" t="n">
        <v>96900</v>
      </c>
      <c r="G360" s="9" t="str">
        <f aca="false">IF(AND(ISNUMBER(E360),ISNUMBER(F360)),E360-F360,"No disponible")</f>
        <v>No disponible</v>
      </c>
      <c r="H360" s="8" t="s">
        <v>64</v>
      </c>
      <c r="I360" s="8" t="s">
        <v>87</v>
      </c>
      <c r="J360" s="8" t="s">
        <v>43</v>
      </c>
      <c r="K360" s="8" t="s">
        <v>1628</v>
      </c>
      <c r="L360" s="8" t="s">
        <v>1690</v>
      </c>
      <c r="M360" s="8" t="s">
        <v>82</v>
      </c>
      <c r="N360" s="8" t="s">
        <v>1622</v>
      </c>
      <c r="O360" s="8" t="s">
        <v>405</v>
      </c>
      <c r="P360" s="8" t="s">
        <v>406</v>
      </c>
      <c r="Q360" s="8" t="s">
        <v>86</v>
      </c>
      <c r="R360" s="8" t="s">
        <v>50</v>
      </c>
    </row>
    <row r="361" customFormat="false" ht="32.8" hidden="false" customHeight="false" outlineLevel="0" collapsed="false">
      <c r="A361" s="8" t="s">
        <v>1689</v>
      </c>
      <c r="B361" s="8" t="s">
        <v>403</v>
      </c>
      <c r="C361" s="8" t="s">
        <v>87</v>
      </c>
      <c r="D361" s="8" t="s">
        <v>127</v>
      </c>
      <c r="E361" s="9" t="s">
        <v>87</v>
      </c>
      <c r="F361" s="9" t="n">
        <v>98900</v>
      </c>
      <c r="G361" s="9" t="str">
        <f aca="false">IF(AND(ISNUMBER(E361),ISNUMBER(F361)),E361-F361,"No disponible")</f>
        <v>No disponible</v>
      </c>
      <c r="H361" s="8" t="s">
        <v>64</v>
      </c>
      <c r="I361" s="8" t="s">
        <v>87</v>
      </c>
      <c r="J361" s="8" t="s">
        <v>43</v>
      </c>
      <c r="K361" s="8" t="s">
        <v>1628</v>
      </c>
      <c r="L361" s="8" t="s">
        <v>1691</v>
      </c>
      <c r="M361" s="8" t="s">
        <v>82</v>
      </c>
      <c r="N361" s="8" t="s">
        <v>1622</v>
      </c>
      <c r="O361" s="8" t="s">
        <v>408</v>
      </c>
      <c r="P361" s="8" t="s">
        <v>409</v>
      </c>
      <c r="Q361" s="8" t="s">
        <v>86</v>
      </c>
      <c r="R361" s="8" t="s">
        <v>50</v>
      </c>
    </row>
    <row r="362" customFormat="false" ht="32.8" hidden="false" customHeight="false" outlineLevel="0" collapsed="false">
      <c r="A362" s="8" t="s">
        <v>1692</v>
      </c>
      <c r="B362" s="8" t="s">
        <v>1693</v>
      </c>
      <c r="C362" s="8" t="s">
        <v>87</v>
      </c>
      <c r="D362" s="8" t="s">
        <v>127</v>
      </c>
      <c r="E362" s="9" t="s">
        <v>87</v>
      </c>
      <c r="F362" s="9" t="n">
        <v>39600</v>
      </c>
      <c r="G362" s="9" t="str">
        <f aca="false">IF(AND(ISNUMBER(E362),ISNUMBER(F362)),E362-F362,"No disponible")</f>
        <v>No disponible</v>
      </c>
      <c r="H362" s="8" t="s">
        <v>64</v>
      </c>
      <c r="I362" s="8" t="s">
        <v>87</v>
      </c>
      <c r="J362" s="8" t="s">
        <v>43</v>
      </c>
      <c r="K362" s="8" t="s">
        <v>1628</v>
      </c>
      <c r="L362" s="8" t="s">
        <v>1694</v>
      </c>
      <c r="M362" s="8" t="s">
        <v>82</v>
      </c>
      <c r="N362" s="8" t="s">
        <v>1622</v>
      </c>
      <c r="O362" s="8" t="s">
        <v>1695</v>
      </c>
      <c r="P362" s="8" t="s">
        <v>1696</v>
      </c>
      <c r="Q362" s="8" t="s">
        <v>86</v>
      </c>
      <c r="R362" s="8" t="s">
        <v>50</v>
      </c>
    </row>
    <row r="363" customFormat="false" ht="32.8" hidden="false" customHeight="false" outlineLevel="0" collapsed="false">
      <c r="A363" s="8" t="s">
        <v>1692</v>
      </c>
      <c r="B363" s="8" t="s">
        <v>1693</v>
      </c>
      <c r="C363" s="8" t="s">
        <v>87</v>
      </c>
      <c r="D363" s="8" t="s">
        <v>127</v>
      </c>
      <c r="E363" s="9" t="s">
        <v>87</v>
      </c>
      <c r="F363" s="9" t="n">
        <v>13200</v>
      </c>
      <c r="G363" s="9" t="str">
        <f aca="false">IF(AND(ISNUMBER(E363),ISNUMBER(F363)),E363-F363,"No disponible")</f>
        <v>No disponible</v>
      </c>
      <c r="H363" s="8" t="s">
        <v>64</v>
      </c>
      <c r="I363" s="8" t="s">
        <v>87</v>
      </c>
      <c r="J363" s="8" t="s">
        <v>43</v>
      </c>
      <c r="K363" s="8" t="s">
        <v>1628</v>
      </c>
      <c r="L363" s="8" t="s">
        <v>1697</v>
      </c>
      <c r="M363" s="8" t="s">
        <v>82</v>
      </c>
      <c r="N363" s="8" t="s">
        <v>1622</v>
      </c>
      <c r="O363" s="8" t="s">
        <v>1698</v>
      </c>
      <c r="P363" s="8" t="s">
        <v>1699</v>
      </c>
      <c r="Q363" s="8" t="s">
        <v>86</v>
      </c>
      <c r="R363" s="8" t="s">
        <v>50</v>
      </c>
    </row>
    <row r="364" customFormat="false" ht="32.8" hidden="false" customHeight="false" outlineLevel="0" collapsed="false">
      <c r="A364" s="8" t="s">
        <v>1692</v>
      </c>
      <c r="B364" s="8" t="s">
        <v>1693</v>
      </c>
      <c r="C364" s="8" t="s">
        <v>87</v>
      </c>
      <c r="D364" s="8" t="s">
        <v>127</v>
      </c>
      <c r="E364" s="9" t="s">
        <v>87</v>
      </c>
      <c r="F364" s="9" t="n">
        <v>13200</v>
      </c>
      <c r="G364" s="9" t="str">
        <f aca="false">IF(AND(ISNUMBER(E364),ISNUMBER(F364)),E364-F364,"No disponible")</f>
        <v>No disponible</v>
      </c>
      <c r="H364" s="8" t="s">
        <v>64</v>
      </c>
      <c r="I364" s="8" t="s">
        <v>87</v>
      </c>
      <c r="J364" s="8" t="s">
        <v>43</v>
      </c>
      <c r="K364" s="8" t="s">
        <v>1628</v>
      </c>
      <c r="L364" s="8" t="s">
        <v>1700</v>
      </c>
      <c r="M364" s="8" t="s">
        <v>82</v>
      </c>
      <c r="N364" s="8" t="s">
        <v>1622</v>
      </c>
      <c r="O364" s="8" t="s">
        <v>1701</v>
      </c>
      <c r="P364" s="8" t="s">
        <v>1702</v>
      </c>
      <c r="Q364" s="8" t="s">
        <v>86</v>
      </c>
      <c r="R364" s="8" t="s">
        <v>50</v>
      </c>
    </row>
    <row r="365" customFormat="false" ht="32.8" hidden="false" customHeight="false" outlineLevel="0" collapsed="false">
      <c r="A365" s="8" t="s">
        <v>1692</v>
      </c>
      <c r="B365" s="8" t="s">
        <v>1693</v>
      </c>
      <c r="C365" s="8" t="s">
        <v>87</v>
      </c>
      <c r="D365" s="8" t="s">
        <v>127</v>
      </c>
      <c r="E365" s="9" t="s">
        <v>87</v>
      </c>
      <c r="F365" s="9" t="n">
        <v>13200</v>
      </c>
      <c r="G365" s="9" t="str">
        <f aca="false">IF(AND(ISNUMBER(E365),ISNUMBER(F365)),E365-F365,"No disponible")</f>
        <v>No disponible</v>
      </c>
      <c r="H365" s="8" t="s">
        <v>64</v>
      </c>
      <c r="I365" s="8" t="s">
        <v>87</v>
      </c>
      <c r="J365" s="8" t="s">
        <v>43</v>
      </c>
      <c r="K365" s="8" t="s">
        <v>1628</v>
      </c>
      <c r="L365" s="8" t="s">
        <v>1697</v>
      </c>
      <c r="M365" s="8" t="s">
        <v>82</v>
      </c>
      <c r="N365" s="8" t="s">
        <v>1622</v>
      </c>
      <c r="O365" s="8" t="s">
        <v>1703</v>
      </c>
      <c r="P365" s="8" t="s">
        <v>1704</v>
      </c>
      <c r="Q365" s="8" t="s">
        <v>86</v>
      </c>
      <c r="R365" s="8" t="s">
        <v>50</v>
      </c>
    </row>
    <row r="366" customFormat="false" ht="32.8" hidden="false" customHeight="false" outlineLevel="0" collapsed="false">
      <c r="A366" s="8" t="s">
        <v>1692</v>
      </c>
      <c r="B366" s="8" t="s">
        <v>1693</v>
      </c>
      <c r="C366" s="8" t="s">
        <v>87</v>
      </c>
      <c r="D366" s="8" t="s">
        <v>127</v>
      </c>
      <c r="E366" s="9" t="s">
        <v>87</v>
      </c>
      <c r="F366" s="9" t="n">
        <v>13200</v>
      </c>
      <c r="G366" s="9" t="str">
        <f aca="false">IF(AND(ISNUMBER(E366),ISNUMBER(F366)),E366-F366,"No disponible")</f>
        <v>No disponible</v>
      </c>
      <c r="H366" s="8" t="s">
        <v>64</v>
      </c>
      <c r="I366" s="8" t="s">
        <v>87</v>
      </c>
      <c r="J366" s="8" t="s">
        <v>43</v>
      </c>
      <c r="K366" s="8" t="s">
        <v>1628</v>
      </c>
      <c r="L366" s="8" t="s">
        <v>1705</v>
      </c>
      <c r="M366" s="8" t="s">
        <v>82</v>
      </c>
      <c r="N366" s="8" t="s">
        <v>1622</v>
      </c>
      <c r="O366" s="8" t="s">
        <v>1706</v>
      </c>
      <c r="P366" s="8" t="s">
        <v>1707</v>
      </c>
      <c r="Q366" s="8" t="s">
        <v>86</v>
      </c>
      <c r="R366" s="8" t="s">
        <v>50</v>
      </c>
    </row>
    <row r="367" customFormat="false" ht="32.8" hidden="false" customHeight="false" outlineLevel="0" collapsed="false">
      <c r="A367" s="8" t="s">
        <v>1708</v>
      </c>
      <c r="B367" s="8" t="s">
        <v>731</v>
      </c>
      <c r="C367" s="8" t="s">
        <v>87</v>
      </c>
      <c r="D367" s="8" t="s">
        <v>266</v>
      </c>
      <c r="E367" s="9" t="s">
        <v>87</v>
      </c>
      <c r="F367" s="9" t="n">
        <v>245800</v>
      </c>
      <c r="G367" s="9" t="str">
        <f aca="false">IF(AND(ISNUMBER(E367),ISNUMBER(F367)),E367-F367,"No disponible")</f>
        <v>No disponible</v>
      </c>
      <c r="H367" s="8" t="s">
        <v>737</v>
      </c>
      <c r="I367" s="8" t="s">
        <v>87</v>
      </c>
      <c r="J367" s="8" t="s">
        <v>43</v>
      </c>
      <c r="K367" s="8" t="s">
        <v>1628</v>
      </c>
      <c r="L367" s="8" t="s">
        <v>1709</v>
      </c>
      <c r="M367" s="8" t="s">
        <v>82</v>
      </c>
      <c r="N367" s="8" t="s">
        <v>1622</v>
      </c>
      <c r="O367" s="8" t="s">
        <v>738</v>
      </c>
      <c r="P367" s="8" t="s">
        <v>739</v>
      </c>
      <c r="Q367" s="8" t="s">
        <v>86</v>
      </c>
      <c r="R367" s="8" t="s">
        <v>50</v>
      </c>
    </row>
    <row r="368" customFormat="false" ht="32.8" hidden="false" customHeight="false" outlineLevel="0" collapsed="false">
      <c r="A368" s="8" t="s">
        <v>1708</v>
      </c>
      <c r="B368" s="8" t="s">
        <v>731</v>
      </c>
      <c r="C368" s="8" t="s">
        <v>87</v>
      </c>
      <c r="D368" s="8" t="s">
        <v>266</v>
      </c>
      <c r="E368" s="9" t="s">
        <v>87</v>
      </c>
      <c r="F368" s="9" t="n">
        <v>58900</v>
      </c>
      <c r="G368" s="9" t="str">
        <f aca="false">IF(AND(ISNUMBER(E368),ISNUMBER(F368)),E368-F368,"No disponible")</f>
        <v>No disponible</v>
      </c>
      <c r="H368" s="8" t="s">
        <v>1710</v>
      </c>
      <c r="I368" s="8" t="s">
        <v>87</v>
      </c>
      <c r="J368" s="8" t="s">
        <v>43</v>
      </c>
      <c r="K368" s="8" t="s">
        <v>1628</v>
      </c>
      <c r="L368" s="8" t="s">
        <v>1711</v>
      </c>
      <c r="M368" s="8" t="s">
        <v>82</v>
      </c>
      <c r="N368" s="8" t="s">
        <v>1622</v>
      </c>
      <c r="O368" s="8" t="s">
        <v>1712</v>
      </c>
      <c r="P368" s="8" t="s">
        <v>1713</v>
      </c>
      <c r="Q368" s="8" t="s">
        <v>86</v>
      </c>
      <c r="R368" s="8" t="s">
        <v>50</v>
      </c>
    </row>
    <row r="369" customFormat="false" ht="32.8" hidden="false" customHeight="false" outlineLevel="0" collapsed="false">
      <c r="A369" s="8" t="s">
        <v>1714</v>
      </c>
      <c r="B369" s="8" t="s">
        <v>438</v>
      </c>
      <c r="C369" s="8" t="s">
        <v>87</v>
      </c>
      <c r="D369" s="8" t="s">
        <v>127</v>
      </c>
      <c r="E369" s="9" t="s">
        <v>87</v>
      </c>
      <c r="F369" s="9" t="n">
        <v>65830</v>
      </c>
      <c r="G369" s="9" t="str">
        <f aca="false">IF(AND(ISNUMBER(E369),ISNUMBER(F369)),E369-F369,"No disponible")</f>
        <v>No disponible</v>
      </c>
      <c r="H369" s="8" t="s">
        <v>64</v>
      </c>
      <c r="I369" s="8" t="s">
        <v>87</v>
      </c>
      <c r="J369" s="8" t="s">
        <v>43</v>
      </c>
      <c r="K369" s="8" t="s">
        <v>1628</v>
      </c>
      <c r="L369" s="8" t="s">
        <v>1715</v>
      </c>
      <c r="M369" s="8" t="s">
        <v>82</v>
      </c>
      <c r="N369" s="8" t="s">
        <v>1622</v>
      </c>
      <c r="O369" s="8" t="s">
        <v>440</v>
      </c>
      <c r="P369" s="8" t="s">
        <v>441</v>
      </c>
      <c r="Q369" s="8" t="s">
        <v>86</v>
      </c>
      <c r="R369" s="8" t="s">
        <v>50</v>
      </c>
    </row>
    <row r="370" customFormat="false" ht="32.8" hidden="false" customHeight="false" outlineLevel="0" collapsed="false">
      <c r="A370" s="8" t="s">
        <v>492</v>
      </c>
      <c r="B370" s="8" t="s">
        <v>493</v>
      </c>
      <c r="C370" s="8" t="s">
        <v>87</v>
      </c>
      <c r="D370" s="8" t="s">
        <v>127</v>
      </c>
      <c r="E370" s="9" t="s">
        <v>87</v>
      </c>
      <c r="F370" s="9" t="n">
        <v>5380</v>
      </c>
      <c r="G370" s="9" t="str">
        <f aca="false">IF(AND(ISNUMBER(E370),ISNUMBER(F370)),E370-F370,"No disponible")</f>
        <v>No disponible</v>
      </c>
      <c r="H370" s="8" t="s">
        <v>64</v>
      </c>
      <c r="I370" s="8" t="s">
        <v>87</v>
      </c>
      <c r="J370" s="8" t="s">
        <v>43</v>
      </c>
      <c r="K370" s="8" t="s">
        <v>1628</v>
      </c>
      <c r="L370" s="8" t="s">
        <v>1716</v>
      </c>
      <c r="M370" s="8" t="s">
        <v>82</v>
      </c>
      <c r="N370" s="8" t="s">
        <v>1622</v>
      </c>
      <c r="O370" s="8" t="s">
        <v>496</v>
      </c>
      <c r="P370" s="8" t="s">
        <v>497</v>
      </c>
      <c r="Q370" s="8" t="s">
        <v>86</v>
      </c>
      <c r="R370" s="8" t="s">
        <v>50</v>
      </c>
    </row>
    <row r="371" customFormat="false" ht="32.8" hidden="false" customHeight="false" outlineLevel="0" collapsed="false">
      <c r="A371" s="8" t="s">
        <v>492</v>
      </c>
      <c r="B371" s="8" t="s">
        <v>493</v>
      </c>
      <c r="C371" s="8" t="s">
        <v>87</v>
      </c>
      <c r="D371" s="8" t="s">
        <v>266</v>
      </c>
      <c r="E371" s="9" t="s">
        <v>87</v>
      </c>
      <c r="F371" s="9" t="n">
        <v>29050</v>
      </c>
      <c r="G371" s="9" t="str">
        <f aca="false">IF(AND(ISNUMBER(E371),ISNUMBER(F371)),E371-F371,"No disponible")</f>
        <v>No disponible</v>
      </c>
      <c r="H371" s="8" t="s">
        <v>1717</v>
      </c>
      <c r="I371" s="8" t="s">
        <v>87</v>
      </c>
      <c r="J371" s="8" t="s">
        <v>43</v>
      </c>
      <c r="K371" s="8" t="s">
        <v>1628</v>
      </c>
      <c r="L371" s="8" t="s">
        <v>1718</v>
      </c>
      <c r="M371" s="8" t="s">
        <v>82</v>
      </c>
      <c r="N371" s="8" t="s">
        <v>1622</v>
      </c>
      <c r="O371" s="8" t="s">
        <v>1719</v>
      </c>
      <c r="P371" s="8" t="s">
        <v>1720</v>
      </c>
      <c r="Q371" s="8" t="s">
        <v>86</v>
      </c>
      <c r="R371" s="8" t="s">
        <v>50</v>
      </c>
    </row>
    <row r="372" customFormat="false" ht="32.8" hidden="false" customHeight="false" outlineLevel="0" collapsed="false">
      <c r="A372" s="8" t="s">
        <v>1721</v>
      </c>
      <c r="B372" s="8" t="s">
        <v>1722</v>
      </c>
      <c r="C372" s="8" t="s">
        <v>87</v>
      </c>
      <c r="D372" s="8" t="s">
        <v>93</v>
      </c>
      <c r="E372" s="9" t="s">
        <v>87</v>
      </c>
      <c r="F372" s="9" t="n">
        <v>2400</v>
      </c>
      <c r="G372" s="9" t="str">
        <f aca="false">IF(AND(ISNUMBER(E372),ISNUMBER(F372)),E372-F372,"No disponible")</f>
        <v>No disponible</v>
      </c>
      <c r="H372" s="8" t="s">
        <v>1723</v>
      </c>
      <c r="I372" s="8" t="s">
        <v>87</v>
      </c>
      <c r="J372" s="8" t="s">
        <v>43</v>
      </c>
      <c r="K372" s="8" t="s">
        <v>1628</v>
      </c>
      <c r="L372" s="8" t="s">
        <v>1724</v>
      </c>
      <c r="M372" s="8" t="s">
        <v>82</v>
      </c>
      <c r="N372" s="8" t="s">
        <v>1622</v>
      </c>
      <c r="O372" s="8" t="s">
        <v>1725</v>
      </c>
      <c r="P372" s="8" t="s">
        <v>1726</v>
      </c>
      <c r="Q372" s="8" t="s">
        <v>86</v>
      </c>
      <c r="R372" s="8" t="s">
        <v>50</v>
      </c>
    </row>
    <row r="373" customFormat="false" ht="32.8" hidden="false" customHeight="false" outlineLevel="0" collapsed="false">
      <c r="A373" s="8" t="s">
        <v>1727</v>
      </c>
      <c r="B373" s="8" t="s">
        <v>615</v>
      </c>
      <c r="C373" s="8" t="s">
        <v>87</v>
      </c>
      <c r="D373" s="8" t="s">
        <v>127</v>
      </c>
      <c r="E373" s="9" t="s">
        <v>87</v>
      </c>
      <c r="F373" s="9" t="n">
        <v>67100</v>
      </c>
      <c r="G373" s="9" t="str">
        <f aca="false">IF(AND(ISNUMBER(E373),ISNUMBER(F373)),E373-F373,"No disponible")</f>
        <v>No disponible</v>
      </c>
      <c r="H373" s="8" t="s">
        <v>64</v>
      </c>
      <c r="I373" s="8" t="s">
        <v>87</v>
      </c>
      <c r="J373" s="8" t="s">
        <v>43</v>
      </c>
      <c r="K373" s="8" t="s">
        <v>1628</v>
      </c>
      <c r="L373" s="8" t="s">
        <v>1728</v>
      </c>
      <c r="M373" s="8" t="s">
        <v>82</v>
      </c>
      <c r="N373" s="8" t="s">
        <v>1622</v>
      </c>
      <c r="O373" s="8" t="s">
        <v>617</v>
      </c>
      <c r="P373" s="8" t="s">
        <v>618</v>
      </c>
      <c r="Q373" s="8" t="s">
        <v>86</v>
      </c>
      <c r="R373" s="8" t="s">
        <v>50</v>
      </c>
    </row>
    <row r="374" customFormat="false" ht="32.8" hidden="false" customHeight="false" outlineLevel="0" collapsed="false">
      <c r="A374" s="8" t="s">
        <v>1729</v>
      </c>
      <c r="B374" s="8" t="s">
        <v>626</v>
      </c>
      <c r="C374" s="8" t="s">
        <v>87</v>
      </c>
      <c r="D374" s="8" t="s">
        <v>127</v>
      </c>
      <c r="E374" s="9" t="s">
        <v>87</v>
      </c>
      <c r="F374" s="9" t="n">
        <v>334782</v>
      </c>
      <c r="G374" s="9" t="str">
        <f aca="false">IF(AND(ISNUMBER(E374),ISNUMBER(F374)),E374-F374,"No disponible")</f>
        <v>No disponible</v>
      </c>
      <c r="H374" s="8" t="s">
        <v>64</v>
      </c>
      <c r="I374" s="8" t="s">
        <v>87</v>
      </c>
      <c r="J374" s="8" t="s">
        <v>43</v>
      </c>
      <c r="K374" s="8" t="s">
        <v>1628</v>
      </c>
      <c r="L374" s="8" t="s">
        <v>1730</v>
      </c>
      <c r="M374" s="8" t="s">
        <v>82</v>
      </c>
      <c r="N374" s="8" t="s">
        <v>1622</v>
      </c>
      <c r="O374" s="8" t="s">
        <v>1731</v>
      </c>
      <c r="P374" s="8" t="s">
        <v>1732</v>
      </c>
      <c r="Q374" s="8" t="s">
        <v>86</v>
      </c>
      <c r="R374" s="8" t="s">
        <v>50</v>
      </c>
    </row>
    <row r="375" customFormat="false" ht="32.8" hidden="false" customHeight="false" outlineLevel="0" collapsed="false">
      <c r="A375" s="8" t="s">
        <v>1729</v>
      </c>
      <c r="B375" s="8" t="s">
        <v>626</v>
      </c>
      <c r="C375" s="8" t="s">
        <v>87</v>
      </c>
      <c r="D375" s="8" t="s">
        <v>127</v>
      </c>
      <c r="E375" s="9" t="s">
        <v>87</v>
      </c>
      <c r="F375" s="9" t="n">
        <v>1853637</v>
      </c>
      <c r="G375" s="9" t="str">
        <f aca="false">IF(AND(ISNUMBER(E375),ISNUMBER(F375)),E375-F375,"No disponible")</f>
        <v>No disponible</v>
      </c>
      <c r="H375" s="8" t="s">
        <v>64</v>
      </c>
      <c r="I375" s="8" t="s">
        <v>87</v>
      </c>
      <c r="J375" s="8" t="s">
        <v>43</v>
      </c>
      <c r="K375" s="8" t="s">
        <v>1628</v>
      </c>
      <c r="L375" s="8" t="s">
        <v>1733</v>
      </c>
      <c r="M375" s="8" t="s">
        <v>82</v>
      </c>
      <c r="N375" s="8" t="s">
        <v>1622</v>
      </c>
      <c r="O375" s="8" t="s">
        <v>1734</v>
      </c>
      <c r="P375" s="8" t="s">
        <v>1735</v>
      </c>
      <c r="Q375" s="8" t="s">
        <v>86</v>
      </c>
      <c r="R375" s="8" t="s">
        <v>50</v>
      </c>
    </row>
    <row r="376" customFormat="false" ht="32.8" hidden="false" customHeight="false" outlineLevel="0" collapsed="false">
      <c r="A376" s="8" t="s">
        <v>1729</v>
      </c>
      <c r="B376" s="8" t="s">
        <v>626</v>
      </c>
      <c r="C376" s="8" t="s">
        <v>87</v>
      </c>
      <c r="D376" s="8" t="s">
        <v>127</v>
      </c>
      <c r="E376" s="9" t="s">
        <v>87</v>
      </c>
      <c r="F376" s="9" t="n">
        <v>83297</v>
      </c>
      <c r="G376" s="9" t="str">
        <f aca="false">IF(AND(ISNUMBER(E376),ISNUMBER(F376)),E376-F376,"No disponible")</f>
        <v>No disponible</v>
      </c>
      <c r="H376" s="8" t="s">
        <v>64</v>
      </c>
      <c r="I376" s="8" t="s">
        <v>87</v>
      </c>
      <c r="J376" s="8" t="s">
        <v>43</v>
      </c>
      <c r="K376" s="8" t="s">
        <v>1628</v>
      </c>
      <c r="L376" s="8" t="s">
        <v>1736</v>
      </c>
      <c r="M376" s="8" t="s">
        <v>82</v>
      </c>
      <c r="N376" s="8" t="s">
        <v>1622</v>
      </c>
      <c r="O376" s="8" t="s">
        <v>1737</v>
      </c>
      <c r="P376" s="8" t="s">
        <v>1738</v>
      </c>
      <c r="Q376" s="8" t="s">
        <v>86</v>
      </c>
      <c r="R376" s="8" t="s">
        <v>50</v>
      </c>
    </row>
    <row r="377" customFormat="false" ht="32.8" hidden="false" customHeight="false" outlineLevel="0" collapsed="false">
      <c r="A377" s="8" t="s">
        <v>1739</v>
      </c>
      <c r="B377" s="8" t="s">
        <v>1740</v>
      </c>
      <c r="C377" s="8" t="s">
        <v>87</v>
      </c>
      <c r="D377" s="8" t="s">
        <v>127</v>
      </c>
      <c r="E377" s="9" t="s">
        <v>87</v>
      </c>
      <c r="F377" s="9" t="n">
        <v>18000</v>
      </c>
      <c r="G377" s="9" t="str">
        <f aca="false">IF(AND(ISNUMBER(E377),ISNUMBER(F377)),E377-F377,"No disponible")</f>
        <v>No disponible</v>
      </c>
      <c r="H377" s="8" t="s">
        <v>64</v>
      </c>
      <c r="I377" s="8" t="s">
        <v>87</v>
      </c>
      <c r="J377" s="8" t="s">
        <v>43</v>
      </c>
      <c r="K377" s="8" t="s">
        <v>1628</v>
      </c>
      <c r="L377" s="8" t="s">
        <v>1741</v>
      </c>
      <c r="M377" s="8" t="s">
        <v>82</v>
      </c>
      <c r="N377" s="8" t="s">
        <v>1622</v>
      </c>
      <c r="O377" s="8" t="s">
        <v>1742</v>
      </c>
      <c r="P377" s="8" t="s">
        <v>1743</v>
      </c>
      <c r="Q377" s="8" t="s">
        <v>86</v>
      </c>
      <c r="R377" s="8" t="s">
        <v>50</v>
      </c>
    </row>
    <row r="378" customFormat="false" ht="32.8" hidden="false" customHeight="false" outlineLevel="0" collapsed="false">
      <c r="A378" s="8" t="s">
        <v>1739</v>
      </c>
      <c r="B378" s="8" t="s">
        <v>1740</v>
      </c>
      <c r="C378" s="8" t="s">
        <v>87</v>
      </c>
      <c r="D378" s="8" t="s">
        <v>127</v>
      </c>
      <c r="E378" s="9" t="s">
        <v>87</v>
      </c>
      <c r="F378" s="9" t="n">
        <v>18000</v>
      </c>
      <c r="G378" s="9" t="str">
        <f aca="false">IF(AND(ISNUMBER(E378),ISNUMBER(F378)),E378-F378,"No disponible")</f>
        <v>No disponible</v>
      </c>
      <c r="H378" s="8" t="s">
        <v>64</v>
      </c>
      <c r="I378" s="8" t="s">
        <v>87</v>
      </c>
      <c r="J378" s="8" t="s">
        <v>43</v>
      </c>
      <c r="K378" s="8" t="s">
        <v>1628</v>
      </c>
      <c r="L378" s="8" t="s">
        <v>1744</v>
      </c>
      <c r="M378" s="8" t="s">
        <v>82</v>
      </c>
      <c r="N378" s="8" t="s">
        <v>1622</v>
      </c>
      <c r="O378" s="8" t="s">
        <v>1745</v>
      </c>
      <c r="P378" s="8" t="s">
        <v>1746</v>
      </c>
      <c r="Q378" s="8" t="s">
        <v>86</v>
      </c>
      <c r="R378" s="8" t="s">
        <v>50</v>
      </c>
    </row>
    <row r="379" customFormat="false" ht="32.8" hidden="false" customHeight="false" outlineLevel="0" collapsed="false">
      <c r="A379" s="8" t="s">
        <v>1747</v>
      </c>
      <c r="B379" s="8" t="s">
        <v>1748</v>
      </c>
      <c r="C379" s="8" t="s">
        <v>87</v>
      </c>
      <c r="D379" s="8" t="s">
        <v>127</v>
      </c>
      <c r="E379" s="9" t="s">
        <v>87</v>
      </c>
      <c r="F379" s="9" t="n">
        <v>15020400</v>
      </c>
      <c r="G379" s="9" t="str">
        <f aca="false">IF(AND(ISNUMBER(E379),ISNUMBER(F379)),E379-F379,"No disponible")</f>
        <v>No disponible</v>
      </c>
      <c r="H379" s="8" t="s">
        <v>64</v>
      </c>
      <c r="I379" s="8" t="s">
        <v>87</v>
      </c>
      <c r="J379" s="8" t="s">
        <v>43</v>
      </c>
      <c r="K379" s="8" t="s">
        <v>1628</v>
      </c>
      <c r="L379" s="8" t="s">
        <v>1749</v>
      </c>
      <c r="M379" s="8" t="s">
        <v>82</v>
      </c>
      <c r="N379" s="8" t="s">
        <v>1622</v>
      </c>
      <c r="O379" s="8" t="s">
        <v>1750</v>
      </c>
      <c r="P379" s="8" t="s">
        <v>1751</v>
      </c>
      <c r="Q379" s="8" t="s">
        <v>86</v>
      </c>
      <c r="R379" s="8" t="s">
        <v>50</v>
      </c>
    </row>
    <row r="380" customFormat="false" ht="32.8" hidden="false" customHeight="false" outlineLevel="0" collapsed="false">
      <c r="A380" s="8" t="s">
        <v>1752</v>
      </c>
      <c r="B380" s="8" t="s">
        <v>714</v>
      </c>
      <c r="C380" s="8" t="s">
        <v>87</v>
      </c>
      <c r="D380" s="8" t="s">
        <v>127</v>
      </c>
      <c r="E380" s="9" t="s">
        <v>87</v>
      </c>
      <c r="F380" s="9" t="n">
        <v>5500</v>
      </c>
      <c r="G380" s="9" t="str">
        <f aca="false">IF(AND(ISNUMBER(E380),ISNUMBER(F380)),E380-F380,"No disponible")</f>
        <v>No disponible</v>
      </c>
      <c r="H380" s="8" t="s">
        <v>64</v>
      </c>
      <c r="I380" s="8" t="s">
        <v>87</v>
      </c>
      <c r="J380" s="8" t="s">
        <v>43</v>
      </c>
      <c r="K380" s="8" t="s">
        <v>1628</v>
      </c>
      <c r="L380" s="8" t="s">
        <v>1753</v>
      </c>
      <c r="M380" s="8" t="s">
        <v>82</v>
      </c>
      <c r="N380" s="8" t="s">
        <v>1622</v>
      </c>
      <c r="O380" s="8" t="s">
        <v>716</v>
      </c>
      <c r="P380" s="8" t="s">
        <v>717</v>
      </c>
      <c r="Q380" s="8" t="s">
        <v>86</v>
      </c>
      <c r="R380" s="8" t="s">
        <v>50</v>
      </c>
    </row>
    <row r="381" customFormat="false" ht="32.8" hidden="false" customHeight="false" outlineLevel="0" collapsed="false">
      <c r="A381" s="8" t="s">
        <v>1754</v>
      </c>
      <c r="B381" s="8" t="s">
        <v>725</v>
      </c>
      <c r="C381" s="8" t="s">
        <v>87</v>
      </c>
      <c r="D381" s="8" t="s">
        <v>266</v>
      </c>
      <c r="E381" s="9" t="s">
        <v>87</v>
      </c>
      <c r="F381" s="9" t="n">
        <v>62700</v>
      </c>
      <c r="G381" s="9" t="str">
        <f aca="false">IF(AND(ISNUMBER(E381),ISNUMBER(F381)),E381-F381,"No disponible")</f>
        <v>No disponible</v>
      </c>
      <c r="H381" s="8" t="s">
        <v>727</v>
      </c>
      <c r="I381" s="8" t="s">
        <v>87</v>
      </c>
      <c r="J381" s="8" t="s">
        <v>43</v>
      </c>
      <c r="K381" s="8" t="s">
        <v>1628</v>
      </c>
      <c r="L381" s="8" t="s">
        <v>1755</v>
      </c>
      <c r="M381" s="8" t="s">
        <v>82</v>
      </c>
      <c r="N381" s="8" t="s">
        <v>1622</v>
      </c>
      <c r="O381" s="8" t="s">
        <v>728</v>
      </c>
      <c r="P381" s="8" t="s">
        <v>729</v>
      </c>
      <c r="Q381" s="8" t="s">
        <v>86</v>
      </c>
      <c r="R381" s="8" t="s">
        <v>50</v>
      </c>
    </row>
    <row r="382" customFormat="false" ht="32.8" hidden="false" customHeight="false" outlineLevel="0" collapsed="false">
      <c r="A382" s="8" t="s">
        <v>1756</v>
      </c>
      <c r="B382" s="8" t="s">
        <v>1757</v>
      </c>
      <c r="C382" s="8" t="s">
        <v>87</v>
      </c>
      <c r="D382" s="8" t="s">
        <v>1758</v>
      </c>
      <c r="E382" s="9" t="s">
        <v>87</v>
      </c>
      <c r="F382" s="9" t="n">
        <v>670089786</v>
      </c>
      <c r="G382" s="9" t="str">
        <f aca="false">IF(AND(ISNUMBER(E382),ISNUMBER(F382)),E382-F382,"No disponible")</f>
        <v>No disponible</v>
      </c>
      <c r="H382" s="8" t="s">
        <v>1759</v>
      </c>
      <c r="I382" s="8" t="s">
        <v>87</v>
      </c>
      <c r="J382" s="8" t="s">
        <v>43</v>
      </c>
      <c r="K382" s="8" t="s">
        <v>1628</v>
      </c>
      <c r="L382" s="8" t="s">
        <v>1760</v>
      </c>
      <c r="M382" s="8" t="s">
        <v>82</v>
      </c>
      <c r="N382" s="8" t="s">
        <v>1622</v>
      </c>
      <c r="O382" s="8" t="s">
        <v>1761</v>
      </c>
      <c r="P382" s="8" t="s">
        <v>1762</v>
      </c>
      <c r="Q382" s="8" t="s">
        <v>86</v>
      </c>
      <c r="R382" s="8" t="s">
        <v>111</v>
      </c>
    </row>
    <row r="383" customFormat="false" ht="32.8" hidden="false" customHeight="false" outlineLevel="0" collapsed="false">
      <c r="A383" s="8" t="s">
        <v>1756</v>
      </c>
      <c r="B383" s="8" t="s">
        <v>1757</v>
      </c>
      <c r="C383" s="8" t="s">
        <v>87</v>
      </c>
      <c r="D383" s="8" t="s">
        <v>1758</v>
      </c>
      <c r="E383" s="9" t="s">
        <v>87</v>
      </c>
      <c r="F383" s="9" t="n">
        <v>410508736</v>
      </c>
      <c r="G383" s="9" t="str">
        <f aca="false">IF(AND(ISNUMBER(E383),ISNUMBER(F383)),E383-F383,"No disponible")</f>
        <v>No disponible</v>
      </c>
      <c r="H383" s="8" t="s">
        <v>1763</v>
      </c>
      <c r="I383" s="8" t="s">
        <v>87</v>
      </c>
      <c r="J383" s="8" t="s">
        <v>43</v>
      </c>
      <c r="K383" s="8" t="s">
        <v>1628</v>
      </c>
      <c r="L383" s="8" t="s">
        <v>1764</v>
      </c>
      <c r="M383" s="8" t="s">
        <v>82</v>
      </c>
      <c r="N383" s="8" t="s">
        <v>1622</v>
      </c>
      <c r="O383" s="8" t="s">
        <v>1765</v>
      </c>
      <c r="P383" s="8" t="s">
        <v>1766</v>
      </c>
      <c r="Q383" s="8" t="s">
        <v>86</v>
      </c>
      <c r="R383" s="8" t="s">
        <v>111</v>
      </c>
    </row>
    <row r="384" customFormat="false" ht="32.8" hidden="false" customHeight="false" outlineLevel="0" collapsed="false">
      <c r="A384" s="8" t="s">
        <v>1756</v>
      </c>
      <c r="B384" s="8" t="s">
        <v>1757</v>
      </c>
      <c r="C384" s="8" t="s">
        <v>87</v>
      </c>
      <c r="D384" s="8" t="s">
        <v>1758</v>
      </c>
      <c r="E384" s="9" t="s">
        <v>87</v>
      </c>
      <c r="F384" s="9" t="n">
        <v>761082417</v>
      </c>
      <c r="G384" s="9" t="str">
        <f aca="false">IF(AND(ISNUMBER(E384),ISNUMBER(F384)),E384-F384,"No disponible")</f>
        <v>No disponible</v>
      </c>
      <c r="H384" s="8" t="s">
        <v>1767</v>
      </c>
      <c r="I384" s="8" t="s">
        <v>87</v>
      </c>
      <c r="J384" s="8" t="s">
        <v>43</v>
      </c>
      <c r="K384" s="8" t="s">
        <v>1628</v>
      </c>
      <c r="L384" s="8" t="s">
        <v>1768</v>
      </c>
      <c r="M384" s="8" t="s">
        <v>82</v>
      </c>
      <c r="N384" s="8" t="s">
        <v>1622</v>
      </c>
      <c r="O384" s="8" t="s">
        <v>1769</v>
      </c>
      <c r="P384" s="8" t="s">
        <v>1770</v>
      </c>
      <c r="Q384" s="8" t="s">
        <v>86</v>
      </c>
      <c r="R384" s="8" t="s">
        <v>111</v>
      </c>
    </row>
    <row r="385" customFormat="false" ht="32.8" hidden="false" customHeight="false" outlineLevel="0" collapsed="false">
      <c r="A385" s="8" t="s">
        <v>1771</v>
      </c>
      <c r="B385" s="8" t="s">
        <v>1772</v>
      </c>
      <c r="C385" s="8" t="s">
        <v>87</v>
      </c>
      <c r="D385" s="8" t="s">
        <v>127</v>
      </c>
      <c r="E385" s="9" t="s">
        <v>87</v>
      </c>
      <c r="F385" s="9" t="n">
        <v>500000</v>
      </c>
      <c r="G385" s="9" t="str">
        <f aca="false">IF(AND(ISNUMBER(E385),ISNUMBER(F385)),E385-F385,"No disponible")</f>
        <v>No disponible</v>
      </c>
      <c r="H385" s="8" t="s">
        <v>64</v>
      </c>
      <c r="I385" s="8" t="s">
        <v>87</v>
      </c>
      <c r="J385" s="8" t="s">
        <v>43</v>
      </c>
      <c r="K385" s="8" t="s">
        <v>1628</v>
      </c>
      <c r="L385" s="8" t="s">
        <v>1773</v>
      </c>
      <c r="M385" s="8" t="s">
        <v>82</v>
      </c>
      <c r="N385" s="8" t="s">
        <v>1622</v>
      </c>
      <c r="O385" s="8" t="s">
        <v>1774</v>
      </c>
      <c r="P385" s="8" t="s">
        <v>1775</v>
      </c>
      <c r="Q385" s="8" t="s">
        <v>86</v>
      </c>
      <c r="R385" s="8" t="s">
        <v>50</v>
      </c>
    </row>
    <row r="386" customFormat="false" ht="32.8" hidden="false" customHeight="false" outlineLevel="0" collapsed="false">
      <c r="A386" s="8" t="s">
        <v>1771</v>
      </c>
      <c r="B386" s="8" t="s">
        <v>1772</v>
      </c>
      <c r="C386" s="8" t="s">
        <v>87</v>
      </c>
      <c r="D386" s="8" t="s">
        <v>127</v>
      </c>
      <c r="E386" s="9" t="s">
        <v>87</v>
      </c>
      <c r="F386" s="9" t="n">
        <v>500000</v>
      </c>
      <c r="G386" s="9" t="str">
        <f aca="false">IF(AND(ISNUMBER(E386),ISNUMBER(F386)),E386-F386,"No disponible")</f>
        <v>No disponible</v>
      </c>
      <c r="H386" s="8" t="s">
        <v>64</v>
      </c>
      <c r="I386" s="8" t="s">
        <v>87</v>
      </c>
      <c r="J386" s="8" t="s">
        <v>43</v>
      </c>
      <c r="K386" s="8" t="s">
        <v>1628</v>
      </c>
      <c r="L386" s="8" t="s">
        <v>1776</v>
      </c>
      <c r="M386" s="8" t="s">
        <v>82</v>
      </c>
      <c r="N386" s="8" t="s">
        <v>1622</v>
      </c>
      <c r="O386" s="8" t="s">
        <v>1777</v>
      </c>
      <c r="P386" s="8" t="s">
        <v>1778</v>
      </c>
      <c r="Q386" s="8" t="s">
        <v>86</v>
      </c>
      <c r="R386" s="8" t="s">
        <v>50</v>
      </c>
    </row>
    <row r="387" customFormat="false" ht="32.8" hidden="false" customHeight="false" outlineLevel="0" collapsed="false">
      <c r="A387" s="8" t="s">
        <v>1771</v>
      </c>
      <c r="B387" s="8" t="s">
        <v>1772</v>
      </c>
      <c r="C387" s="8" t="s">
        <v>87</v>
      </c>
      <c r="D387" s="8" t="s">
        <v>127</v>
      </c>
      <c r="E387" s="9" t="s">
        <v>87</v>
      </c>
      <c r="F387" s="9" t="n">
        <v>467200</v>
      </c>
      <c r="G387" s="9" t="str">
        <f aca="false">IF(AND(ISNUMBER(E387),ISNUMBER(F387)),E387-F387,"No disponible")</f>
        <v>No disponible</v>
      </c>
      <c r="H387" s="8" t="s">
        <v>64</v>
      </c>
      <c r="I387" s="8" t="s">
        <v>87</v>
      </c>
      <c r="J387" s="8" t="s">
        <v>43</v>
      </c>
      <c r="K387" s="8" t="s">
        <v>1628</v>
      </c>
      <c r="L387" s="8" t="s">
        <v>1779</v>
      </c>
      <c r="M387" s="8" t="s">
        <v>82</v>
      </c>
      <c r="N387" s="8" t="s">
        <v>1622</v>
      </c>
      <c r="O387" s="8" t="s">
        <v>1780</v>
      </c>
      <c r="P387" s="8" t="s">
        <v>1781</v>
      </c>
      <c r="Q387" s="8" t="s">
        <v>86</v>
      </c>
      <c r="R387" s="8" t="s">
        <v>50</v>
      </c>
    </row>
    <row r="388" customFormat="false" ht="32.8" hidden="false" customHeight="false" outlineLevel="0" collapsed="false">
      <c r="A388" s="8" t="s">
        <v>1771</v>
      </c>
      <c r="B388" s="8" t="s">
        <v>1772</v>
      </c>
      <c r="C388" s="8" t="s">
        <v>87</v>
      </c>
      <c r="D388" s="8" t="s">
        <v>1782</v>
      </c>
      <c r="E388" s="9" t="s">
        <v>87</v>
      </c>
      <c r="F388" s="9" t="n">
        <v>65358</v>
      </c>
      <c r="G388" s="9" t="str">
        <f aca="false">IF(AND(ISNUMBER(E388),ISNUMBER(F388)),E388-F388,"No disponible")</f>
        <v>No disponible</v>
      </c>
      <c r="H388" s="8" t="s">
        <v>64</v>
      </c>
      <c r="I388" s="8" t="s">
        <v>87</v>
      </c>
      <c r="J388" s="8" t="s">
        <v>43</v>
      </c>
      <c r="K388" s="8" t="s">
        <v>1628</v>
      </c>
      <c r="L388" s="8" t="s">
        <v>1783</v>
      </c>
      <c r="M388" s="8" t="s">
        <v>82</v>
      </c>
      <c r="N388" s="8" t="s">
        <v>1622</v>
      </c>
      <c r="O388" s="8" t="s">
        <v>1784</v>
      </c>
      <c r="P388" s="8" t="s">
        <v>1785</v>
      </c>
      <c r="Q388" s="8" t="s">
        <v>86</v>
      </c>
      <c r="R388" s="8" t="s">
        <v>50</v>
      </c>
    </row>
    <row r="389" customFormat="false" ht="32.8" hidden="false" customHeight="false" outlineLevel="0" collapsed="false">
      <c r="A389" s="8" t="s">
        <v>1771</v>
      </c>
      <c r="B389" s="8" t="s">
        <v>1772</v>
      </c>
      <c r="C389" s="8" t="s">
        <v>87</v>
      </c>
      <c r="D389" s="8" t="s">
        <v>127</v>
      </c>
      <c r="E389" s="9" t="s">
        <v>87</v>
      </c>
      <c r="F389" s="9" t="n">
        <v>79000</v>
      </c>
      <c r="G389" s="9" t="str">
        <f aca="false">IF(AND(ISNUMBER(E389),ISNUMBER(F389)),E389-F389,"No disponible")</f>
        <v>No disponible</v>
      </c>
      <c r="H389" s="8" t="s">
        <v>64</v>
      </c>
      <c r="I389" s="8" t="s">
        <v>87</v>
      </c>
      <c r="J389" s="8" t="s">
        <v>43</v>
      </c>
      <c r="K389" s="8" t="s">
        <v>1628</v>
      </c>
      <c r="L389" s="8" t="s">
        <v>1786</v>
      </c>
      <c r="M389" s="8" t="s">
        <v>82</v>
      </c>
      <c r="N389" s="8" t="s">
        <v>1622</v>
      </c>
      <c r="O389" s="8" t="s">
        <v>1787</v>
      </c>
      <c r="P389" s="8" t="s">
        <v>1788</v>
      </c>
      <c r="Q389" s="8" t="s">
        <v>86</v>
      </c>
      <c r="R389" s="8" t="s">
        <v>50</v>
      </c>
    </row>
    <row r="390" customFormat="false" ht="32.8" hidden="false" customHeight="false" outlineLevel="0" collapsed="false">
      <c r="A390" s="8" t="s">
        <v>1771</v>
      </c>
      <c r="B390" s="8" t="s">
        <v>1772</v>
      </c>
      <c r="C390" s="8" t="s">
        <v>87</v>
      </c>
      <c r="D390" s="8" t="s">
        <v>127</v>
      </c>
      <c r="E390" s="9" t="s">
        <v>87</v>
      </c>
      <c r="F390" s="9" t="n">
        <v>79000</v>
      </c>
      <c r="G390" s="9" t="str">
        <f aca="false">IF(AND(ISNUMBER(E390),ISNUMBER(F390)),E390-F390,"No disponible")</f>
        <v>No disponible</v>
      </c>
      <c r="H390" s="8" t="s">
        <v>64</v>
      </c>
      <c r="I390" s="8" t="s">
        <v>87</v>
      </c>
      <c r="J390" s="8" t="s">
        <v>43</v>
      </c>
      <c r="K390" s="8" t="s">
        <v>1628</v>
      </c>
      <c r="L390" s="8" t="s">
        <v>1789</v>
      </c>
      <c r="M390" s="8" t="s">
        <v>82</v>
      </c>
      <c r="N390" s="8" t="s">
        <v>1622</v>
      </c>
      <c r="O390" s="8" t="s">
        <v>1790</v>
      </c>
      <c r="P390" s="8" t="s">
        <v>1791</v>
      </c>
      <c r="Q390" s="8" t="s">
        <v>86</v>
      </c>
      <c r="R390" s="8" t="s">
        <v>50</v>
      </c>
    </row>
    <row r="391" customFormat="false" ht="32.8" hidden="false" customHeight="false" outlineLevel="0" collapsed="false">
      <c r="A391" s="8" t="s">
        <v>1792</v>
      </c>
      <c r="B391" s="8" t="s">
        <v>1793</v>
      </c>
      <c r="C391" s="8" t="s">
        <v>87</v>
      </c>
      <c r="D391" s="8" t="s">
        <v>1794</v>
      </c>
      <c r="E391" s="9" t="s">
        <v>87</v>
      </c>
      <c r="F391" s="9" t="n">
        <v>3276502</v>
      </c>
      <c r="G391" s="9" t="str">
        <f aca="false">IF(AND(ISNUMBER(E391),ISNUMBER(F391)),E391-F391,"No disponible")</f>
        <v>No disponible</v>
      </c>
      <c r="H391" s="8" t="s">
        <v>1795</v>
      </c>
      <c r="I391" s="8" t="s">
        <v>87</v>
      </c>
      <c r="J391" s="8" t="s">
        <v>43</v>
      </c>
      <c r="K391" s="8" t="s">
        <v>1628</v>
      </c>
      <c r="L391" s="8" t="s">
        <v>1796</v>
      </c>
      <c r="M391" s="8" t="s">
        <v>82</v>
      </c>
      <c r="N391" s="8" t="s">
        <v>1622</v>
      </c>
      <c r="O391" s="8" t="s">
        <v>1797</v>
      </c>
      <c r="P391" s="8" t="s">
        <v>1798</v>
      </c>
      <c r="Q391" s="8" t="s">
        <v>86</v>
      </c>
      <c r="R391" s="8" t="s">
        <v>50</v>
      </c>
    </row>
    <row r="392" customFormat="false" ht="32.8" hidden="false" customHeight="false" outlineLevel="0" collapsed="false">
      <c r="A392" s="8" t="s">
        <v>1799</v>
      </c>
      <c r="B392" s="8" t="s">
        <v>1800</v>
      </c>
      <c r="C392" s="8" t="s">
        <v>87</v>
      </c>
      <c r="D392" s="8" t="s">
        <v>127</v>
      </c>
      <c r="E392" s="9" t="s">
        <v>87</v>
      </c>
      <c r="F392" s="9" t="n">
        <v>135736</v>
      </c>
      <c r="G392" s="9" t="str">
        <f aca="false">IF(AND(ISNUMBER(E392),ISNUMBER(F392)),E392-F392,"No disponible")</f>
        <v>No disponible</v>
      </c>
      <c r="H392" s="8" t="s">
        <v>64</v>
      </c>
      <c r="I392" s="8" t="s">
        <v>87</v>
      </c>
      <c r="J392" s="8" t="s">
        <v>43</v>
      </c>
      <c r="K392" s="8" t="s">
        <v>1628</v>
      </c>
      <c r="L392" s="8" t="s">
        <v>1801</v>
      </c>
      <c r="M392" s="8" t="s">
        <v>82</v>
      </c>
      <c r="N392" s="8" t="s">
        <v>1622</v>
      </c>
      <c r="O392" s="8" t="s">
        <v>1802</v>
      </c>
      <c r="P392" s="8" t="s">
        <v>1803</v>
      </c>
      <c r="Q392" s="8" t="s">
        <v>86</v>
      </c>
      <c r="R392" s="8" t="s">
        <v>50</v>
      </c>
    </row>
    <row r="393" customFormat="false" ht="32.8" hidden="false" customHeight="false" outlineLevel="0" collapsed="false">
      <c r="A393" s="8" t="s">
        <v>812</v>
      </c>
      <c r="B393" s="8" t="s">
        <v>813</v>
      </c>
      <c r="C393" s="8" t="s">
        <v>87</v>
      </c>
      <c r="D393" s="8" t="s">
        <v>127</v>
      </c>
      <c r="E393" s="9" t="s">
        <v>87</v>
      </c>
      <c r="F393" s="9" t="n">
        <v>150000</v>
      </c>
      <c r="G393" s="9" t="str">
        <f aca="false">IF(AND(ISNUMBER(E393),ISNUMBER(F393)),E393-F393,"No disponible")</f>
        <v>No disponible</v>
      </c>
      <c r="H393" s="8" t="s">
        <v>64</v>
      </c>
      <c r="I393" s="8" t="s">
        <v>87</v>
      </c>
      <c r="J393" s="8" t="s">
        <v>43</v>
      </c>
      <c r="K393" s="8" t="s">
        <v>1628</v>
      </c>
      <c r="L393" s="8" t="s">
        <v>1804</v>
      </c>
      <c r="M393" s="8" t="s">
        <v>82</v>
      </c>
      <c r="N393" s="8" t="s">
        <v>1622</v>
      </c>
      <c r="O393" s="8" t="s">
        <v>1805</v>
      </c>
      <c r="P393" s="8" t="s">
        <v>1806</v>
      </c>
      <c r="Q393" s="8" t="s">
        <v>86</v>
      </c>
      <c r="R393" s="8" t="s">
        <v>50</v>
      </c>
    </row>
    <row r="394" customFormat="false" ht="32.8" hidden="false" customHeight="false" outlineLevel="0" collapsed="false">
      <c r="A394" s="8" t="s">
        <v>1807</v>
      </c>
      <c r="B394" s="8" t="s">
        <v>1808</v>
      </c>
      <c r="C394" s="8" t="s">
        <v>87</v>
      </c>
      <c r="D394" s="8" t="s">
        <v>948</v>
      </c>
      <c r="E394" s="9" t="s">
        <v>87</v>
      </c>
      <c r="F394" s="9" t="n">
        <v>104600</v>
      </c>
      <c r="G394" s="9" t="str">
        <f aca="false">IF(AND(ISNUMBER(E394),ISNUMBER(F394)),E394-F394,"No disponible")</f>
        <v>No disponible</v>
      </c>
      <c r="H394" s="8" t="s">
        <v>1809</v>
      </c>
      <c r="I394" s="8" t="s">
        <v>87</v>
      </c>
      <c r="J394" s="8" t="s">
        <v>43</v>
      </c>
      <c r="K394" s="8" t="s">
        <v>1628</v>
      </c>
      <c r="L394" s="8" t="s">
        <v>1810</v>
      </c>
      <c r="M394" s="8" t="s">
        <v>82</v>
      </c>
      <c r="N394" s="8" t="s">
        <v>1622</v>
      </c>
      <c r="O394" s="8" t="s">
        <v>1811</v>
      </c>
      <c r="P394" s="8" t="s">
        <v>1812</v>
      </c>
      <c r="Q394" s="8" t="s">
        <v>86</v>
      </c>
      <c r="R394" s="8" t="s">
        <v>50</v>
      </c>
    </row>
    <row r="395" customFormat="false" ht="32.8" hidden="false" customHeight="false" outlineLevel="0" collapsed="false">
      <c r="A395" s="8" t="s">
        <v>1813</v>
      </c>
      <c r="B395" s="8" t="s">
        <v>1814</v>
      </c>
      <c r="C395" s="8" t="s">
        <v>87</v>
      </c>
      <c r="D395" s="8" t="s">
        <v>127</v>
      </c>
      <c r="E395" s="9" t="s">
        <v>87</v>
      </c>
      <c r="F395" s="9" t="n">
        <v>99990</v>
      </c>
      <c r="G395" s="9" t="str">
        <f aca="false">IF(AND(ISNUMBER(E395),ISNUMBER(F395)),E395-F395,"No disponible")</f>
        <v>No disponible</v>
      </c>
      <c r="H395" s="8" t="s">
        <v>64</v>
      </c>
      <c r="I395" s="8" t="s">
        <v>87</v>
      </c>
      <c r="J395" s="8" t="s">
        <v>43</v>
      </c>
      <c r="K395" s="8" t="s">
        <v>1628</v>
      </c>
      <c r="L395" s="8" t="s">
        <v>1815</v>
      </c>
      <c r="M395" s="8" t="s">
        <v>82</v>
      </c>
      <c r="N395" s="8" t="s">
        <v>1622</v>
      </c>
      <c r="O395" s="8" t="s">
        <v>1816</v>
      </c>
      <c r="P395" s="8" t="s">
        <v>1817</v>
      </c>
      <c r="Q395" s="8" t="s">
        <v>86</v>
      </c>
      <c r="R395" s="8" t="s">
        <v>50</v>
      </c>
    </row>
    <row r="396" customFormat="false" ht="32.8" hidden="false" customHeight="false" outlineLevel="0" collapsed="false">
      <c r="A396" s="8" t="s">
        <v>1818</v>
      </c>
      <c r="B396" s="8" t="s">
        <v>846</v>
      </c>
      <c r="C396" s="8" t="s">
        <v>87</v>
      </c>
      <c r="D396" s="8" t="s">
        <v>127</v>
      </c>
      <c r="E396" s="9" t="s">
        <v>87</v>
      </c>
      <c r="F396" s="9" t="n">
        <v>31900</v>
      </c>
      <c r="G396" s="9" t="str">
        <f aca="false">IF(AND(ISNUMBER(E396),ISNUMBER(F396)),E396-F396,"No disponible")</f>
        <v>No disponible</v>
      </c>
      <c r="H396" s="8" t="s">
        <v>64</v>
      </c>
      <c r="I396" s="8" t="s">
        <v>87</v>
      </c>
      <c r="J396" s="8" t="s">
        <v>43</v>
      </c>
      <c r="K396" s="8" t="s">
        <v>1628</v>
      </c>
      <c r="L396" s="8" t="s">
        <v>1819</v>
      </c>
      <c r="M396" s="8" t="s">
        <v>82</v>
      </c>
      <c r="N396" s="8" t="s">
        <v>1622</v>
      </c>
      <c r="O396" s="8" t="s">
        <v>852</v>
      </c>
      <c r="P396" s="8" t="s">
        <v>853</v>
      </c>
      <c r="Q396" s="8" t="s">
        <v>86</v>
      </c>
      <c r="R396" s="8" t="s">
        <v>50</v>
      </c>
    </row>
    <row r="397" customFormat="false" ht="32.8" hidden="false" customHeight="false" outlineLevel="0" collapsed="false">
      <c r="A397" s="8" t="s">
        <v>1820</v>
      </c>
      <c r="B397" s="8" t="s">
        <v>946</v>
      </c>
      <c r="C397" s="8" t="s">
        <v>87</v>
      </c>
      <c r="D397" s="8" t="s">
        <v>127</v>
      </c>
      <c r="E397" s="9" t="s">
        <v>87</v>
      </c>
      <c r="F397" s="9" t="n">
        <v>46000</v>
      </c>
      <c r="G397" s="9" t="str">
        <f aca="false">IF(AND(ISNUMBER(E397),ISNUMBER(F397)),E397-F397,"No disponible")</f>
        <v>No disponible</v>
      </c>
      <c r="H397" s="8" t="s">
        <v>64</v>
      </c>
      <c r="I397" s="8" t="s">
        <v>87</v>
      </c>
      <c r="J397" s="8" t="s">
        <v>43</v>
      </c>
      <c r="K397" s="8" t="s">
        <v>1628</v>
      </c>
      <c r="L397" s="8" t="s">
        <v>1821</v>
      </c>
      <c r="M397" s="8" t="s">
        <v>82</v>
      </c>
      <c r="N397" s="8" t="s">
        <v>1622</v>
      </c>
      <c r="O397" s="8" t="s">
        <v>956</v>
      </c>
      <c r="P397" s="8" t="s">
        <v>957</v>
      </c>
      <c r="Q397" s="8" t="s">
        <v>86</v>
      </c>
      <c r="R397" s="8" t="s">
        <v>50</v>
      </c>
    </row>
    <row r="398" customFormat="false" ht="32.8" hidden="false" customHeight="false" outlineLevel="0" collapsed="false">
      <c r="A398" s="8" t="s">
        <v>1820</v>
      </c>
      <c r="B398" s="8" t="s">
        <v>946</v>
      </c>
      <c r="C398" s="8" t="s">
        <v>87</v>
      </c>
      <c r="D398" s="8" t="s">
        <v>127</v>
      </c>
      <c r="E398" s="9" t="s">
        <v>87</v>
      </c>
      <c r="F398" s="9" t="n">
        <v>59600</v>
      </c>
      <c r="G398" s="9" t="str">
        <f aca="false">IF(AND(ISNUMBER(E398),ISNUMBER(F398)),E398-F398,"No disponible")</f>
        <v>No disponible</v>
      </c>
      <c r="H398" s="8" t="s">
        <v>64</v>
      </c>
      <c r="I398" s="8" t="s">
        <v>87</v>
      </c>
      <c r="J398" s="8" t="s">
        <v>43</v>
      </c>
      <c r="K398" s="8" t="s">
        <v>1628</v>
      </c>
      <c r="L398" s="8" t="s">
        <v>1822</v>
      </c>
      <c r="M398" s="8" t="s">
        <v>82</v>
      </c>
      <c r="N398" s="8" t="s">
        <v>1622</v>
      </c>
      <c r="O398" s="8" t="s">
        <v>1823</v>
      </c>
      <c r="P398" s="8" t="s">
        <v>1824</v>
      </c>
      <c r="Q398" s="8" t="s">
        <v>86</v>
      </c>
      <c r="R398" s="8" t="s">
        <v>50</v>
      </c>
    </row>
    <row r="399" customFormat="false" ht="32.8" hidden="false" customHeight="false" outlineLevel="0" collapsed="false">
      <c r="A399" s="8" t="s">
        <v>1820</v>
      </c>
      <c r="B399" s="8" t="s">
        <v>946</v>
      </c>
      <c r="C399" s="8" t="s">
        <v>87</v>
      </c>
      <c r="D399" s="8" t="s">
        <v>127</v>
      </c>
      <c r="E399" s="9" t="s">
        <v>87</v>
      </c>
      <c r="F399" s="9" t="n">
        <v>63700</v>
      </c>
      <c r="G399" s="9" t="str">
        <f aca="false">IF(AND(ISNUMBER(E399),ISNUMBER(F399)),E399-F399,"No disponible")</f>
        <v>No disponible</v>
      </c>
      <c r="H399" s="8" t="s">
        <v>64</v>
      </c>
      <c r="I399" s="8" t="s">
        <v>87</v>
      </c>
      <c r="J399" s="8" t="s">
        <v>43</v>
      </c>
      <c r="K399" s="8" t="s">
        <v>1628</v>
      </c>
      <c r="L399" s="8" t="s">
        <v>1825</v>
      </c>
      <c r="M399" s="8" t="s">
        <v>82</v>
      </c>
      <c r="N399" s="8" t="s">
        <v>1622</v>
      </c>
      <c r="O399" s="8" t="s">
        <v>967</v>
      </c>
      <c r="P399" s="8" t="s">
        <v>968</v>
      </c>
      <c r="Q399" s="8" t="s">
        <v>86</v>
      </c>
      <c r="R399" s="8" t="s">
        <v>50</v>
      </c>
    </row>
    <row r="400" customFormat="false" ht="32.8" hidden="false" customHeight="false" outlineLevel="0" collapsed="false">
      <c r="A400" s="8" t="s">
        <v>1820</v>
      </c>
      <c r="B400" s="8" t="s">
        <v>946</v>
      </c>
      <c r="C400" s="8" t="s">
        <v>87</v>
      </c>
      <c r="D400" s="8" t="s">
        <v>127</v>
      </c>
      <c r="E400" s="9" t="s">
        <v>87</v>
      </c>
      <c r="F400" s="9" t="n">
        <v>53000</v>
      </c>
      <c r="G400" s="9" t="str">
        <f aca="false">IF(AND(ISNUMBER(E400),ISNUMBER(F400)),E400-F400,"No disponible")</f>
        <v>No disponible</v>
      </c>
      <c r="H400" s="8" t="s">
        <v>64</v>
      </c>
      <c r="I400" s="8" t="s">
        <v>87</v>
      </c>
      <c r="J400" s="8" t="s">
        <v>43</v>
      </c>
      <c r="K400" s="8" t="s">
        <v>1628</v>
      </c>
      <c r="L400" s="8" t="s">
        <v>1822</v>
      </c>
      <c r="M400" s="8" t="s">
        <v>82</v>
      </c>
      <c r="N400" s="8" t="s">
        <v>1622</v>
      </c>
      <c r="O400" s="8" t="s">
        <v>970</v>
      </c>
      <c r="P400" s="8" t="s">
        <v>971</v>
      </c>
      <c r="Q400" s="8" t="s">
        <v>86</v>
      </c>
      <c r="R400" s="8" t="s">
        <v>50</v>
      </c>
    </row>
    <row r="401" customFormat="false" ht="32.8" hidden="false" customHeight="false" outlineLevel="0" collapsed="false">
      <c r="A401" s="8" t="s">
        <v>1820</v>
      </c>
      <c r="B401" s="8" t="s">
        <v>946</v>
      </c>
      <c r="C401" s="8" t="s">
        <v>87</v>
      </c>
      <c r="D401" s="8" t="s">
        <v>127</v>
      </c>
      <c r="E401" s="9" t="s">
        <v>87</v>
      </c>
      <c r="F401" s="9" t="n">
        <v>50500</v>
      </c>
      <c r="G401" s="9" t="str">
        <f aca="false">IF(AND(ISNUMBER(E401),ISNUMBER(F401)),E401-F401,"No disponible")</f>
        <v>No disponible</v>
      </c>
      <c r="H401" s="8" t="s">
        <v>64</v>
      </c>
      <c r="I401" s="8" t="s">
        <v>87</v>
      </c>
      <c r="J401" s="8" t="s">
        <v>43</v>
      </c>
      <c r="K401" s="8" t="s">
        <v>1628</v>
      </c>
      <c r="L401" s="8" t="s">
        <v>1822</v>
      </c>
      <c r="M401" s="8" t="s">
        <v>82</v>
      </c>
      <c r="N401" s="8" t="s">
        <v>1622</v>
      </c>
      <c r="O401" s="8" t="s">
        <v>973</v>
      </c>
      <c r="P401" s="8" t="s">
        <v>974</v>
      </c>
      <c r="Q401" s="8" t="s">
        <v>86</v>
      </c>
      <c r="R401" s="8" t="s">
        <v>50</v>
      </c>
    </row>
    <row r="402" customFormat="false" ht="32.8" hidden="false" customHeight="false" outlineLevel="0" collapsed="false">
      <c r="A402" s="8" t="s">
        <v>1826</v>
      </c>
      <c r="B402" s="8" t="s">
        <v>1827</v>
      </c>
      <c r="C402" s="8" t="s">
        <v>87</v>
      </c>
      <c r="D402" s="8" t="s">
        <v>183</v>
      </c>
      <c r="E402" s="9" t="s">
        <v>87</v>
      </c>
      <c r="F402" s="9" t="n">
        <v>81258</v>
      </c>
      <c r="G402" s="9" t="str">
        <f aca="false">IF(AND(ISNUMBER(E402),ISNUMBER(F402)),E402-F402,"No disponible")</f>
        <v>No disponible</v>
      </c>
      <c r="H402" s="8" t="s">
        <v>1828</v>
      </c>
      <c r="I402" s="8" t="s">
        <v>87</v>
      </c>
      <c r="J402" s="8" t="s">
        <v>43</v>
      </c>
      <c r="K402" s="8" t="s">
        <v>1628</v>
      </c>
      <c r="L402" s="8" t="s">
        <v>1829</v>
      </c>
      <c r="M402" s="8" t="s">
        <v>82</v>
      </c>
      <c r="N402" s="8" t="s">
        <v>1622</v>
      </c>
      <c r="O402" s="8" t="s">
        <v>1830</v>
      </c>
      <c r="P402" s="8" t="s">
        <v>1831</v>
      </c>
      <c r="Q402" s="8" t="s">
        <v>86</v>
      </c>
      <c r="R402" s="8" t="s">
        <v>111</v>
      </c>
    </row>
    <row r="403" customFormat="false" ht="32.8" hidden="false" customHeight="false" outlineLevel="0" collapsed="false">
      <c r="A403" s="8" t="s">
        <v>1826</v>
      </c>
      <c r="B403" s="8" t="s">
        <v>1827</v>
      </c>
      <c r="C403" s="8" t="s">
        <v>87</v>
      </c>
      <c r="D403" s="8" t="s">
        <v>183</v>
      </c>
      <c r="E403" s="9" t="s">
        <v>87</v>
      </c>
      <c r="F403" s="9" t="n">
        <v>97510</v>
      </c>
      <c r="G403" s="9" t="str">
        <f aca="false">IF(AND(ISNUMBER(E403),ISNUMBER(F403)),E403-F403,"No disponible")</f>
        <v>No disponible</v>
      </c>
      <c r="H403" s="8" t="s">
        <v>1832</v>
      </c>
      <c r="I403" s="8" t="s">
        <v>87</v>
      </c>
      <c r="J403" s="8" t="s">
        <v>43</v>
      </c>
      <c r="K403" s="8" t="s">
        <v>1628</v>
      </c>
      <c r="L403" s="8" t="s">
        <v>1833</v>
      </c>
      <c r="M403" s="8" t="s">
        <v>82</v>
      </c>
      <c r="N403" s="8" t="s">
        <v>1622</v>
      </c>
      <c r="O403" s="8" t="s">
        <v>1834</v>
      </c>
      <c r="P403" s="8" t="s">
        <v>1835</v>
      </c>
      <c r="Q403" s="8" t="s">
        <v>86</v>
      </c>
      <c r="R403" s="8" t="s">
        <v>111</v>
      </c>
    </row>
    <row r="404" customFormat="false" ht="32.8" hidden="false" customHeight="false" outlineLevel="0" collapsed="false">
      <c r="A404" s="8" t="s">
        <v>1826</v>
      </c>
      <c r="B404" s="8" t="s">
        <v>1827</v>
      </c>
      <c r="C404" s="8" t="s">
        <v>87</v>
      </c>
      <c r="D404" s="8" t="s">
        <v>183</v>
      </c>
      <c r="E404" s="9" t="s">
        <v>87</v>
      </c>
      <c r="F404" s="9" t="n">
        <v>97323</v>
      </c>
      <c r="G404" s="9" t="str">
        <f aca="false">IF(AND(ISNUMBER(E404),ISNUMBER(F404)),E404-F404,"No disponible")</f>
        <v>No disponible</v>
      </c>
      <c r="H404" s="8" t="s">
        <v>1836</v>
      </c>
      <c r="I404" s="8" t="s">
        <v>87</v>
      </c>
      <c r="J404" s="8" t="s">
        <v>43</v>
      </c>
      <c r="K404" s="8" t="s">
        <v>1628</v>
      </c>
      <c r="L404" s="8" t="s">
        <v>1837</v>
      </c>
      <c r="M404" s="8" t="s">
        <v>82</v>
      </c>
      <c r="N404" s="8" t="s">
        <v>1622</v>
      </c>
      <c r="O404" s="8" t="s">
        <v>1838</v>
      </c>
      <c r="P404" s="8" t="s">
        <v>1839</v>
      </c>
      <c r="Q404" s="8" t="s">
        <v>86</v>
      </c>
      <c r="R404" s="8" t="s">
        <v>111</v>
      </c>
    </row>
    <row r="405" customFormat="false" ht="32.8" hidden="false" customHeight="false" outlineLevel="0" collapsed="false">
      <c r="A405" s="8" t="s">
        <v>1840</v>
      </c>
      <c r="B405" s="8" t="s">
        <v>935</v>
      </c>
      <c r="C405" s="8" t="s">
        <v>87</v>
      </c>
      <c r="D405" s="8" t="s">
        <v>127</v>
      </c>
      <c r="E405" s="9" t="s">
        <v>87</v>
      </c>
      <c r="F405" s="9" t="n">
        <v>180000</v>
      </c>
      <c r="G405" s="9" t="str">
        <f aca="false">IF(AND(ISNUMBER(E405),ISNUMBER(F405)),E405-F405,"No disponible")</f>
        <v>No disponible</v>
      </c>
      <c r="H405" s="8" t="s">
        <v>64</v>
      </c>
      <c r="I405" s="8" t="s">
        <v>87</v>
      </c>
      <c r="J405" s="8" t="s">
        <v>43</v>
      </c>
      <c r="K405" s="8" t="s">
        <v>1628</v>
      </c>
      <c r="L405" s="8" t="s">
        <v>1841</v>
      </c>
      <c r="M405" s="8" t="s">
        <v>82</v>
      </c>
      <c r="N405" s="8" t="s">
        <v>1622</v>
      </c>
      <c r="O405" s="8" t="s">
        <v>1842</v>
      </c>
      <c r="P405" s="8" t="s">
        <v>1843</v>
      </c>
      <c r="Q405" s="8" t="s">
        <v>86</v>
      </c>
      <c r="R405" s="8" t="s">
        <v>50</v>
      </c>
    </row>
    <row r="406" customFormat="false" ht="32.8" hidden="false" customHeight="false" outlineLevel="0" collapsed="false">
      <c r="A406" s="8" t="s">
        <v>1844</v>
      </c>
      <c r="B406" s="8" t="s">
        <v>1845</v>
      </c>
      <c r="C406" s="8" t="s">
        <v>87</v>
      </c>
      <c r="D406" s="8" t="s">
        <v>127</v>
      </c>
      <c r="E406" s="9" t="s">
        <v>87</v>
      </c>
      <c r="F406" s="9" t="n">
        <v>1752280</v>
      </c>
      <c r="G406" s="9" t="str">
        <f aca="false">IF(AND(ISNUMBER(E406),ISNUMBER(F406)),E406-F406,"No disponible")</f>
        <v>No disponible</v>
      </c>
      <c r="H406" s="8" t="s">
        <v>64</v>
      </c>
      <c r="I406" s="8" t="s">
        <v>87</v>
      </c>
      <c r="J406" s="8" t="s">
        <v>43</v>
      </c>
      <c r="K406" s="8" t="s">
        <v>1628</v>
      </c>
      <c r="L406" s="8" t="s">
        <v>1846</v>
      </c>
      <c r="M406" s="8" t="s">
        <v>82</v>
      </c>
      <c r="N406" s="8" t="s">
        <v>1622</v>
      </c>
      <c r="O406" s="8" t="s">
        <v>1847</v>
      </c>
      <c r="P406" s="8" t="s">
        <v>1848</v>
      </c>
      <c r="Q406" s="8" t="s">
        <v>86</v>
      </c>
      <c r="R406" s="8" t="s">
        <v>50</v>
      </c>
    </row>
    <row r="407" customFormat="false" ht="32.8" hidden="false" customHeight="false" outlineLevel="0" collapsed="false">
      <c r="A407" s="8" t="s">
        <v>1844</v>
      </c>
      <c r="B407" s="8" t="s">
        <v>1845</v>
      </c>
      <c r="C407" s="8" t="s">
        <v>87</v>
      </c>
      <c r="D407" s="8" t="s">
        <v>127</v>
      </c>
      <c r="E407" s="9" t="s">
        <v>87</v>
      </c>
      <c r="F407" s="9" t="n">
        <v>2897757</v>
      </c>
      <c r="G407" s="9" t="str">
        <f aca="false">IF(AND(ISNUMBER(E407),ISNUMBER(F407)),E407-F407,"No disponible")</f>
        <v>No disponible</v>
      </c>
      <c r="H407" s="8" t="s">
        <v>64</v>
      </c>
      <c r="I407" s="8" t="s">
        <v>87</v>
      </c>
      <c r="J407" s="8" t="s">
        <v>43</v>
      </c>
      <c r="K407" s="8" t="s">
        <v>1628</v>
      </c>
      <c r="L407" s="8" t="s">
        <v>1849</v>
      </c>
      <c r="M407" s="8" t="s">
        <v>82</v>
      </c>
      <c r="N407" s="8" t="s">
        <v>1622</v>
      </c>
      <c r="O407" s="8" t="s">
        <v>1850</v>
      </c>
      <c r="P407" s="8" t="s">
        <v>1851</v>
      </c>
      <c r="Q407" s="8" t="s">
        <v>86</v>
      </c>
      <c r="R407" s="8" t="s">
        <v>50</v>
      </c>
    </row>
    <row r="408" customFormat="false" ht="32.8" hidden="false" customHeight="false" outlineLevel="0" collapsed="false">
      <c r="A408" s="8" t="s">
        <v>1852</v>
      </c>
      <c r="B408" s="8" t="s">
        <v>1076</v>
      </c>
      <c r="C408" s="8" t="s">
        <v>87</v>
      </c>
      <c r="D408" s="8" t="s">
        <v>127</v>
      </c>
      <c r="E408" s="9" t="s">
        <v>87</v>
      </c>
      <c r="F408" s="9" t="n">
        <v>83903</v>
      </c>
      <c r="G408" s="9" t="str">
        <f aca="false">IF(AND(ISNUMBER(E408),ISNUMBER(F408)),E408-F408,"No disponible")</f>
        <v>No disponible</v>
      </c>
      <c r="H408" s="8" t="s">
        <v>64</v>
      </c>
      <c r="I408" s="8" t="s">
        <v>87</v>
      </c>
      <c r="J408" s="8" t="s">
        <v>43</v>
      </c>
      <c r="K408" s="8" t="s">
        <v>1628</v>
      </c>
      <c r="L408" s="8" t="s">
        <v>1853</v>
      </c>
      <c r="M408" s="8" t="s">
        <v>82</v>
      </c>
      <c r="N408" s="8" t="s">
        <v>1622</v>
      </c>
      <c r="O408" s="8" t="s">
        <v>1081</v>
      </c>
      <c r="P408" s="8" t="s">
        <v>1082</v>
      </c>
      <c r="Q408" s="8" t="s">
        <v>86</v>
      </c>
      <c r="R408" s="8" t="s">
        <v>50</v>
      </c>
    </row>
    <row r="409" customFormat="false" ht="53.7" hidden="false" customHeight="false" outlineLevel="0" collapsed="false">
      <c r="A409" s="8" t="s">
        <v>1854</v>
      </c>
      <c r="B409" s="8" t="s">
        <v>1855</v>
      </c>
      <c r="C409" s="8" t="s">
        <v>87</v>
      </c>
      <c r="D409" s="8" t="s">
        <v>1856</v>
      </c>
      <c r="E409" s="9" t="s">
        <v>87</v>
      </c>
      <c r="F409" s="9" t="n">
        <v>8670171.86</v>
      </c>
      <c r="G409" s="9" t="str">
        <f aca="false">IF(AND(ISNUMBER(E409),ISNUMBER(F409)),E409-F409,"No disponible")</f>
        <v>No disponible</v>
      </c>
      <c r="H409" s="8" t="s">
        <v>64</v>
      </c>
      <c r="I409" s="8" t="s">
        <v>87</v>
      </c>
      <c r="J409" s="8" t="s">
        <v>43</v>
      </c>
      <c r="K409" s="8" t="s">
        <v>1620</v>
      </c>
      <c r="L409" s="8" t="s">
        <v>1621</v>
      </c>
      <c r="M409" s="8" t="s">
        <v>82</v>
      </c>
      <c r="N409" s="8" t="s">
        <v>1622</v>
      </c>
      <c r="O409" s="8" t="s">
        <v>1623</v>
      </c>
      <c r="P409" s="8" t="s">
        <v>1857</v>
      </c>
      <c r="Q409" s="8" t="s">
        <v>86</v>
      </c>
      <c r="R409" s="8" t="s">
        <v>50</v>
      </c>
    </row>
    <row r="410" customFormat="false" ht="32.8" hidden="false" customHeight="false" outlineLevel="0" collapsed="false">
      <c r="A410" s="8" t="s">
        <v>1854</v>
      </c>
      <c r="B410" s="8" t="s">
        <v>1855</v>
      </c>
      <c r="C410" s="8" t="s">
        <v>87</v>
      </c>
      <c r="D410" s="8" t="s">
        <v>1619</v>
      </c>
      <c r="E410" s="9" t="s">
        <v>87</v>
      </c>
      <c r="F410" s="9" t="n">
        <v>15037099</v>
      </c>
      <c r="G410" s="9" t="str">
        <f aca="false">IF(AND(ISNUMBER(E410),ISNUMBER(F410)),E410-F410,"No disponible")</f>
        <v>No disponible</v>
      </c>
      <c r="H410" s="8" t="s">
        <v>64</v>
      </c>
      <c r="I410" s="8" t="s">
        <v>87</v>
      </c>
      <c r="J410" s="8" t="s">
        <v>43</v>
      </c>
      <c r="K410" s="8" t="s">
        <v>1628</v>
      </c>
      <c r="L410" s="8" t="s">
        <v>1858</v>
      </c>
      <c r="M410" s="8" t="s">
        <v>82</v>
      </c>
      <c r="N410" s="8" t="s">
        <v>1622</v>
      </c>
      <c r="O410" s="8" t="s">
        <v>1859</v>
      </c>
      <c r="P410" s="8" t="s">
        <v>1860</v>
      </c>
      <c r="Q410" s="8" t="s">
        <v>86</v>
      </c>
      <c r="R410" s="8" t="s">
        <v>50</v>
      </c>
    </row>
    <row r="411" customFormat="false" ht="32.8" hidden="false" customHeight="false" outlineLevel="0" collapsed="false">
      <c r="A411" s="8" t="s">
        <v>1097</v>
      </c>
      <c r="B411" s="8" t="s">
        <v>1098</v>
      </c>
      <c r="C411" s="8" t="s">
        <v>87</v>
      </c>
      <c r="D411" s="8" t="s">
        <v>127</v>
      </c>
      <c r="E411" s="9" t="s">
        <v>87</v>
      </c>
      <c r="F411" s="9" t="n">
        <v>23000</v>
      </c>
      <c r="G411" s="9" t="str">
        <f aca="false">IF(AND(ISNUMBER(E411),ISNUMBER(F411)),E411-F411,"No disponible")</f>
        <v>No disponible</v>
      </c>
      <c r="H411" s="8" t="s">
        <v>64</v>
      </c>
      <c r="I411" s="8" t="s">
        <v>87</v>
      </c>
      <c r="J411" s="8" t="s">
        <v>43</v>
      </c>
      <c r="K411" s="8" t="s">
        <v>1628</v>
      </c>
      <c r="L411" s="8" t="s">
        <v>1861</v>
      </c>
      <c r="M411" s="8" t="s">
        <v>82</v>
      </c>
      <c r="N411" s="8" t="s">
        <v>1622</v>
      </c>
      <c r="O411" s="8" t="s">
        <v>1862</v>
      </c>
      <c r="P411" s="8" t="s">
        <v>1863</v>
      </c>
      <c r="Q411" s="8" t="s">
        <v>86</v>
      </c>
      <c r="R411" s="8" t="s">
        <v>50</v>
      </c>
    </row>
    <row r="412" customFormat="false" ht="32.8" hidden="false" customHeight="false" outlineLevel="0" collapsed="false">
      <c r="A412" s="8" t="s">
        <v>1097</v>
      </c>
      <c r="B412" s="8" t="s">
        <v>1098</v>
      </c>
      <c r="C412" s="8" t="s">
        <v>87</v>
      </c>
      <c r="D412" s="8" t="s">
        <v>127</v>
      </c>
      <c r="E412" s="9" t="s">
        <v>87</v>
      </c>
      <c r="F412" s="9" t="n">
        <v>46000</v>
      </c>
      <c r="G412" s="9" t="str">
        <f aca="false">IF(AND(ISNUMBER(E412),ISNUMBER(F412)),E412-F412,"No disponible")</f>
        <v>No disponible</v>
      </c>
      <c r="H412" s="8" t="s">
        <v>64</v>
      </c>
      <c r="I412" s="8" t="s">
        <v>87</v>
      </c>
      <c r="J412" s="8" t="s">
        <v>43</v>
      </c>
      <c r="K412" s="8" t="s">
        <v>1628</v>
      </c>
      <c r="L412" s="8" t="s">
        <v>1864</v>
      </c>
      <c r="M412" s="8" t="s">
        <v>82</v>
      </c>
      <c r="N412" s="8" t="s">
        <v>1622</v>
      </c>
      <c r="O412" s="8" t="s">
        <v>1111</v>
      </c>
      <c r="P412" s="8" t="s">
        <v>1112</v>
      </c>
      <c r="Q412" s="8" t="s">
        <v>86</v>
      </c>
      <c r="R412" s="8" t="s">
        <v>50</v>
      </c>
    </row>
    <row r="413" customFormat="false" ht="32.8" hidden="false" customHeight="false" outlineLevel="0" collapsed="false">
      <c r="A413" s="8" t="s">
        <v>1097</v>
      </c>
      <c r="B413" s="8" t="s">
        <v>1098</v>
      </c>
      <c r="C413" s="8" t="s">
        <v>87</v>
      </c>
      <c r="D413" s="8" t="s">
        <v>127</v>
      </c>
      <c r="E413" s="9" t="s">
        <v>87</v>
      </c>
      <c r="F413" s="9" t="n">
        <v>23000</v>
      </c>
      <c r="G413" s="9" t="str">
        <f aca="false">IF(AND(ISNUMBER(E413),ISNUMBER(F413)),E413-F413,"No disponible")</f>
        <v>No disponible</v>
      </c>
      <c r="H413" s="8" t="s">
        <v>64</v>
      </c>
      <c r="I413" s="8" t="s">
        <v>87</v>
      </c>
      <c r="J413" s="8" t="s">
        <v>43</v>
      </c>
      <c r="K413" s="8" t="s">
        <v>1628</v>
      </c>
      <c r="L413" s="8" t="s">
        <v>1865</v>
      </c>
      <c r="M413" s="8" t="s">
        <v>82</v>
      </c>
      <c r="N413" s="8" t="s">
        <v>1622</v>
      </c>
      <c r="O413" s="8" t="s">
        <v>1866</v>
      </c>
      <c r="P413" s="8" t="s">
        <v>1867</v>
      </c>
      <c r="Q413" s="8" t="s">
        <v>86</v>
      </c>
      <c r="R413" s="8" t="s">
        <v>50</v>
      </c>
    </row>
    <row r="414" customFormat="false" ht="43.25" hidden="false" customHeight="false" outlineLevel="0" collapsed="false">
      <c r="A414" s="8" t="s">
        <v>1868</v>
      </c>
      <c r="B414" s="8" t="s">
        <v>1869</v>
      </c>
      <c r="C414" s="8" t="s">
        <v>87</v>
      </c>
      <c r="D414" s="8" t="s">
        <v>1619</v>
      </c>
      <c r="E414" s="9" t="s">
        <v>87</v>
      </c>
      <c r="F414" s="9" t="n">
        <v>19800000</v>
      </c>
      <c r="G414" s="9" t="str">
        <f aca="false">IF(AND(ISNUMBER(E414),ISNUMBER(F414)),E414-F414,"No disponible")</f>
        <v>No disponible</v>
      </c>
      <c r="H414" s="8" t="s">
        <v>64</v>
      </c>
      <c r="I414" s="8" t="s">
        <v>87</v>
      </c>
      <c r="J414" s="8" t="s">
        <v>43</v>
      </c>
      <c r="K414" s="8" t="s">
        <v>1620</v>
      </c>
      <c r="L414" s="8" t="s">
        <v>1621</v>
      </c>
      <c r="M414" s="8" t="s">
        <v>82</v>
      </c>
      <c r="N414" s="8" t="s">
        <v>1622</v>
      </c>
      <c r="O414" s="8" t="s">
        <v>1623</v>
      </c>
      <c r="P414" s="8" t="s">
        <v>1870</v>
      </c>
      <c r="Q414" s="8" t="s">
        <v>86</v>
      </c>
      <c r="R414" s="8" t="s">
        <v>50</v>
      </c>
    </row>
    <row r="415" customFormat="false" ht="32.8" hidden="false" customHeight="false" outlineLevel="0" collapsed="false">
      <c r="A415" s="8" t="s">
        <v>1871</v>
      </c>
      <c r="B415" s="8" t="s">
        <v>1872</v>
      </c>
      <c r="C415" s="8" t="s">
        <v>87</v>
      </c>
      <c r="D415" s="8" t="s">
        <v>1619</v>
      </c>
      <c r="E415" s="9" t="s">
        <v>87</v>
      </c>
      <c r="F415" s="9" t="n">
        <v>45722</v>
      </c>
      <c r="G415" s="9" t="str">
        <f aca="false">IF(AND(ISNUMBER(E415),ISNUMBER(F415)),E415-F415,"No disponible")</f>
        <v>No disponible</v>
      </c>
      <c r="H415" s="8" t="s">
        <v>64</v>
      </c>
      <c r="I415" s="8" t="s">
        <v>87</v>
      </c>
      <c r="J415" s="8" t="s">
        <v>43</v>
      </c>
      <c r="K415" s="8" t="s">
        <v>1628</v>
      </c>
      <c r="L415" s="8" t="s">
        <v>1873</v>
      </c>
      <c r="M415" s="8" t="s">
        <v>82</v>
      </c>
      <c r="N415" s="8" t="s">
        <v>1622</v>
      </c>
      <c r="O415" s="8" t="s">
        <v>1874</v>
      </c>
      <c r="P415" s="8" t="s">
        <v>1875</v>
      </c>
      <c r="Q415" s="8" t="s">
        <v>86</v>
      </c>
      <c r="R415" s="8" t="s">
        <v>50</v>
      </c>
    </row>
    <row r="416" customFormat="false" ht="32.8" hidden="false" customHeight="false" outlineLevel="0" collapsed="false">
      <c r="A416" s="8" t="s">
        <v>1876</v>
      </c>
      <c r="B416" s="8" t="s">
        <v>1136</v>
      </c>
      <c r="C416" s="8" t="s">
        <v>87</v>
      </c>
      <c r="D416" s="8" t="s">
        <v>1139</v>
      </c>
      <c r="E416" s="9" t="s">
        <v>87</v>
      </c>
      <c r="F416" s="9" t="n">
        <v>51135</v>
      </c>
      <c r="G416" s="9" t="str">
        <f aca="false">IF(AND(ISNUMBER(E416),ISNUMBER(F416)),E416-F416,"No disponible")</f>
        <v>No disponible</v>
      </c>
      <c r="H416" s="8" t="s">
        <v>1877</v>
      </c>
      <c r="I416" s="8" t="s">
        <v>87</v>
      </c>
      <c r="J416" s="8" t="s">
        <v>43</v>
      </c>
      <c r="K416" s="8" t="s">
        <v>1628</v>
      </c>
      <c r="L416" s="8" t="s">
        <v>1878</v>
      </c>
      <c r="M416" s="8" t="s">
        <v>82</v>
      </c>
      <c r="N416" s="8" t="s">
        <v>1622</v>
      </c>
      <c r="O416" s="8" t="s">
        <v>1879</v>
      </c>
      <c r="P416" s="8" t="s">
        <v>1880</v>
      </c>
      <c r="Q416" s="8" t="s">
        <v>86</v>
      </c>
      <c r="R416" s="8" t="s">
        <v>50</v>
      </c>
    </row>
    <row r="417" customFormat="false" ht="32.8" hidden="false" customHeight="false" outlineLevel="0" collapsed="false">
      <c r="A417" s="8" t="s">
        <v>1198</v>
      </c>
      <c r="B417" s="8" t="s">
        <v>1199</v>
      </c>
      <c r="C417" s="8" t="s">
        <v>87</v>
      </c>
      <c r="D417" s="8" t="s">
        <v>93</v>
      </c>
      <c r="E417" s="9" t="s">
        <v>87</v>
      </c>
      <c r="F417" s="9" t="n">
        <v>206000</v>
      </c>
      <c r="G417" s="9" t="str">
        <f aca="false">IF(AND(ISNUMBER(E417),ISNUMBER(F417)),E417-F417,"No disponible")</f>
        <v>No disponible</v>
      </c>
      <c r="H417" s="8" t="s">
        <v>1881</v>
      </c>
      <c r="I417" s="8" t="s">
        <v>87</v>
      </c>
      <c r="J417" s="8" t="s">
        <v>43</v>
      </c>
      <c r="K417" s="8" t="s">
        <v>1628</v>
      </c>
      <c r="L417" s="8" t="s">
        <v>1882</v>
      </c>
      <c r="M417" s="8" t="s">
        <v>82</v>
      </c>
      <c r="N417" s="8" t="s">
        <v>1622</v>
      </c>
      <c r="O417" s="8" t="s">
        <v>1883</v>
      </c>
      <c r="P417" s="8" t="s">
        <v>1884</v>
      </c>
      <c r="Q417" s="8" t="s">
        <v>86</v>
      </c>
      <c r="R417" s="8" t="s">
        <v>50</v>
      </c>
    </row>
    <row r="418" customFormat="false" ht="32.8" hidden="false" customHeight="false" outlineLevel="0" collapsed="false">
      <c r="A418" s="8" t="s">
        <v>1225</v>
      </c>
      <c r="B418" s="8" t="s">
        <v>1226</v>
      </c>
      <c r="C418" s="8" t="s">
        <v>87</v>
      </c>
      <c r="D418" s="8" t="s">
        <v>266</v>
      </c>
      <c r="E418" s="9" t="s">
        <v>87</v>
      </c>
      <c r="F418" s="9" t="n">
        <v>308000</v>
      </c>
      <c r="G418" s="9" t="str">
        <f aca="false">IF(AND(ISNUMBER(E418),ISNUMBER(F418)),E418-F418,"No disponible")</f>
        <v>No disponible</v>
      </c>
      <c r="H418" s="8" t="s">
        <v>1228</v>
      </c>
      <c r="I418" s="8" t="s">
        <v>87</v>
      </c>
      <c r="J418" s="8" t="s">
        <v>43</v>
      </c>
      <c r="K418" s="8" t="s">
        <v>1628</v>
      </c>
      <c r="L418" s="8" t="s">
        <v>1885</v>
      </c>
      <c r="M418" s="8" t="s">
        <v>82</v>
      </c>
      <c r="N418" s="8" t="s">
        <v>1622</v>
      </c>
      <c r="O418" s="8" t="s">
        <v>1229</v>
      </c>
      <c r="P418" s="8" t="s">
        <v>1230</v>
      </c>
      <c r="Q418" s="8" t="s">
        <v>86</v>
      </c>
      <c r="R418" s="8" t="s">
        <v>50</v>
      </c>
    </row>
    <row r="419" customFormat="false" ht="32.8" hidden="false" customHeight="false" outlineLevel="0" collapsed="false">
      <c r="A419" s="8" t="s">
        <v>1225</v>
      </c>
      <c r="B419" s="8" t="s">
        <v>1226</v>
      </c>
      <c r="C419" s="8" t="s">
        <v>87</v>
      </c>
      <c r="D419" s="8" t="s">
        <v>266</v>
      </c>
      <c r="E419" s="9" t="s">
        <v>87</v>
      </c>
      <c r="F419" s="9" t="n">
        <v>27670</v>
      </c>
      <c r="G419" s="9" t="str">
        <f aca="false">IF(AND(ISNUMBER(E419),ISNUMBER(F419)),E419-F419,"No disponible")</f>
        <v>No disponible</v>
      </c>
      <c r="H419" s="8" t="s">
        <v>1239</v>
      </c>
      <c r="I419" s="8" t="s">
        <v>87</v>
      </c>
      <c r="J419" s="8" t="s">
        <v>43</v>
      </c>
      <c r="K419" s="8" t="s">
        <v>1628</v>
      </c>
      <c r="L419" s="8" t="s">
        <v>1886</v>
      </c>
      <c r="M419" s="8" t="s">
        <v>82</v>
      </c>
      <c r="N419" s="8" t="s">
        <v>1622</v>
      </c>
      <c r="O419" s="8" t="s">
        <v>1240</v>
      </c>
      <c r="P419" s="8" t="s">
        <v>1241</v>
      </c>
      <c r="Q419" s="8" t="s">
        <v>86</v>
      </c>
      <c r="R419" s="8" t="s">
        <v>50</v>
      </c>
    </row>
    <row r="420" customFormat="false" ht="32.8" hidden="false" customHeight="false" outlineLevel="0" collapsed="false">
      <c r="A420" s="8" t="s">
        <v>1887</v>
      </c>
      <c r="B420" s="8" t="s">
        <v>1888</v>
      </c>
      <c r="C420" s="8" t="s">
        <v>87</v>
      </c>
      <c r="D420" s="8" t="s">
        <v>93</v>
      </c>
      <c r="E420" s="9" t="s">
        <v>87</v>
      </c>
      <c r="F420" s="9" t="n">
        <v>3000</v>
      </c>
      <c r="G420" s="9" t="str">
        <f aca="false">IF(AND(ISNUMBER(E420),ISNUMBER(F420)),E420-F420,"No disponible")</f>
        <v>No disponible</v>
      </c>
      <c r="H420" s="8" t="s">
        <v>1889</v>
      </c>
      <c r="I420" s="8" t="s">
        <v>87</v>
      </c>
      <c r="J420" s="8" t="s">
        <v>43</v>
      </c>
      <c r="K420" s="8" t="s">
        <v>1628</v>
      </c>
      <c r="L420" s="8" t="s">
        <v>1890</v>
      </c>
      <c r="M420" s="8" t="s">
        <v>82</v>
      </c>
      <c r="N420" s="8" t="s">
        <v>1622</v>
      </c>
      <c r="O420" s="8" t="s">
        <v>1891</v>
      </c>
      <c r="P420" s="8" t="s">
        <v>1892</v>
      </c>
      <c r="Q420" s="8" t="s">
        <v>86</v>
      </c>
      <c r="R420" s="8" t="s">
        <v>50</v>
      </c>
    </row>
    <row r="421" customFormat="false" ht="32.8" hidden="false" customHeight="false" outlineLevel="0" collapsed="false">
      <c r="A421" s="8" t="s">
        <v>1893</v>
      </c>
      <c r="B421" s="8" t="s">
        <v>1894</v>
      </c>
      <c r="C421" s="8" t="s">
        <v>87</v>
      </c>
      <c r="D421" s="8" t="s">
        <v>1619</v>
      </c>
      <c r="E421" s="9" t="s">
        <v>87</v>
      </c>
      <c r="F421" s="9" t="n">
        <v>762030</v>
      </c>
      <c r="G421" s="9" t="str">
        <f aca="false">IF(AND(ISNUMBER(E421),ISNUMBER(F421)),E421-F421,"No disponible")</f>
        <v>No disponible</v>
      </c>
      <c r="H421" s="8" t="s">
        <v>64</v>
      </c>
      <c r="I421" s="8" t="s">
        <v>87</v>
      </c>
      <c r="J421" s="8" t="s">
        <v>43</v>
      </c>
      <c r="K421" s="8" t="s">
        <v>1628</v>
      </c>
      <c r="L421" s="8" t="s">
        <v>1895</v>
      </c>
      <c r="M421" s="8" t="s">
        <v>82</v>
      </c>
      <c r="N421" s="8" t="s">
        <v>1622</v>
      </c>
      <c r="O421" s="8" t="s">
        <v>1896</v>
      </c>
      <c r="P421" s="8" t="s">
        <v>1897</v>
      </c>
      <c r="Q421" s="8" t="s">
        <v>86</v>
      </c>
      <c r="R421" s="8" t="s">
        <v>50</v>
      </c>
    </row>
    <row r="422" customFormat="false" ht="32.8" hidden="false" customHeight="false" outlineLevel="0" collapsed="false">
      <c r="A422" s="8" t="s">
        <v>1898</v>
      </c>
      <c r="B422" s="8" t="s">
        <v>1899</v>
      </c>
      <c r="C422" s="8" t="s">
        <v>87</v>
      </c>
      <c r="D422" s="8" t="s">
        <v>1619</v>
      </c>
      <c r="E422" s="9" t="s">
        <v>87</v>
      </c>
      <c r="F422" s="9" t="n">
        <v>54400.6</v>
      </c>
      <c r="G422" s="9" t="str">
        <f aca="false">IF(AND(ISNUMBER(E422),ISNUMBER(F422)),E422-F422,"No disponible")</f>
        <v>No disponible</v>
      </c>
      <c r="H422" s="8" t="s">
        <v>64</v>
      </c>
      <c r="I422" s="8" t="s">
        <v>87</v>
      </c>
      <c r="J422" s="8" t="s">
        <v>43</v>
      </c>
      <c r="K422" s="8" t="s">
        <v>1620</v>
      </c>
      <c r="L422" s="8" t="s">
        <v>1621</v>
      </c>
      <c r="M422" s="8" t="s">
        <v>82</v>
      </c>
      <c r="N422" s="8" t="s">
        <v>1622</v>
      </c>
      <c r="O422" s="8" t="s">
        <v>1623</v>
      </c>
      <c r="P422" s="8" t="s">
        <v>1900</v>
      </c>
      <c r="Q422" s="8" t="s">
        <v>86</v>
      </c>
      <c r="R422" s="8" t="s">
        <v>50</v>
      </c>
    </row>
    <row r="423" customFormat="false" ht="32.8" hidden="false" customHeight="false" outlineLevel="0" collapsed="false">
      <c r="A423" s="8" t="s">
        <v>1898</v>
      </c>
      <c r="B423" s="8" t="s">
        <v>1899</v>
      </c>
      <c r="C423" s="8" t="s">
        <v>87</v>
      </c>
      <c r="D423" s="8" t="s">
        <v>1901</v>
      </c>
      <c r="E423" s="9" t="s">
        <v>87</v>
      </c>
      <c r="F423" s="9" t="n">
        <v>14371889</v>
      </c>
      <c r="G423" s="9" t="str">
        <f aca="false">IF(AND(ISNUMBER(E423),ISNUMBER(F423)),E423-F423,"No disponible")</f>
        <v>No disponible</v>
      </c>
      <c r="H423" s="8" t="s">
        <v>1902</v>
      </c>
      <c r="I423" s="8" t="s">
        <v>87</v>
      </c>
      <c r="J423" s="8" t="s">
        <v>43</v>
      </c>
      <c r="K423" s="8" t="s">
        <v>1628</v>
      </c>
      <c r="L423" s="8" t="s">
        <v>1903</v>
      </c>
      <c r="M423" s="8" t="s">
        <v>82</v>
      </c>
      <c r="N423" s="8" t="s">
        <v>1622</v>
      </c>
      <c r="O423" s="8" t="s">
        <v>1904</v>
      </c>
      <c r="P423" s="8" t="s">
        <v>1905</v>
      </c>
      <c r="Q423" s="8" t="s">
        <v>86</v>
      </c>
      <c r="R423" s="8" t="s">
        <v>111</v>
      </c>
    </row>
    <row r="424" customFormat="false" ht="32.8" hidden="false" customHeight="false" outlineLevel="0" collapsed="false">
      <c r="A424" s="8" t="s">
        <v>1906</v>
      </c>
      <c r="B424" s="8" t="s">
        <v>1907</v>
      </c>
      <c r="C424" s="8" t="s">
        <v>87</v>
      </c>
      <c r="D424" s="8" t="s">
        <v>1619</v>
      </c>
      <c r="E424" s="9" t="s">
        <v>87</v>
      </c>
      <c r="F424" s="9" t="n">
        <v>643500</v>
      </c>
      <c r="G424" s="9" t="str">
        <f aca="false">IF(AND(ISNUMBER(E424),ISNUMBER(F424)),E424-F424,"No disponible")</f>
        <v>No disponible</v>
      </c>
      <c r="H424" s="8" t="s">
        <v>64</v>
      </c>
      <c r="I424" s="8" t="s">
        <v>87</v>
      </c>
      <c r="J424" s="8" t="s">
        <v>43</v>
      </c>
      <c r="K424" s="8" t="s">
        <v>1620</v>
      </c>
      <c r="L424" s="8" t="s">
        <v>1621</v>
      </c>
      <c r="M424" s="8" t="s">
        <v>82</v>
      </c>
      <c r="N424" s="8" t="s">
        <v>1622</v>
      </c>
      <c r="O424" s="8" t="s">
        <v>1623</v>
      </c>
      <c r="P424" s="8" t="s">
        <v>1908</v>
      </c>
      <c r="Q424" s="8" t="s">
        <v>86</v>
      </c>
      <c r="R424" s="8" t="s">
        <v>50</v>
      </c>
    </row>
    <row r="425" customFormat="false" ht="32.8" hidden="false" customHeight="false" outlineLevel="0" collapsed="false">
      <c r="A425" s="8" t="s">
        <v>1909</v>
      </c>
      <c r="B425" s="8" t="s">
        <v>1346</v>
      </c>
      <c r="C425" s="8" t="s">
        <v>87</v>
      </c>
      <c r="D425" s="8" t="s">
        <v>948</v>
      </c>
      <c r="E425" s="9" t="s">
        <v>87</v>
      </c>
      <c r="F425" s="9" t="n">
        <v>49500</v>
      </c>
      <c r="G425" s="9" t="str">
        <f aca="false">IF(AND(ISNUMBER(E425),ISNUMBER(F425)),E425-F425,"No disponible")</f>
        <v>No disponible</v>
      </c>
      <c r="H425" s="8" t="s">
        <v>1352</v>
      </c>
      <c r="I425" s="8" t="s">
        <v>87</v>
      </c>
      <c r="J425" s="8" t="s">
        <v>43</v>
      </c>
      <c r="K425" s="8" t="s">
        <v>1628</v>
      </c>
      <c r="L425" s="8" t="s">
        <v>1910</v>
      </c>
      <c r="M425" s="8" t="s">
        <v>82</v>
      </c>
      <c r="N425" s="8" t="s">
        <v>1622</v>
      </c>
      <c r="O425" s="8" t="s">
        <v>1353</v>
      </c>
      <c r="P425" s="8" t="s">
        <v>1354</v>
      </c>
      <c r="Q425" s="8" t="s">
        <v>86</v>
      </c>
      <c r="R425" s="8" t="s">
        <v>50</v>
      </c>
    </row>
    <row r="426" customFormat="false" ht="32.8" hidden="false" customHeight="false" outlineLevel="0" collapsed="false">
      <c r="A426" s="8" t="s">
        <v>1911</v>
      </c>
      <c r="B426" s="8" t="s">
        <v>1430</v>
      </c>
      <c r="C426" s="8" t="s">
        <v>87</v>
      </c>
      <c r="D426" s="8" t="s">
        <v>183</v>
      </c>
      <c r="E426" s="9" t="s">
        <v>87</v>
      </c>
      <c r="F426" s="9" t="n">
        <v>333436</v>
      </c>
      <c r="G426" s="9" t="str">
        <f aca="false">IF(AND(ISNUMBER(E426),ISNUMBER(F426)),E426-F426,"No disponible")</f>
        <v>No disponible</v>
      </c>
      <c r="H426" s="8" t="s">
        <v>1912</v>
      </c>
      <c r="I426" s="8" t="s">
        <v>87</v>
      </c>
      <c r="J426" s="8" t="s">
        <v>43</v>
      </c>
      <c r="K426" s="8" t="s">
        <v>1628</v>
      </c>
      <c r="L426" s="8" t="s">
        <v>1913</v>
      </c>
      <c r="M426" s="8" t="s">
        <v>82</v>
      </c>
      <c r="N426" s="8" t="s">
        <v>1622</v>
      </c>
      <c r="O426" s="8" t="s">
        <v>1914</v>
      </c>
      <c r="P426" s="8" t="s">
        <v>1915</v>
      </c>
      <c r="Q426" s="8" t="s">
        <v>86</v>
      </c>
      <c r="R426" s="8" t="s">
        <v>111</v>
      </c>
    </row>
    <row r="427" customFormat="false" ht="32.8" hidden="false" customHeight="false" outlineLevel="0" collapsed="false">
      <c r="A427" s="8" t="s">
        <v>1911</v>
      </c>
      <c r="B427" s="8" t="s">
        <v>1430</v>
      </c>
      <c r="C427" s="8" t="s">
        <v>87</v>
      </c>
      <c r="D427" s="8" t="s">
        <v>183</v>
      </c>
      <c r="E427" s="9" t="s">
        <v>87</v>
      </c>
      <c r="F427" s="9" t="n">
        <v>207642</v>
      </c>
      <c r="G427" s="9" t="str">
        <f aca="false">IF(AND(ISNUMBER(E427),ISNUMBER(F427)),E427-F427,"No disponible")</f>
        <v>No disponible</v>
      </c>
      <c r="H427" s="8" t="s">
        <v>1916</v>
      </c>
      <c r="I427" s="8" t="s">
        <v>87</v>
      </c>
      <c r="J427" s="8" t="s">
        <v>43</v>
      </c>
      <c r="K427" s="8" t="s">
        <v>1628</v>
      </c>
      <c r="L427" s="8" t="s">
        <v>1917</v>
      </c>
      <c r="M427" s="8" t="s">
        <v>82</v>
      </c>
      <c r="N427" s="8" t="s">
        <v>1622</v>
      </c>
      <c r="O427" s="8" t="s">
        <v>1918</v>
      </c>
      <c r="P427" s="8" t="s">
        <v>1919</v>
      </c>
      <c r="Q427" s="8" t="s">
        <v>86</v>
      </c>
      <c r="R427" s="8" t="s">
        <v>111</v>
      </c>
    </row>
    <row r="428" customFormat="false" ht="32.8" hidden="false" customHeight="false" outlineLevel="0" collapsed="false">
      <c r="A428" s="8" t="s">
        <v>1911</v>
      </c>
      <c r="B428" s="8" t="s">
        <v>1430</v>
      </c>
      <c r="C428" s="8" t="s">
        <v>87</v>
      </c>
      <c r="D428" s="8" t="s">
        <v>183</v>
      </c>
      <c r="E428" s="9" t="s">
        <v>87</v>
      </c>
      <c r="F428" s="9" t="n">
        <v>1112420</v>
      </c>
      <c r="G428" s="9" t="str">
        <f aca="false">IF(AND(ISNUMBER(E428),ISNUMBER(F428)),E428-F428,"No disponible")</f>
        <v>No disponible</v>
      </c>
      <c r="H428" s="8" t="s">
        <v>1920</v>
      </c>
      <c r="I428" s="8" t="s">
        <v>87</v>
      </c>
      <c r="J428" s="8" t="s">
        <v>43</v>
      </c>
      <c r="K428" s="8" t="s">
        <v>1628</v>
      </c>
      <c r="L428" s="8" t="s">
        <v>1921</v>
      </c>
      <c r="M428" s="8" t="s">
        <v>82</v>
      </c>
      <c r="N428" s="8" t="s">
        <v>1622</v>
      </c>
      <c r="O428" s="8" t="s">
        <v>1922</v>
      </c>
      <c r="P428" s="8" t="s">
        <v>1923</v>
      </c>
      <c r="Q428" s="8" t="s">
        <v>86</v>
      </c>
      <c r="R428" s="8" t="s">
        <v>111</v>
      </c>
    </row>
    <row r="429" customFormat="false" ht="32.8" hidden="false" customHeight="false" outlineLevel="0" collapsed="false">
      <c r="A429" s="8" t="s">
        <v>1924</v>
      </c>
      <c r="B429" s="8" t="s">
        <v>1445</v>
      </c>
      <c r="C429" s="8" t="s">
        <v>87</v>
      </c>
      <c r="D429" s="8" t="s">
        <v>266</v>
      </c>
      <c r="E429" s="9" t="s">
        <v>87</v>
      </c>
      <c r="F429" s="9" t="n">
        <v>53400</v>
      </c>
      <c r="G429" s="9" t="str">
        <f aca="false">IF(AND(ISNUMBER(E429),ISNUMBER(F429)),E429-F429,"No disponible")</f>
        <v>No disponible</v>
      </c>
      <c r="H429" s="8" t="s">
        <v>1925</v>
      </c>
      <c r="I429" s="8" t="s">
        <v>87</v>
      </c>
      <c r="J429" s="8" t="s">
        <v>43</v>
      </c>
      <c r="K429" s="8" t="s">
        <v>1628</v>
      </c>
      <c r="L429" s="8" t="s">
        <v>1926</v>
      </c>
      <c r="M429" s="8" t="s">
        <v>82</v>
      </c>
      <c r="N429" s="8" t="s">
        <v>1622</v>
      </c>
      <c r="O429" s="8" t="s">
        <v>1927</v>
      </c>
      <c r="P429" s="8" t="s">
        <v>1928</v>
      </c>
      <c r="Q429" s="8" t="s">
        <v>86</v>
      </c>
      <c r="R429" s="8" t="s">
        <v>50</v>
      </c>
    </row>
    <row r="430" customFormat="false" ht="32.8" hidden="false" customHeight="false" outlineLevel="0" collapsed="false">
      <c r="A430" s="8" t="s">
        <v>1924</v>
      </c>
      <c r="B430" s="8" t="s">
        <v>1445</v>
      </c>
      <c r="C430" s="8" t="s">
        <v>87</v>
      </c>
      <c r="D430" s="8" t="s">
        <v>266</v>
      </c>
      <c r="E430" s="9" t="s">
        <v>87</v>
      </c>
      <c r="F430" s="9" t="n">
        <v>120599</v>
      </c>
      <c r="G430" s="9" t="str">
        <f aca="false">IF(AND(ISNUMBER(E430),ISNUMBER(F430)),E430-F430,"No disponible")</f>
        <v>No disponible</v>
      </c>
      <c r="H430" s="8" t="s">
        <v>1929</v>
      </c>
      <c r="I430" s="8" t="s">
        <v>87</v>
      </c>
      <c r="J430" s="8" t="s">
        <v>43</v>
      </c>
      <c r="K430" s="8" t="s">
        <v>1628</v>
      </c>
      <c r="L430" s="8" t="s">
        <v>1930</v>
      </c>
      <c r="M430" s="8" t="s">
        <v>82</v>
      </c>
      <c r="N430" s="8" t="s">
        <v>1622</v>
      </c>
      <c r="O430" s="8" t="s">
        <v>1931</v>
      </c>
      <c r="P430" s="8" t="s">
        <v>1932</v>
      </c>
      <c r="Q430" s="8" t="s">
        <v>86</v>
      </c>
      <c r="R430" s="8" t="s">
        <v>50</v>
      </c>
    </row>
    <row r="431" customFormat="false" ht="32.8" hidden="false" customHeight="false" outlineLevel="0" collapsed="false">
      <c r="A431" s="8" t="s">
        <v>1924</v>
      </c>
      <c r="B431" s="8" t="s">
        <v>1445</v>
      </c>
      <c r="C431" s="8" t="s">
        <v>87</v>
      </c>
      <c r="D431" s="8" t="s">
        <v>266</v>
      </c>
      <c r="E431" s="9" t="s">
        <v>87</v>
      </c>
      <c r="F431" s="9" t="n">
        <v>894950</v>
      </c>
      <c r="G431" s="9" t="str">
        <f aca="false">IF(AND(ISNUMBER(E431),ISNUMBER(F431)),E431-F431,"No disponible")</f>
        <v>No disponible</v>
      </c>
      <c r="H431" s="8" t="s">
        <v>1486</v>
      </c>
      <c r="I431" s="8" t="s">
        <v>87</v>
      </c>
      <c r="J431" s="8" t="s">
        <v>43</v>
      </c>
      <c r="K431" s="8" t="s">
        <v>1628</v>
      </c>
      <c r="L431" s="8" t="s">
        <v>1933</v>
      </c>
      <c r="M431" s="8" t="s">
        <v>82</v>
      </c>
      <c r="N431" s="8" t="s">
        <v>1622</v>
      </c>
      <c r="O431" s="8" t="s">
        <v>1487</v>
      </c>
      <c r="P431" s="8" t="s">
        <v>1488</v>
      </c>
      <c r="Q431" s="8" t="s">
        <v>86</v>
      </c>
      <c r="R431" s="8" t="s">
        <v>50</v>
      </c>
    </row>
    <row r="432" customFormat="false" ht="32.8" hidden="false" customHeight="false" outlineLevel="0" collapsed="false">
      <c r="A432" s="8" t="s">
        <v>1924</v>
      </c>
      <c r="B432" s="8" t="s">
        <v>1445</v>
      </c>
      <c r="C432" s="8" t="s">
        <v>87</v>
      </c>
      <c r="D432" s="8" t="s">
        <v>266</v>
      </c>
      <c r="E432" s="9" t="s">
        <v>87</v>
      </c>
      <c r="F432" s="9" t="n">
        <v>391600</v>
      </c>
      <c r="G432" s="9" t="str">
        <f aca="false">IF(AND(ISNUMBER(E432),ISNUMBER(F432)),E432-F432,"No disponible")</f>
        <v>No disponible</v>
      </c>
      <c r="H432" s="8" t="s">
        <v>1498</v>
      </c>
      <c r="I432" s="8" t="s">
        <v>87</v>
      </c>
      <c r="J432" s="8" t="s">
        <v>43</v>
      </c>
      <c r="K432" s="8" t="s">
        <v>1628</v>
      </c>
      <c r="L432" s="8" t="s">
        <v>1934</v>
      </c>
      <c r="M432" s="8" t="s">
        <v>82</v>
      </c>
      <c r="N432" s="8" t="s">
        <v>1622</v>
      </c>
      <c r="O432" s="8" t="s">
        <v>1499</v>
      </c>
      <c r="P432" s="8" t="s">
        <v>1500</v>
      </c>
      <c r="Q432" s="8" t="s">
        <v>86</v>
      </c>
      <c r="R432" s="8" t="s">
        <v>50</v>
      </c>
    </row>
    <row r="433" customFormat="false" ht="32.8" hidden="false" customHeight="false" outlineLevel="0" collapsed="false">
      <c r="A433" s="8" t="s">
        <v>1924</v>
      </c>
      <c r="B433" s="8" t="s">
        <v>1445</v>
      </c>
      <c r="C433" s="8" t="s">
        <v>87</v>
      </c>
      <c r="D433" s="8" t="s">
        <v>266</v>
      </c>
      <c r="E433" s="9" t="s">
        <v>87</v>
      </c>
      <c r="F433" s="9" t="n">
        <v>856500</v>
      </c>
      <c r="G433" s="9" t="str">
        <f aca="false">IF(AND(ISNUMBER(E433),ISNUMBER(F433)),E433-F433,"No disponible")</f>
        <v>No disponible</v>
      </c>
      <c r="H433" s="8" t="s">
        <v>1463</v>
      </c>
      <c r="I433" s="8" t="s">
        <v>87</v>
      </c>
      <c r="J433" s="8" t="s">
        <v>43</v>
      </c>
      <c r="K433" s="8" t="s">
        <v>1628</v>
      </c>
      <c r="L433" s="8" t="s">
        <v>1935</v>
      </c>
      <c r="M433" s="8" t="s">
        <v>82</v>
      </c>
      <c r="N433" s="8" t="s">
        <v>1622</v>
      </c>
      <c r="O433" s="8" t="s">
        <v>1464</v>
      </c>
      <c r="P433" s="8" t="s">
        <v>1465</v>
      </c>
      <c r="Q433" s="8" t="s">
        <v>86</v>
      </c>
      <c r="R433" s="8" t="s">
        <v>50</v>
      </c>
    </row>
    <row r="434" customFormat="false" ht="32.8" hidden="false" customHeight="false" outlineLevel="0" collapsed="false">
      <c r="A434" s="8" t="s">
        <v>1924</v>
      </c>
      <c r="B434" s="8" t="s">
        <v>1445</v>
      </c>
      <c r="C434" s="8" t="s">
        <v>87</v>
      </c>
      <c r="D434" s="8" t="s">
        <v>266</v>
      </c>
      <c r="E434" s="9" t="s">
        <v>87</v>
      </c>
      <c r="F434" s="9" t="n">
        <v>47800</v>
      </c>
      <c r="G434" s="9" t="str">
        <f aca="false">IF(AND(ISNUMBER(E434),ISNUMBER(F434)),E434-F434,"No disponible")</f>
        <v>No disponible</v>
      </c>
      <c r="H434" s="8" t="s">
        <v>1455</v>
      </c>
      <c r="I434" s="8" t="s">
        <v>87</v>
      </c>
      <c r="J434" s="8" t="s">
        <v>43</v>
      </c>
      <c r="K434" s="8" t="s">
        <v>1628</v>
      </c>
      <c r="L434" s="8" t="s">
        <v>1936</v>
      </c>
      <c r="M434" s="8" t="s">
        <v>82</v>
      </c>
      <c r="N434" s="8" t="s">
        <v>1622</v>
      </c>
      <c r="O434" s="8" t="s">
        <v>1456</v>
      </c>
      <c r="P434" s="8" t="s">
        <v>1457</v>
      </c>
      <c r="Q434" s="8" t="s">
        <v>86</v>
      </c>
      <c r="R434" s="8" t="s">
        <v>50</v>
      </c>
    </row>
    <row r="435" customFormat="false" ht="32.8" hidden="false" customHeight="false" outlineLevel="0" collapsed="false">
      <c r="A435" s="8" t="s">
        <v>1924</v>
      </c>
      <c r="B435" s="8" t="s">
        <v>1445</v>
      </c>
      <c r="C435" s="8" t="s">
        <v>87</v>
      </c>
      <c r="D435" s="8" t="s">
        <v>266</v>
      </c>
      <c r="E435" s="9" t="s">
        <v>87</v>
      </c>
      <c r="F435" s="9" t="n">
        <v>292400</v>
      </c>
      <c r="G435" s="9" t="str">
        <f aca="false">IF(AND(ISNUMBER(E435),ISNUMBER(F435)),E435-F435,"No disponible")</f>
        <v>No disponible</v>
      </c>
      <c r="H435" s="8" t="s">
        <v>1490</v>
      </c>
      <c r="I435" s="8" t="s">
        <v>87</v>
      </c>
      <c r="J435" s="8" t="s">
        <v>43</v>
      </c>
      <c r="K435" s="8" t="s">
        <v>1628</v>
      </c>
      <c r="L435" s="8" t="s">
        <v>1937</v>
      </c>
      <c r="M435" s="8" t="s">
        <v>82</v>
      </c>
      <c r="N435" s="8" t="s">
        <v>1622</v>
      </c>
      <c r="O435" s="8" t="s">
        <v>1491</v>
      </c>
      <c r="P435" s="8" t="s">
        <v>1492</v>
      </c>
      <c r="Q435" s="8" t="s">
        <v>86</v>
      </c>
      <c r="R435" s="8" t="s">
        <v>50</v>
      </c>
    </row>
    <row r="436" customFormat="false" ht="32.8" hidden="false" customHeight="false" outlineLevel="0" collapsed="false">
      <c r="A436" s="8" t="s">
        <v>1924</v>
      </c>
      <c r="B436" s="8" t="s">
        <v>1445</v>
      </c>
      <c r="C436" s="8" t="s">
        <v>87</v>
      </c>
      <c r="D436" s="8" t="s">
        <v>1468</v>
      </c>
      <c r="E436" s="9" t="s">
        <v>87</v>
      </c>
      <c r="F436" s="9" t="n">
        <v>199900</v>
      </c>
      <c r="G436" s="9" t="str">
        <f aca="false">IF(AND(ISNUMBER(E436),ISNUMBER(F436)),E436-F436,"No disponible")</f>
        <v>No disponible</v>
      </c>
      <c r="H436" s="8" t="s">
        <v>1469</v>
      </c>
      <c r="I436" s="8" t="s">
        <v>87</v>
      </c>
      <c r="J436" s="8" t="s">
        <v>43</v>
      </c>
      <c r="K436" s="8" t="s">
        <v>1628</v>
      </c>
      <c r="L436" s="8" t="s">
        <v>1938</v>
      </c>
      <c r="M436" s="8" t="s">
        <v>82</v>
      </c>
      <c r="N436" s="8" t="s">
        <v>1622</v>
      </c>
      <c r="O436" s="8" t="s">
        <v>1471</v>
      </c>
      <c r="P436" s="8" t="s">
        <v>1472</v>
      </c>
      <c r="Q436" s="8" t="s">
        <v>86</v>
      </c>
      <c r="R436" s="8" t="s">
        <v>111</v>
      </c>
    </row>
    <row r="437" customFormat="false" ht="32.8" hidden="false" customHeight="false" outlineLevel="0" collapsed="false">
      <c r="A437" s="8" t="s">
        <v>1924</v>
      </c>
      <c r="B437" s="8" t="s">
        <v>1445</v>
      </c>
      <c r="C437" s="8" t="s">
        <v>87</v>
      </c>
      <c r="D437" s="8" t="s">
        <v>1468</v>
      </c>
      <c r="E437" s="9" t="s">
        <v>87</v>
      </c>
      <c r="F437" s="9" t="n">
        <v>129900</v>
      </c>
      <c r="G437" s="9" t="str">
        <f aca="false">IF(AND(ISNUMBER(E437),ISNUMBER(F437)),E437-F437,"No disponible")</f>
        <v>No disponible</v>
      </c>
      <c r="H437" s="8" t="s">
        <v>1939</v>
      </c>
      <c r="I437" s="8" t="s">
        <v>87</v>
      </c>
      <c r="J437" s="8" t="s">
        <v>43</v>
      </c>
      <c r="K437" s="8" t="s">
        <v>1628</v>
      </c>
      <c r="L437" s="8" t="s">
        <v>1940</v>
      </c>
      <c r="M437" s="8" t="s">
        <v>82</v>
      </c>
      <c r="N437" s="8" t="s">
        <v>1622</v>
      </c>
      <c r="O437" s="8" t="s">
        <v>1941</v>
      </c>
      <c r="P437" s="8" t="s">
        <v>1942</v>
      </c>
      <c r="Q437" s="8" t="s">
        <v>86</v>
      </c>
      <c r="R437" s="8" t="s">
        <v>111</v>
      </c>
    </row>
    <row r="438" customFormat="false" ht="32.8" hidden="false" customHeight="false" outlineLevel="0" collapsed="false">
      <c r="A438" s="8" t="s">
        <v>1924</v>
      </c>
      <c r="B438" s="8" t="s">
        <v>1445</v>
      </c>
      <c r="C438" s="8" t="s">
        <v>87</v>
      </c>
      <c r="D438" s="8" t="s">
        <v>266</v>
      </c>
      <c r="E438" s="9" t="s">
        <v>87</v>
      </c>
      <c r="F438" s="9" t="n">
        <v>294500</v>
      </c>
      <c r="G438" s="9" t="str">
        <f aca="false">IF(AND(ISNUMBER(E438),ISNUMBER(F438)),E438-F438,"No disponible")</f>
        <v>No disponible</v>
      </c>
      <c r="H438" s="8" t="s">
        <v>1478</v>
      </c>
      <c r="I438" s="8" t="s">
        <v>87</v>
      </c>
      <c r="J438" s="8" t="s">
        <v>43</v>
      </c>
      <c r="K438" s="8" t="s">
        <v>1628</v>
      </c>
      <c r="L438" s="8" t="s">
        <v>1943</v>
      </c>
      <c r="M438" s="8" t="s">
        <v>82</v>
      </c>
      <c r="N438" s="8" t="s">
        <v>1622</v>
      </c>
      <c r="O438" s="8" t="s">
        <v>1479</v>
      </c>
      <c r="P438" s="8" t="s">
        <v>1480</v>
      </c>
      <c r="Q438" s="8" t="s">
        <v>86</v>
      </c>
      <c r="R438" s="8" t="s">
        <v>50</v>
      </c>
    </row>
    <row r="439" customFormat="false" ht="32.8" hidden="false" customHeight="false" outlineLevel="0" collapsed="false">
      <c r="A439" s="8" t="s">
        <v>1924</v>
      </c>
      <c r="B439" s="8" t="s">
        <v>1445</v>
      </c>
      <c r="C439" s="8" t="s">
        <v>87</v>
      </c>
      <c r="D439" s="8" t="s">
        <v>266</v>
      </c>
      <c r="E439" s="9" t="s">
        <v>87</v>
      </c>
      <c r="F439" s="9" t="n">
        <v>15900</v>
      </c>
      <c r="G439" s="9" t="str">
        <f aca="false">IF(AND(ISNUMBER(E439),ISNUMBER(F439)),E439-F439,"No disponible")</f>
        <v>No disponible</v>
      </c>
      <c r="H439" s="8" t="s">
        <v>1494</v>
      </c>
      <c r="I439" s="8" t="s">
        <v>87</v>
      </c>
      <c r="J439" s="8" t="s">
        <v>43</v>
      </c>
      <c r="K439" s="8" t="s">
        <v>1628</v>
      </c>
      <c r="L439" s="8" t="s">
        <v>1944</v>
      </c>
      <c r="M439" s="8" t="s">
        <v>82</v>
      </c>
      <c r="N439" s="8" t="s">
        <v>1622</v>
      </c>
      <c r="O439" s="8" t="s">
        <v>1495</v>
      </c>
      <c r="P439" s="8" t="s">
        <v>1496</v>
      </c>
      <c r="Q439" s="8" t="s">
        <v>86</v>
      </c>
      <c r="R439" s="8" t="s">
        <v>50</v>
      </c>
    </row>
    <row r="440" customFormat="false" ht="32.8" hidden="false" customHeight="false" outlineLevel="0" collapsed="false">
      <c r="A440" s="8" t="s">
        <v>1924</v>
      </c>
      <c r="B440" s="8" t="s">
        <v>1445</v>
      </c>
      <c r="C440" s="8" t="s">
        <v>87</v>
      </c>
      <c r="D440" s="8" t="s">
        <v>266</v>
      </c>
      <c r="E440" s="9" t="s">
        <v>87</v>
      </c>
      <c r="F440" s="9" t="n">
        <v>80300</v>
      </c>
      <c r="G440" s="9" t="str">
        <f aca="false">IF(AND(ISNUMBER(E440),ISNUMBER(F440)),E440-F440,"No disponible")</f>
        <v>No disponible</v>
      </c>
      <c r="H440" s="8" t="s">
        <v>1451</v>
      </c>
      <c r="I440" s="8" t="s">
        <v>87</v>
      </c>
      <c r="J440" s="8" t="s">
        <v>43</v>
      </c>
      <c r="K440" s="8" t="s">
        <v>1628</v>
      </c>
      <c r="L440" s="8" t="s">
        <v>1945</v>
      </c>
      <c r="M440" s="8" t="s">
        <v>82</v>
      </c>
      <c r="N440" s="8" t="s">
        <v>1622</v>
      </c>
      <c r="O440" s="8" t="s">
        <v>1452</v>
      </c>
      <c r="P440" s="8" t="s">
        <v>1453</v>
      </c>
      <c r="Q440" s="8" t="s">
        <v>86</v>
      </c>
      <c r="R440" s="8" t="s">
        <v>50</v>
      </c>
    </row>
    <row r="441" customFormat="false" ht="32.8" hidden="false" customHeight="false" outlineLevel="0" collapsed="false">
      <c r="A441" s="8" t="s">
        <v>1924</v>
      </c>
      <c r="B441" s="8" t="s">
        <v>1445</v>
      </c>
      <c r="C441" s="8" t="s">
        <v>87</v>
      </c>
      <c r="D441" s="8" t="s">
        <v>266</v>
      </c>
      <c r="E441" s="9" t="s">
        <v>87</v>
      </c>
      <c r="F441" s="9" t="n">
        <v>90686</v>
      </c>
      <c r="G441" s="9" t="str">
        <f aca="false">IF(AND(ISNUMBER(E441),ISNUMBER(F441)),E441-F441,"No disponible")</f>
        <v>No disponible</v>
      </c>
      <c r="H441" s="8" t="s">
        <v>1474</v>
      </c>
      <c r="I441" s="8" t="s">
        <v>87</v>
      </c>
      <c r="J441" s="8" t="s">
        <v>43</v>
      </c>
      <c r="K441" s="8" t="s">
        <v>1628</v>
      </c>
      <c r="L441" s="8" t="s">
        <v>1946</v>
      </c>
      <c r="M441" s="8" t="s">
        <v>82</v>
      </c>
      <c r="N441" s="8" t="s">
        <v>1622</v>
      </c>
      <c r="O441" s="8" t="s">
        <v>1475</v>
      </c>
      <c r="P441" s="8" t="s">
        <v>1476</v>
      </c>
      <c r="Q441" s="8" t="s">
        <v>86</v>
      </c>
      <c r="R441" s="8" t="s">
        <v>50</v>
      </c>
    </row>
    <row r="442" customFormat="false" ht="43.25" hidden="false" customHeight="false" outlineLevel="0" collapsed="false">
      <c r="A442" s="8" t="s">
        <v>1522</v>
      </c>
      <c r="B442" s="8" t="s">
        <v>1523</v>
      </c>
      <c r="C442" s="8" t="s">
        <v>87</v>
      </c>
      <c r="D442" s="8" t="s">
        <v>1036</v>
      </c>
      <c r="E442" s="9" t="s">
        <v>87</v>
      </c>
      <c r="F442" s="9" t="n">
        <v>560799</v>
      </c>
      <c r="G442" s="9" t="str">
        <f aca="false">IF(AND(ISNUMBER(E442),ISNUMBER(F442)),E442-F442,"No disponible")</f>
        <v>No disponible</v>
      </c>
      <c r="H442" s="8" t="s">
        <v>1525</v>
      </c>
      <c r="I442" s="8" t="s">
        <v>87</v>
      </c>
      <c r="J442" s="8" t="s">
        <v>43</v>
      </c>
      <c r="K442" s="8" t="s">
        <v>1628</v>
      </c>
      <c r="L442" s="8" t="s">
        <v>1947</v>
      </c>
      <c r="M442" s="8" t="s">
        <v>82</v>
      </c>
      <c r="N442" s="8" t="s">
        <v>1622</v>
      </c>
      <c r="O442" s="8" t="s">
        <v>1526</v>
      </c>
      <c r="P442" s="8" t="s">
        <v>1527</v>
      </c>
      <c r="Q442" s="8" t="s">
        <v>86</v>
      </c>
      <c r="R442" s="8" t="s">
        <v>111</v>
      </c>
    </row>
    <row r="443" customFormat="false" ht="32.8" hidden="false" customHeight="false" outlineLevel="0" collapsed="false">
      <c r="A443" s="8" t="s">
        <v>1948</v>
      </c>
      <c r="B443" s="8" t="s">
        <v>1535</v>
      </c>
      <c r="C443" s="8" t="s">
        <v>87</v>
      </c>
      <c r="D443" s="8" t="s">
        <v>127</v>
      </c>
      <c r="E443" s="9" t="s">
        <v>87</v>
      </c>
      <c r="F443" s="9" t="n">
        <v>7000</v>
      </c>
      <c r="G443" s="9" t="str">
        <f aca="false">IF(AND(ISNUMBER(E443),ISNUMBER(F443)),E443-F443,"No disponible")</f>
        <v>No disponible</v>
      </c>
      <c r="H443" s="8" t="s">
        <v>64</v>
      </c>
      <c r="I443" s="8" t="s">
        <v>87</v>
      </c>
      <c r="J443" s="8" t="s">
        <v>43</v>
      </c>
      <c r="K443" s="8" t="s">
        <v>1628</v>
      </c>
      <c r="L443" s="8" t="s">
        <v>1949</v>
      </c>
      <c r="M443" s="8" t="s">
        <v>82</v>
      </c>
      <c r="N443" s="8" t="s">
        <v>1622</v>
      </c>
      <c r="O443" s="8" t="s">
        <v>1950</v>
      </c>
      <c r="P443" s="8" t="s">
        <v>1951</v>
      </c>
      <c r="Q443" s="8" t="s">
        <v>86</v>
      </c>
      <c r="R443" s="8" t="s">
        <v>50</v>
      </c>
    </row>
    <row r="444" customFormat="false" ht="32.8" hidden="false" customHeight="false" outlineLevel="0" collapsed="false">
      <c r="A444" s="8" t="s">
        <v>1542</v>
      </c>
      <c r="B444" s="8" t="s">
        <v>1543</v>
      </c>
      <c r="C444" s="8" t="s">
        <v>87</v>
      </c>
      <c r="D444" s="8" t="s">
        <v>127</v>
      </c>
      <c r="E444" s="9" t="s">
        <v>87</v>
      </c>
      <c r="F444" s="9" t="n">
        <v>43820</v>
      </c>
      <c r="G444" s="9" t="str">
        <f aca="false">IF(AND(ISNUMBER(E444),ISNUMBER(F444)),E444-F444,"No disponible")</f>
        <v>No disponible</v>
      </c>
      <c r="H444" s="8" t="s">
        <v>64</v>
      </c>
      <c r="I444" s="8" t="s">
        <v>87</v>
      </c>
      <c r="J444" s="8" t="s">
        <v>43</v>
      </c>
      <c r="K444" s="8" t="s">
        <v>1628</v>
      </c>
      <c r="L444" s="8" t="s">
        <v>1952</v>
      </c>
      <c r="M444" s="8" t="s">
        <v>82</v>
      </c>
      <c r="N444" s="8" t="s">
        <v>1622</v>
      </c>
      <c r="O444" s="8" t="s">
        <v>1545</v>
      </c>
      <c r="P444" s="8" t="s">
        <v>1546</v>
      </c>
      <c r="Q444" s="8" t="s">
        <v>86</v>
      </c>
      <c r="R444" s="8" t="s">
        <v>50</v>
      </c>
    </row>
    <row r="445" customFormat="false" ht="32.8" hidden="false" customHeight="false" outlineLevel="0" collapsed="false">
      <c r="A445" s="8" t="s">
        <v>1542</v>
      </c>
      <c r="B445" s="8" t="s">
        <v>1543</v>
      </c>
      <c r="C445" s="8" t="s">
        <v>87</v>
      </c>
      <c r="D445" s="8" t="s">
        <v>127</v>
      </c>
      <c r="E445" s="9" t="s">
        <v>87</v>
      </c>
      <c r="F445" s="9" t="n">
        <v>639660</v>
      </c>
      <c r="G445" s="9" t="str">
        <f aca="false">IF(AND(ISNUMBER(E445),ISNUMBER(F445)),E445-F445,"No disponible")</f>
        <v>No disponible</v>
      </c>
      <c r="H445" s="8" t="s">
        <v>64</v>
      </c>
      <c r="I445" s="8" t="s">
        <v>87</v>
      </c>
      <c r="J445" s="8" t="s">
        <v>43</v>
      </c>
      <c r="K445" s="8" t="s">
        <v>1628</v>
      </c>
      <c r="L445" s="8" t="s">
        <v>1953</v>
      </c>
      <c r="M445" s="8" t="s">
        <v>82</v>
      </c>
      <c r="N445" s="8" t="s">
        <v>1622</v>
      </c>
      <c r="O445" s="8" t="s">
        <v>1548</v>
      </c>
      <c r="P445" s="8" t="s">
        <v>1549</v>
      </c>
      <c r="Q445" s="8" t="s">
        <v>86</v>
      </c>
      <c r="R445" s="8" t="s">
        <v>50</v>
      </c>
    </row>
    <row r="446" customFormat="false" ht="32.8" hidden="false" customHeight="false" outlineLevel="0" collapsed="false">
      <c r="A446" s="8" t="s">
        <v>1954</v>
      </c>
      <c r="B446" s="8" t="s">
        <v>1955</v>
      </c>
      <c r="C446" s="8" t="s">
        <v>87</v>
      </c>
      <c r="D446" s="8" t="s">
        <v>127</v>
      </c>
      <c r="E446" s="9" t="s">
        <v>87</v>
      </c>
      <c r="F446" s="9" t="n">
        <v>17000</v>
      </c>
      <c r="G446" s="9" t="str">
        <f aca="false">IF(AND(ISNUMBER(E446),ISNUMBER(F446)),E446-F446,"No disponible")</f>
        <v>No disponible</v>
      </c>
      <c r="H446" s="8" t="s">
        <v>64</v>
      </c>
      <c r="I446" s="8" t="s">
        <v>87</v>
      </c>
      <c r="J446" s="8" t="s">
        <v>43</v>
      </c>
      <c r="K446" s="8" t="s">
        <v>1628</v>
      </c>
      <c r="L446" s="8" t="s">
        <v>1956</v>
      </c>
      <c r="M446" s="8" t="s">
        <v>82</v>
      </c>
      <c r="N446" s="8" t="s">
        <v>1622</v>
      </c>
      <c r="O446" s="8" t="s">
        <v>1957</v>
      </c>
      <c r="P446" s="8" t="s">
        <v>1958</v>
      </c>
      <c r="Q446" s="8" t="s">
        <v>86</v>
      </c>
      <c r="R446" s="8" t="s">
        <v>50</v>
      </c>
    </row>
    <row r="447" customFormat="false" ht="32.8" hidden="false" customHeight="false" outlineLevel="0" collapsed="false">
      <c r="A447" s="8" t="s">
        <v>1954</v>
      </c>
      <c r="B447" s="8" t="s">
        <v>1955</v>
      </c>
      <c r="C447" s="8" t="s">
        <v>87</v>
      </c>
      <c r="D447" s="8" t="s">
        <v>127</v>
      </c>
      <c r="E447" s="9" t="s">
        <v>87</v>
      </c>
      <c r="F447" s="9" t="n">
        <v>17000</v>
      </c>
      <c r="G447" s="9" t="str">
        <f aca="false">IF(AND(ISNUMBER(E447),ISNUMBER(F447)),E447-F447,"No disponible")</f>
        <v>No disponible</v>
      </c>
      <c r="H447" s="8" t="s">
        <v>64</v>
      </c>
      <c r="I447" s="8" t="s">
        <v>87</v>
      </c>
      <c r="J447" s="8" t="s">
        <v>43</v>
      </c>
      <c r="K447" s="8" t="s">
        <v>1628</v>
      </c>
      <c r="L447" s="8" t="s">
        <v>1959</v>
      </c>
      <c r="M447" s="8" t="s">
        <v>82</v>
      </c>
      <c r="N447" s="8" t="s">
        <v>1622</v>
      </c>
      <c r="O447" s="8" t="s">
        <v>1960</v>
      </c>
      <c r="P447" s="8" t="s">
        <v>1961</v>
      </c>
      <c r="Q447" s="8" t="s">
        <v>86</v>
      </c>
      <c r="R447" s="8" t="s">
        <v>50</v>
      </c>
    </row>
    <row r="448" customFormat="false" ht="32.8" hidden="false" customHeight="false" outlineLevel="0" collapsed="false">
      <c r="A448" s="8" t="s">
        <v>1962</v>
      </c>
      <c r="B448" s="8" t="s">
        <v>1579</v>
      </c>
      <c r="C448" s="8" t="s">
        <v>87</v>
      </c>
      <c r="D448" s="8" t="s">
        <v>93</v>
      </c>
      <c r="E448" s="9" t="s">
        <v>87</v>
      </c>
      <c r="F448" s="9" t="n">
        <v>2800</v>
      </c>
      <c r="G448" s="9" t="str">
        <f aca="false">IF(AND(ISNUMBER(E448),ISNUMBER(F448)),E448-F448,"No disponible")</f>
        <v>No disponible</v>
      </c>
      <c r="H448" s="8" t="s">
        <v>1963</v>
      </c>
      <c r="I448" s="8" t="s">
        <v>87</v>
      </c>
      <c r="J448" s="8" t="s">
        <v>43</v>
      </c>
      <c r="K448" s="8" t="s">
        <v>1628</v>
      </c>
      <c r="L448" s="8" t="s">
        <v>1890</v>
      </c>
      <c r="M448" s="8" t="s">
        <v>82</v>
      </c>
      <c r="N448" s="8" t="s">
        <v>1622</v>
      </c>
      <c r="O448" s="8" t="s">
        <v>1964</v>
      </c>
      <c r="P448" s="8" t="s">
        <v>1965</v>
      </c>
      <c r="Q448" s="8" t="s">
        <v>86</v>
      </c>
      <c r="R448" s="8" t="s">
        <v>50</v>
      </c>
    </row>
    <row r="449" customFormat="false" ht="32.8" hidden="false" customHeight="false" outlineLevel="0" collapsed="false">
      <c r="A449" s="8" t="s">
        <v>1966</v>
      </c>
      <c r="B449" s="8" t="s">
        <v>1967</v>
      </c>
      <c r="C449" s="8" t="s">
        <v>87</v>
      </c>
      <c r="D449" s="8" t="s">
        <v>1794</v>
      </c>
      <c r="E449" s="9" t="s">
        <v>87</v>
      </c>
      <c r="F449" s="9" t="n">
        <v>138833</v>
      </c>
      <c r="G449" s="9" t="str">
        <f aca="false">IF(AND(ISNUMBER(E449),ISNUMBER(F449)),E449-F449,"No disponible")</f>
        <v>No disponible</v>
      </c>
      <c r="H449" s="8" t="s">
        <v>1968</v>
      </c>
      <c r="I449" s="8" t="s">
        <v>87</v>
      </c>
      <c r="J449" s="8" t="s">
        <v>43</v>
      </c>
      <c r="K449" s="8" t="s">
        <v>1628</v>
      </c>
      <c r="L449" s="8" t="s">
        <v>1969</v>
      </c>
      <c r="M449" s="8" t="s">
        <v>82</v>
      </c>
      <c r="N449" s="8" t="s">
        <v>1622</v>
      </c>
      <c r="O449" s="8" t="s">
        <v>1970</v>
      </c>
      <c r="P449" s="8" t="s">
        <v>1971</v>
      </c>
      <c r="Q449" s="8" t="s">
        <v>86</v>
      </c>
      <c r="R449" s="8" t="s">
        <v>111</v>
      </c>
    </row>
    <row r="450" customFormat="false" ht="32.8" hidden="false" customHeight="false" outlineLevel="0" collapsed="false">
      <c r="A450" s="8" t="s">
        <v>1972</v>
      </c>
      <c r="B450" s="8" t="s">
        <v>225</v>
      </c>
      <c r="C450" s="8" t="s">
        <v>87</v>
      </c>
      <c r="D450" s="8" t="s">
        <v>227</v>
      </c>
      <c r="E450" s="9" t="s">
        <v>87</v>
      </c>
      <c r="F450" s="9" t="n">
        <v>12000</v>
      </c>
      <c r="G450" s="9" t="str">
        <f aca="false">IF(AND(ISNUMBER(E450),ISNUMBER(F450)),E450-F450,"No disponible")</f>
        <v>No disponible</v>
      </c>
      <c r="H450" s="8" t="s">
        <v>64</v>
      </c>
      <c r="I450" s="8" t="s">
        <v>87</v>
      </c>
      <c r="J450" s="8" t="s">
        <v>43</v>
      </c>
      <c r="K450" s="8" t="s">
        <v>1628</v>
      </c>
      <c r="L450" s="8" t="s">
        <v>1973</v>
      </c>
      <c r="M450" s="8" t="s">
        <v>82</v>
      </c>
      <c r="N450" s="8" t="s">
        <v>1622</v>
      </c>
      <c r="O450" s="8" t="s">
        <v>1974</v>
      </c>
      <c r="P450" s="8" t="s">
        <v>1975</v>
      </c>
      <c r="Q450" s="8" t="s">
        <v>86</v>
      </c>
      <c r="R450" s="8" t="s">
        <v>50</v>
      </c>
    </row>
    <row r="451" customFormat="false" ht="32.8" hidden="false" customHeight="false" outlineLevel="0" collapsed="false">
      <c r="A451" s="8" t="s">
        <v>1976</v>
      </c>
      <c r="B451" s="8" t="s">
        <v>188</v>
      </c>
      <c r="C451" s="8" t="s">
        <v>87</v>
      </c>
      <c r="D451" s="8" t="s">
        <v>127</v>
      </c>
      <c r="E451" s="9" t="s">
        <v>87</v>
      </c>
      <c r="F451" s="9" t="n">
        <v>24000</v>
      </c>
      <c r="G451" s="9" t="str">
        <f aca="false">IF(AND(ISNUMBER(E451),ISNUMBER(F451)),E451-F451,"No disponible")</f>
        <v>No disponible</v>
      </c>
      <c r="H451" s="8" t="s">
        <v>64</v>
      </c>
      <c r="I451" s="8" t="s">
        <v>87</v>
      </c>
      <c r="J451" s="8" t="s">
        <v>43</v>
      </c>
      <c r="K451" s="8" t="s">
        <v>1628</v>
      </c>
      <c r="L451" s="8" t="s">
        <v>1977</v>
      </c>
      <c r="M451" s="8" t="s">
        <v>82</v>
      </c>
      <c r="N451" s="8" t="s">
        <v>1622</v>
      </c>
      <c r="O451" s="8" t="s">
        <v>191</v>
      </c>
      <c r="P451" s="8" t="s">
        <v>192</v>
      </c>
      <c r="Q451" s="8" t="s">
        <v>86</v>
      </c>
      <c r="R451" s="8" t="s">
        <v>50</v>
      </c>
    </row>
    <row r="452" customFormat="false" ht="32.8" hidden="false" customHeight="false" outlineLevel="0" collapsed="false">
      <c r="A452" s="8" t="s">
        <v>1976</v>
      </c>
      <c r="B452" s="8" t="s">
        <v>188</v>
      </c>
      <c r="C452" s="8" t="s">
        <v>87</v>
      </c>
      <c r="D452" s="8" t="s">
        <v>127</v>
      </c>
      <c r="E452" s="9" t="s">
        <v>87</v>
      </c>
      <c r="F452" s="9" t="n">
        <v>25000</v>
      </c>
      <c r="G452" s="9" t="str">
        <f aca="false">IF(AND(ISNUMBER(E452),ISNUMBER(F452)),E452-F452,"No disponible")</f>
        <v>No disponible</v>
      </c>
      <c r="H452" s="8" t="s">
        <v>64</v>
      </c>
      <c r="I452" s="8" t="s">
        <v>87</v>
      </c>
      <c r="J452" s="8" t="s">
        <v>43</v>
      </c>
      <c r="K452" s="8" t="s">
        <v>1628</v>
      </c>
      <c r="L452" s="8" t="s">
        <v>1978</v>
      </c>
      <c r="M452" s="8" t="s">
        <v>82</v>
      </c>
      <c r="N452" s="8" t="s">
        <v>1622</v>
      </c>
      <c r="O452" s="8" t="s">
        <v>1979</v>
      </c>
      <c r="P452" s="8" t="s">
        <v>1980</v>
      </c>
      <c r="Q452" s="8" t="s">
        <v>86</v>
      </c>
      <c r="R452" s="8" t="s">
        <v>50</v>
      </c>
    </row>
    <row r="453" customFormat="false" ht="32.8" hidden="false" customHeight="false" outlineLevel="0" collapsed="false">
      <c r="A453" s="8" t="s">
        <v>1976</v>
      </c>
      <c r="B453" s="8" t="s">
        <v>188</v>
      </c>
      <c r="C453" s="8" t="s">
        <v>87</v>
      </c>
      <c r="D453" s="8" t="s">
        <v>127</v>
      </c>
      <c r="E453" s="9" t="s">
        <v>87</v>
      </c>
      <c r="F453" s="9" t="n">
        <v>25000</v>
      </c>
      <c r="G453" s="9" t="str">
        <f aca="false">IF(AND(ISNUMBER(E453),ISNUMBER(F453)),E453-F453,"No disponible")</f>
        <v>No disponible</v>
      </c>
      <c r="H453" s="8" t="s">
        <v>64</v>
      </c>
      <c r="I453" s="8" t="s">
        <v>87</v>
      </c>
      <c r="J453" s="8" t="s">
        <v>43</v>
      </c>
      <c r="K453" s="8" t="s">
        <v>1628</v>
      </c>
      <c r="L453" s="8" t="s">
        <v>1865</v>
      </c>
      <c r="M453" s="8" t="s">
        <v>82</v>
      </c>
      <c r="N453" s="8" t="s">
        <v>1622</v>
      </c>
      <c r="O453" s="8" t="s">
        <v>1981</v>
      </c>
      <c r="P453" s="8" t="s">
        <v>1982</v>
      </c>
      <c r="Q453" s="8" t="s">
        <v>86</v>
      </c>
      <c r="R453" s="8" t="s">
        <v>50</v>
      </c>
    </row>
  </sheetData>
  <autoFilter ref="A1:R4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2026-10-13T19:43:58Z</dcterms:created>
  <dc:creator>openpyxl</dc:creator>
  <dc:description/>
  <dc:language>en-US</dc:language>
  <cp:lastModifiedBy/>
  <dcterms:modified xsi:type="dcterms:W3CDTF">2026-10-13T19:43:59Z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