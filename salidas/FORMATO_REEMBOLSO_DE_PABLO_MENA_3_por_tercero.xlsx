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r tercero" sheetId="1" state="visible" r:id="rId3"/>
    <sheet name="CAJAS REEMBOLSO " sheetId="2" state="visible" r:id="rId4"/>
  </sheets>
  <definedNames>
    <definedName function="false" hidden="false" localSheetId="1" name="_xlnm.Print_Area" vbProcedure="false">'CAJAS REEMBOLSO '!$A$1:$N$47</definedName>
    <definedName function="false" hidden="true" localSheetId="0" name="_xlnm._FilterDatabase" vbProcedure="false">'Por tercero'!$A$4:$I$44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<sst xmlns="http://schemas.openxmlformats.org/spreadsheetml/2006/main" count="264" uniqueCount="89">
  <si>
    <t xml:space="preserve">REEMBOLSO PABLO MENA #3 — valores en DÓLARES (USD) por tercero</t>
  </si>
  <si>
    <t xml:space="preserve">TOTAL GENERAL</t>
  </si>
  <si>
    <t xml:space="preserve">Tercero</t>
  </si>
  <si>
    <t xml:space="preserve">N° factura</t>
  </si>
  <si>
    <t xml:space="preserve">Fecha</t>
  </si>
  <si>
    <t xml:space="preserve">Concepto</t>
  </si>
  <si>
    <t xml:space="preserve">Subtotal sin IVA</t>
  </si>
  <si>
    <t xml:space="preserve">IVA</t>
  </si>
  <si>
    <t xml:space="preserve">Total</t>
  </si>
  <si>
    <t xml:space="preserve">Tipo</t>
  </si>
  <si>
    <t xml:space="preserve">Ítem</t>
  </si>
  <si>
    <t xml:space="preserve">APOPKA</t>
  </si>
  <si>
    <t xml:space="preserve">TOTAL TERCERO</t>
  </si>
  <si>
    <t xml:space="preserve">9099907</t>
  </si>
  <si>
    <t xml:space="preserve">GASOLINA</t>
  </si>
  <si>
    <t xml:space="preserve">Factura</t>
  </si>
  <si>
    <t xml:space="preserve">BEST BUY</t>
  </si>
  <si>
    <t xml:space="preserve">05530643621</t>
  </si>
  <si>
    <t xml:space="preserve">COMPRA DE ELECTRONICOS</t>
  </si>
  <si>
    <t xml:space="preserve">BUDGET ACE HARDWARE</t>
  </si>
  <si>
    <t xml:space="preserve">31010</t>
  </si>
  <si>
    <t xml:space="preserve">COMPRA DE PORDUCTOS DE ELECTTRICIDAD</t>
  </si>
  <si>
    <t xml:space="preserve">CHASE</t>
  </si>
  <si>
    <t xml:space="preserve">104</t>
  </si>
  <si>
    <t xml:space="preserve">TRANSACCIONES</t>
  </si>
  <si>
    <t xml:space="preserve">105</t>
  </si>
  <si>
    <t xml:space="preserve">4</t>
  </si>
  <si>
    <t xml:space="preserve">5</t>
  </si>
  <si>
    <t xml:space="preserve">COSTCO</t>
  </si>
  <si>
    <t xml:space="preserve">122920464704</t>
  </si>
  <si>
    <t xml:space="preserve">COMPRAS DE OFICINA </t>
  </si>
  <si>
    <t xml:space="preserve">122996892</t>
  </si>
  <si>
    <t xml:space="preserve">122912275828</t>
  </si>
  <si>
    <t xml:space="preserve">COMPRA DE COMPUTADOR</t>
  </si>
  <si>
    <t xml:space="preserve">507222047811</t>
  </si>
  <si>
    <t xml:space="preserve">507210025986</t>
  </si>
  <si>
    <t xml:space="preserve">505824041128</t>
  </si>
  <si>
    <t xml:space="preserve">506302055952</t>
  </si>
  <si>
    <t xml:space="preserve">507908063007</t>
  </si>
  <si>
    <t xml:space="preserve">1229107925</t>
  </si>
  <si>
    <t xml:space="preserve">COMPRA DE ASEO</t>
  </si>
  <si>
    <t xml:space="preserve">505207031365</t>
  </si>
  <si>
    <t xml:space="preserve">505307033333</t>
  </si>
  <si>
    <t xml:space="preserve">505202054406</t>
  </si>
  <si>
    <t xml:space="preserve">FLASH</t>
  </si>
  <si>
    <t xml:space="preserve">1001909</t>
  </si>
  <si>
    <t xml:space="preserve">PARQUEADERO</t>
  </si>
  <si>
    <t xml:space="preserve">ON THE RUN</t>
  </si>
  <si>
    <t xml:space="preserve">L702144</t>
  </si>
  <si>
    <t xml:space="preserve">ORANGE BOWL SUNOCO</t>
  </si>
  <si>
    <t xml:space="preserve">9033992</t>
  </si>
  <si>
    <t xml:space="preserve">PUBLIX</t>
  </si>
  <si>
    <t xml:space="preserve">139735Q720198</t>
  </si>
  <si>
    <t xml:space="preserve">KIT DE ASEO</t>
  </si>
  <si>
    <t xml:space="preserve">THE HOME DEPOT</t>
  </si>
  <si>
    <t xml:space="preserve">0005107644</t>
  </si>
  <si>
    <t xml:space="preserve">COMPRA DE LLAVE</t>
  </si>
  <si>
    <t xml:space="preserve">63780001944040</t>
  </si>
  <si>
    <t xml:space="preserve">PINTURA</t>
  </si>
  <si>
    <t xml:space="preserve">63780001944032</t>
  </si>
  <si>
    <t xml:space="preserve">63785228465</t>
  </si>
  <si>
    <t xml:space="preserve">63435526272</t>
  </si>
  <si>
    <t xml:space="preserve">PRODUCTOS PARA OFICINA</t>
  </si>
  <si>
    <t xml:space="preserve">63438082174</t>
  </si>
  <si>
    <t xml:space="preserve">PRODUCTOS VARIADOS</t>
  </si>
  <si>
    <t xml:space="preserve">63785574413</t>
  </si>
  <si>
    <t xml:space="preserve">NATURAL SYSTEMS INTERNATIONAL SAS</t>
  </si>
  <si>
    <t xml:space="preserve">LEGALIZACION DE PABLO MENA  #3</t>
  </si>
  <si>
    <t xml:space="preserve">NIT/CC</t>
  </si>
  <si>
    <t xml:space="preserve">PREFIJO</t>
  </si>
  <si>
    <t xml:space="preserve">NUMERO FACTURA</t>
  </si>
  <si>
    <t xml:space="preserve">FECHA FACTURA</t>
  </si>
  <si>
    <t xml:space="preserve">TERCERO</t>
  </si>
  <si>
    <t xml:space="preserve">CONCEPTO</t>
  </si>
  <si>
    <t xml:space="preserve">CENTRO DE COSTO</t>
  </si>
  <si>
    <t xml:space="preserve">SUB TOTAL GRAVADO</t>
  </si>
  <si>
    <t xml:space="preserve">SUB TOTAL SIN IVA</t>
  </si>
  <si>
    <t xml:space="preserve">INC</t>
  </si>
  <si>
    <t xml:space="preserve">TOTAL</t>
  </si>
  <si>
    <t xml:space="preserve">15/02/2025</t>
  </si>
  <si>
    <t xml:space="preserve">24/03/2025</t>
  </si>
  <si>
    <t xml:space="preserve">13/03/2025</t>
  </si>
  <si>
    <t xml:space="preserve">07/01/2025</t>
  </si>
  <si>
    <t xml:space="preserve">2102/2025</t>
  </si>
  <si>
    <t xml:space="preserve">SCHANTAL BENITEZ</t>
  </si>
  <si>
    <t xml:space="preserve">JULIAN CASTAÑEDA V.</t>
  </si>
  <si>
    <t xml:space="preserve">Elaborado</t>
  </si>
  <si>
    <t xml:space="preserve">Autorizado</t>
  </si>
  <si>
    <t xml:space="preserve"> 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</si>
</sst>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_ &quot;$ &quot;* #,##0.00_ ;_ &quot;$ &quot;* \-#,##0.00_ ;_ &quot;$ &quot;* \-??_ ;_ @_ "/>
    <numFmt numFmtId="166" formatCode="0&quot; facturas&quot;"/>
    <numFmt numFmtId="167" formatCode="#,##0.00"/>
    <numFmt numFmtId="168" formatCode="0&quot; factura(s)&quot;"/>
    <numFmt numFmtId="169" formatCode="dd/mm/yyyy"/>
    <numFmt numFmtId="170" formatCode="_-\$* #,##0.00_-;&quot;-$&quot;* #,##0.00_-;_-\$* \-??_-;_-@_-"/>
    <numFmt numFmtId="171" formatCode="_-&quot;$ &quot;* #,##0.00_-;&quot;-$ &quot;* #,##0.00_-;_-&quot;$ &quot;* \-??_-;_-@_-"/>
    <numFmt numFmtId="172" formatCode="&quot;$ &quot;#,##0;[RED]&quot;-$ &quot;#,##0"/>
    <numFmt numFmtId="173" formatCode="_(* #,##0.00_);_(* \(#,##0.00\);_(* \-??_);_(@_)"/>
    <numFmt numFmtId="174" formatCode="_-* #,##0_-;\-* #,##0_-;_-* \-??_-;_-@_-"/>
    <numFmt numFmtId="175" formatCode="m/d/yyyy"/>
    <numFmt numFmtId="176" formatCode="@"/>
    <numFmt numFmtId="177" formatCode="_-[$$-409]* #,##0.00_ ;_-[$$-409]* \-#,##0.00\ ;_-[$$-409]* \-??_ ;_-@_ "/>
    <numFmt numFmtId="178" formatCode="_-* #,##0.00_-;\-* #,##0.00_-;_-* \-??_-;_-@_-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3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28"/>
      <color theme="1"/>
      <name val="Arial"/>
      <family val="2"/>
      <charset val="1"/>
    </font>
    <font>
      <sz val="12"/>
      <color theme="1"/>
      <name val="Arial"/>
      <family val="2"/>
      <charset val="1"/>
    </font>
    <font>
      <sz val="22"/>
      <color theme="1"/>
      <name val="Arial"/>
      <family val="2"/>
      <charset val="1"/>
    </font>
    <font>
      <b val="true"/>
      <sz val="48"/>
      <name val="Arial"/>
      <family val="2"/>
      <charset val="1"/>
    </font>
    <font>
      <b val="true"/>
      <sz val="12"/>
      <color theme="1"/>
      <name val="Arial"/>
      <family val="2"/>
      <charset val="1"/>
    </font>
    <font>
      <b val="true"/>
      <sz val="22"/>
      <color theme="0"/>
      <name val="Arial"/>
      <family val="2"/>
      <charset val="1"/>
    </font>
    <font>
      <sz val="26"/>
      <color theme="1"/>
      <name val="Arial"/>
      <family val="2"/>
      <charset val="1"/>
    </font>
    <font>
      <sz val="26"/>
      <color theme="1"/>
      <name val="Calibri"/>
      <family val="2"/>
      <charset val="1"/>
    </font>
    <font>
      <sz val="28"/>
      <color theme="1"/>
      <name val="Calibri"/>
      <family val="2"/>
      <charset val="1"/>
    </font>
    <font>
      <b val="true"/>
      <sz val="26"/>
      <color theme="1"/>
      <name val="Arial"/>
      <family val="2"/>
      <charset val="1"/>
    </font>
    <font>
      <sz val="36"/>
      <color theme="1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  <fill>
      <patternFill patternType="solid">
        <fgColor rgb="FF004D86"/>
        <bgColor rgb="FF1F3864"/>
      </patternFill>
    </fill>
    <fill>
      <patternFill patternType="solid">
        <fgColor theme="4" tint="-0.25"/>
        <bgColor rgb="FF004D86"/>
      </patternFill>
    </fill>
    <fill>
      <patternFill patternType="solid">
        <fgColor theme="0"/>
        <bgColor rgb="FFFFFFCC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>
        <color theme="0"/>
      </right>
      <top/>
      <bottom style="thin"/>
      <diagonal/>
    </border>
    <border diagonalUp="false" diagonalDown="false">
      <left style="thin">
        <color theme="0"/>
      </left>
      <right style="thin">
        <color theme="0"/>
      </right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73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171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9" fillId="0" borderId="0" xfId="0" applyFont="true" applyBorder="false" applyAlignment="true" applyProtection="true">
      <alignment horizontal="right" vertical="center" textRotation="0" wrapText="false" indent="0" shrinkToFit="false"/>
      <protection locked="true" hidden="true"/>
    </xf>
    <xf numFmtId="164" fontId="9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10" fillId="0" borderId="0" xfId="0" applyFont="true" applyBorder="false" applyAlignment="true" applyProtection="true">
      <alignment horizontal="right" vertical="center" textRotation="0" wrapText="false" indent="0" shrinkToFit="false"/>
      <protection locked="true" hidden="true"/>
    </xf>
    <xf numFmtId="164" fontId="10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10" fillId="0" borderId="0" xfId="0" applyFont="true" applyBorder="false" applyAlignment="true" applyProtection="true">
      <alignment horizontal="left" vertical="bottom" textRotation="0" wrapText="false" indent="0" shrinkToFit="false"/>
      <protection locked="true" hidden="true"/>
    </xf>
    <xf numFmtId="170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11" fillId="0" borderId="0" xfId="21" applyFont="true" applyBorder="true" applyAlignment="true" applyProtection="true">
      <alignment horizontal="center" vertical="top" textRotation="0" wrapText="false" indent="0" shrinkToFit="false"/>
      <protection locked="true" hidden="true"/>
    </xf>
    <xf numFmtId="164" fontId="12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1" fontId="12" fillId="0" borderId="0" xfId="17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2" fontId="9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13" fillId="4" borderId="1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13" fillId="4" borderId="2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13" fillId="4" borderId="3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13" fillId="4" borderId="4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70" fontId="13" fillId="5" borderId="4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14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5" fillId="0" borderId="5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4" fillId="6" borderId="5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1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4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5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14" fillId="6" borderId="6" xfId="17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71" fontId="14" fillId="6" borderId="5" xfId="17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77" fontId="14" fillId="6" borderId="5" xfId="17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78" fontId="14" fillId="6" borderId="5" xfId="15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74" fontId="14" fillId="6" borderId="5" xfId="15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71" fontId="14" fillId="6" borderId="5" xfId="17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4" fontId="15" fillId="6" borderId="5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4" fillId="6" borderId="6" xfId="17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14" fillId="6" borderId="5" xfId="17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5" fontId="14" fillId="6" borderId="5" xfId="17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14" fillId="0" borderId="0" xfId="17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1" fontId="14" fillId="0" borderId="5" xfId="17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14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8" fillId="0" borderId="0" xfId="0" applyFont="true" applyBorder="false" applyAlignment="true" applyProtection="true">
      <alignment horizontal="right" vertical="bottom" textRotation="0" wrapText="false" indent="0" shrinkToFit="false"/>
      <protection locked="true" hidden="true"/>
    </xf>
    <xf numFmtId="171" fontId="17" fillId="6" borderId="5" xfId="17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8" fillId="0" borderId="0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75" fontId="18" fillId="0" borderId="0" xfId="0" applyFont="true" applyBorder="false" applyAlignment="true" applyProtection="true">
      <alignment horizontal="right" vertical="center" textRotation="0" wrapText="false" indent="0" shrinkToFit="false"/>
      <protection locked="true" hidden="true"/>
    </xf>
    <xf numFmtId="164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oneda 2" xfId="20"/>
    <cellStyle name="Normal 2" xfId="21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4D86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366840</xdr:colOff>
      <xdr:row>0</xdr:row>
      <xdr:rowOff>296640</xdr:rowOff>
    </xdr:from>
    <xdr:to>
      <xdr:col>3</xdr:col>
      <xdr:colOff>2023920</xdr:colOff>
      <xdr:row>5</xdr:row>
      <xdr:rowOff>152280</xdr:rowOff>
    </xdr:to>
    <xdr:pic>
      <xdr:nvPicPr>
        <xdr:cNvPr id="0" name="Imagen 1" descr=""/>
        <xdr:cNvPicPr/>
      </xdr:nvPicPr>
      <xdr:blipFill>
        <a:blip r:embed="rId1"/>
        <a:srcRect l="20536" t="7741" r="19191" b="12457"/>
        <a:stretch/>
      </xdr:blipFill>
      <xdr:spPr>
        <a:xfrm>
          <a:off x="977760" y="296640"/>
          <a:ext cx="2588400" cy="27226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4"/>
    <col collapsed="false" customWidth="true" hidden="false" outlineLevel="0" max="3" min="3" style="0" width="12"/>
    <col collapsed="false" customWidth="true" hidden="false" outlineLevel="0" max="4" min="4" style="0" width="34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7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B2" s="2" t="n">
        <f aca="false">COUNTIF($H$5:$H$44,"Factura")</f>
        <v>30</v>
      </c>
      <c r="D2" s="3" t="s">
        <v>1</v>
      </c>
      <c r="E2" s="4" t="n">
        <f aca="false">SUMIF($H$5:$H$44,"TOTAL TERCERO",E5:E44)</f>
        <v>30913.17</v>
      </c>
      <c r="F2" s="4" t="n">
        <f aca="false">SUMIF($H$5:$H$44,"TOTAL TERCERO",F5:F44)</f>
        <v>303.94</v>
      </c>
      <c r="G2" s="4" t="n">
        <f aca="false">SUMIF($H$5:$H$44,"TOTAL TERCERO",G5:G44)</f>
        <v>31217.11</v>
      </c>
    </row>
    <row r="3" customFormat="false" ht="15" hidden="false" customHeight="false" outlineLevel="0" collapsed="false">
      <c r="E3" s="5"/>
      <c r="F3" s="5"/>
      <c r="G3" s="5"/>
    </row>
    <row r="4" customFormat="false" ht="15" hidden="false" customHeight="false" outlineLevel="0" collapsed="false">
      <c r="A4" s="6" t="s">
        <v>2</v>
      </c>
      <c r="B4" s="6" t="s">
        <v>3</v>
      </c>
      <c r="C4" s="6" t="s">
        <v>4</v>
      </c>
      <c r="D4" s="6" t="s">
        <v>5</v>
      </c>
      <c r="E4" s="7" t="s">
        <v>6</v>
      </c>
      <c r="F4" s="7" t="s">
        <v>7</v>
      </c>
      <c r="G4" s="7" t="s">
        <v>8</v>
      </c>
      <c r="H4" s="6" t="s">
        <v>9</v>
      </c>
      <c r="I4" s="6" t="s">
        <v>10</v>
      </c>
    </row>
    <row r="5" customFormat="false" ht="15" hidden="false" customHeight="false" outlineLevel="0" collapsed="false">
      <c r="A5" s="8" t="s">
        <v>11</v>
      </c>
      <c r="B5" s="9" t="n">
        <f aca="false">COUNTIFS($A$6:$A$6,$A5,$H$6:$H$6,"Factura")</f>
        <v>1</v>
      </c>
      <c r="C5" s="8"/>
      <c r="D5" s="8"/>
      <c r="E5" s="10" t="n">
        <f aca="false">SUM(E6:E6)</f>
        <v>50</v>
      </c>
      <c r="F5" s="10" t="n">
        <f aca="false">SUM(F6:F6)</f>
        <v>0</v>
      </c>
      <c r="G5" s="10" t="n">
        <f aca="false">SUM(G6:G6)</f>
        <v>50</v>
      </c>
      <c r="H5" s="8" t="s">
        <v>12</v>
      </c>
      <c r="I5" s="8"/>
    </row>
    <row r="6" customFormat="false" ht="15" hidden="false" customHeight="false" outlineLevel="0" collapsed="false">
      <c r="A6" s="0" t="s">
        <v>11</v>
      </c>
      <c r="B6" s="0" t="s">
        <v>13</v>
      </c>
      <c r="C6" s="11" t="n">
        <v>45716</v>
      </c>
      <c r="D6" s="12" t="s">
        <v>14</v>
      </c>
      <c r="E6" s="5" t="n">
        <v>50</v>
      </c>
      <c r="F6" s="5" t="n">
        <v>0</v>
      </c>
      <c r="G6" s="5" t="n">
        <v>50</v>
      </c>
      <c r="H6" s="12" t="s">
        <v>15</v>
      </c>
      <c r="I6" s="0" t="n">
        <v>17</v>
      </c>
    </row>
    <row r="7" customFormat="false" ht="15" hidden="false" customHeight="false" outlineLevel="0" collapsed="false">
      <c r="A7" s="8" t="s">
        <v>16</v>
      </c>
      <c r="B7" s="9" t="n">
        <f aca="false">COUNTIFS($A$8:$A$8,$A7,$H$8:$H$8,"Factura")</f>
        <v>1</v>
      </c>
      <c r="C7" s="8"/>
      <c r="D7" s="8"/>
      <c r="E7" s="10" t="n">
        <f aca="false">SUM(E8:E8)</f>
        <v>1045.97</v>
      </c>
      <c r="F7" s="10" t="n">
        <f aca="false">SUM(F8:F8)</f>
        <v>67.62</v>
      </c>
      <c r="G7" s="10" t="n">
        <f aca="false">SUM(G8:G8)</f>
        <v>1113.59</v>
      </c>
      <c r="H7" s="8" t="s">
        <v>12</v>
      </c>
      <c r="I7" s="8"/>
    </row>
    <row r="8" customFormat="false" ht="15" hidden="false" customHeight="false" outlineLevel="0" collapsed="false">
      <c r="A8" s="0" t="s">
        <v>16</v>
      </c>
      <c r="B8" s="0" t="s">
        <v>17</v>
      </c>
      <c r="C8" s="11" t="n">
        <v>45736</v>
      </c>
      <c r="D8" s="12" t="s">
        <v>18</v>
      </c>
      <c r="E8" s="5" t="n">
        <v>1045.97</v>
      </c>
      <c r="F8" s="5" t="n">
        <v>67.62</v>
      </c>
      <c r="G8" s="5" t="n">
        <v>1113.59</v>
      </c>
      <c r="H8" s="12" t="s">
        <v>15</v>
      </c>
      <c r="I8" s="0" t="n">
        <v>6</v>
      </c>
    </row>
    <row r="9" customFormat="false" ht="15" hidden="false" customHeight="false" outlineLevel="0" collapsed="false">
      <c r="A9" s="8" t="s">
        <v>19</v>
      </c>
      <c r="B9" s="9" t="n">
        <f aca="false">COUNTIFS($A$10:$A$10,$A9,$H$10:$H$10,"Factura")</f>
        <v>1</v>
      </c>
      <c r="C9" s="8"/>
      <c r="D9" s="8"/>
      <c r="E9" s="10" t="n">
        <f aca="false">SUM(E10:E10)</f>
        <v>35.98</v>
      </c>
      <c r="F9" s="10" t="n">
        <f aca="false">SUM(F10:F10)</f>
        <v>2.52</v>
      </c>
      <c r="G9" s="10" t="n">
        <f aca="false">SUM(G10:G10)</f>
        <v>38.5</v>
      </c>
      <c r="H9" s="8" t="s">
        <v>12</v>
      </c>
      <c r="I9" s="8"/>
    </row>
    <row r="10" customFormat="false" ht="15" hidden="false" customHeight="false" outlineLevel="0" collapsed="false">
      <c r="A10" s="0" t="s">
        <v>19</v>
      </c>
      <c r="B10" s="0" t="s">
        <v>20</v>
      </c>
      <c r="C10" s="11" t="n">
        <v>45741</v>
      </c>
      <c r="D10" s="12" t="s">
        <v>21</v>
      </c>
      <c r="E10" s="5" t="n">
        <v>35.98</v>
      </c>
      <c r="F10" s="5" t="n">
        <v>2.52</v>
      </c>
      <c r="G10" s="5" t="n">
        <v>38.5</v>
      </c>
      <c r="H10" s="12" t="s">
        <v>15</v>
      </c>
      <c r="I10" s="0" t="n">
        <v>9</v>
      </c>
    </row>
    <row r="11" customFormat="false" ht="15" hidden="false" customHeight="false" outlineLevel="0" collapsed="false">
      <c r="A11" s="8" t="s">
        <v>22</v>
      </c>
      <c r="B11" s="9" t="n">
        <f aca="false">COUNTIFS($A$12:$A$15,$A11,$H$12:$H$15,"Factura")</f>
        <v>4</v>
      </c>
      <c r="C11" s="8"/>
      <c r="D11" s="8"/>
      <c r="E11" s="10" t="n">
        <f aca="false">SUM(E12:E15)</f>
        <v>26049</v>
      </c>
      <c r="F11" s="10" t="n">
        <f aca="false">SUM(F12:F15)</f>
        <v>0</v>
      </c>
      <c r="G11" s="10" t="n">
        <f aca="false">SUM(G12:G15)</f>
        <v>26049</v>
      </c>
      <c r="H11" s="8" t="s">
        <v>12</v>
      </c>
      <c r="I11" s="8"/>
    </row>
    <row r="12" customFormat="false" ht="15" hidden="false" customHeight="false" outlineLevel="0" collapsed="false">
      <c r="A12" s="0" t="s">
        <v>22</v>
      </c>
      <c r="B12" s="0" t="s">
        <v>23</v>
      </c>
      <c r="C12" s="11" t="n">
        <v>45716</v>
      </c>
      <c r="D12" s="12" t="s">
        <v>24</v>
      </c>
      <c r="E12" s="5" t="n">
        <v>1900</v>
      </c>
      <c r="F12" s="5" t="n">
        <v>0</v>
      </c>
      <c r="G12" s="5" t="n">
        <v>1900</v>
      </c>
      <c r="H12" s="12" t="s">
        <v>15</v>
      </c>
      <c r="I12" s="0" t="n">
        <v>21</v>
      </c>
    </row>
    <row r="13" customFormat="false" ht="15" hidden="false" customHeight="false" outlineLevel="0" collapsed="false">
      <c r="A13" s="0" t="s">
        <v>22</v>
      </c>
      <c r="B13" s="0" t="s">
        <v>25</v>
      </c>
      <c r="C13" s="11" t="n">
        <v>45716</v>
      </c>
      <c r="D13" s="12" t="s">
        <v>24</v>
      </c>
      <c r="E13" s="5" t="n">
        <v>1901</v>
      </c>
      <c r="F13" s="5" t="n">
        <v>0</v>
      </c>
      <c r="G13" s="5" t="n">
        <v>1901</v>
      </c>
      <c r="H13" s="12" t="s">
        <v>15</v>
      </c>
      <c r="I13" s="0" t="n">
        <v>22</v>
      </c>
    </row>
    <row r="14" customFormat="false" ht="15" hidden="false" customHeight="false" outlineLevel="0" collapsed="false">
      <c r="A14" s="0" t="s">
        <v>22</v>
      </c>
      <c r="B14" s="0" t="s">
        <v>26</v>
      </c>
      <c r="C14" s="11" t="n">
        <v>45701</v>
      </c>
      <c r="D14" s="12" t="s">
        <v>24</v>
      </c>
      <c r="E14" s="5" t="n">
        <v>11124</v>
      </c>
      <c r="F14" s="5" t="n">
        <v>0</v>
      </c>
      <c r="G14" s="5" t="n">
        <v>11124</v>
      </c>
      <c r="H14" s="12" t="s">
        <v>15</v>
      </c>
      <c r="I14" s="0" t="n">
        <v>23</v>
      </c>
    </row>
    <row r="15" customFormat="false" ht="15" hidden="false" customHeight="false" outlineLevel="0" collapsed="false">
      <c r="A15" s="0" t="s">
        <v>22</v>
      </c>
      <c r="B15" s="0" t="s">
        <v>27</v>
      </c>
      <c r="C15" s="11" t="n">
        <v>45701</v>
      </c>
      <c r="D15" s="12" t="s">
        <v>24</v>
      </c>
      <c r="E15" s="5" t="n">
        <v>11124</v>
      </c>
      <c r="F15" s="5" t="n">
        <v>0</v>
      </c>
      <c r="G15" s="5" t="n">
        <v>11124</v>
      </c>
      <c r="H15" s="12" t="s">
        <v>15</v>
      </c>
      <c r="I15" s="0" t="n">
        <v>24</v>
      </c>
    </row>
    <row r="16" customFormat="false" ht="15" hidden="false" customHeight="false" outlineLevel="0" collapsed="false">
      <c r="A16" s="8" t="s">
        <v>28</v>
      </c>
      <c r="B16" s="9" t="n">
        <f aca="false">COUNTIFS($A$17:$A$28,$A16,$H$17:$H$28,"Factura")</f>
        <v>12</v>
      </c>
      <c r="C16" s="8"/>
      <c r="D16" s="8"/>
      <c r="E16" s="10" t="n">
        <f aca="false">SUM(E17:E28)</f>
        <v>2940.68</v>
      </c>
      <c r="F16" s="10" t="n">
        <f aca="false">SUM(F17:F28)</f>
        <v>185.41</v>
      </c>
      <c r="G16" s="10" t="n">
        <f aca="false">SUM(G17:G28)</f>
        <v>3126.09</v>
      </c>
      <c r="H16" s="8" t="s">
        <v>12</v>
      </c>
      <c r="I16" s="8"/>
    </row>
    <row r="17" customFormat="false" ht="15" hidden="false" customHeight="false" outlineLevel="0" collapsed="false">
      <c r="A17" s="0" t="s">
        <v>28</v>
      </c>
      <c r="B17" s="0" t="s">
        <v>29</v>
      </c>
      <c r="C17" s="11" t="n">
        <v>45664</v>
      </c>
      <c r="D17" s="12" t="s">
        <v>30</v>
      </c>
      <c r="E17" s="5" t="n">
        <v>336.95</v>
      </c>
      <c r="F17" s="5" t="n">
        <v>23.59</v>
      </c>
      <c r="G17" s="5" t="n">
        <v>360.54</v>
      </c>
      <c r="H17" s="12" t="s">
        <v>15</v>
      </c>
      <c r="I17" s="0" t="n">
        <v>5</v>
      </c>
    </row>
    <row r="18" customFormat="false" ht="15" hidden="false" customHeight="false" outlineLevel="0" collapsed="false">
      <c r="A18" s="0" t="s">
        <v>28</v>
      </c>
      <c r="B18" s="0" t="s">
        <v>31</v>
      </c>
      <c r="C18" s="11" t="n">
        <v>45736</v>
      </c>
      <c r="D18" s="12" t="s">
        <v>18</v>
      </c>
      <c r="E18" s="5" t="n">
        <v>1099.98</v>
      </c>
      <c r="F18" s="5" t="n">
        <v>77</v>
      </c>
      <c r="G18" s="5" t="n">
        <v>1176.98</v>
      </c>
      <c r="H18" s="12" t="s">
        <v>15</v>
      </c>
      <c r="I18" s="0" t="n">
        <v>7</v>
      </c>
    </row>
    <row r="19" customFormat="false" ht="15" hidden="false" customHeight="false" outlineLevel="0" collapsed="false">
      <c r="A19" s="0" t="s">
        <v>28</v>
      </c>
      <c r="B19" s="0" t="s">
        <v>32</v>
      </c>
      <c r="C19" s="11" t="n">
        <v>45736</v>
      </c>
      <c r="D19" s="12" t="s">
        <v>33</v>
      </c>
      <c r="E19" s="5" t="n">
        <v>699.99</v>
      </c>
      <c r="F19" s="5" t="n">
        <v>49</v>
      </c>
      <c r="G19" s="5" t="n">
        <v>748.99</v>
      </c>
      <c r="H19" s="12" t="s">
        <v>15</v>
      </c>
      <c r="I19" s="0" t="n">
        <v>10</v>
      </c>
    </row>
    <row r="20" customFormat="false" ht="15" hidden="false" customHeight="false" outlineLevel="0" collapsed="false">
      <c r="A20" s="0" t="s">
        <v>28</v>
      </c>
      <c r="B20" s="0" t="s">
        <v>34</v>
      </c>
      <c r="C20" s="11" t="n">
        <v>45729</v>
      </c>
      <c r="D20" s="12" t="s">
        <v>14</v>
      </c>
      <c r="E20" s="5" t="n">
        <v>35.73</v>
      </c>
      <c r="F20" s="5" t="n">
        <v>0</v>
      </c>
      <c r="G20" s="5" t="n">
        <v>35.73</v>
      </c>
      <c r="H20" s="12" t="s">
        <v>15</v>
      </c>
      <c r="I20" s="0" t="n">
        <v>11</v>
      </c>
    </row>
    <row r="21" customFormat="false" ht="15" hidden="false" customHeight="false" outlineLevel="0" collapsed="false">
      <c r="A21" s="0" t="s">
        <v>28</v>
      </c>
      <c r="B21" s="0" t="s">
        <v>35</v>
      </c>
      <c r="C21" s="11" t="n">
        <v>45729</v>
      </c>
      <c r="D21" s="12" t="s">
        <v>14</v>
      </c>
      <c r="E21" s="5" t="n">
        <v>41.01</v>
      </c>
      <c r="F21" s="5" t="n">
        <v>0</v>
      </c>
      <c r="G21" s="5" t="n">
        <v>41.01</v>
      </c>
      <c r="H21" s="12" t="s">
        <v>15</v>
      </c>
      <c r="I21" s="0" t="n">
        <v>12</v>
      </c>
    </row>
    <row r="22" customFormat="false" ht="15" hidden="false" customHeight="false" outlineLevel="0" collapsed="false">
      <c r="A22" s="0" t="s">
        <v>28</v>
      </c>
      <c r="B22" s="0" t="s">
        <v>36</v>
      </c>
      <c r="C22" s="11" t="n">
        <v>45715</v>
      </c>
      <c r="D22" s="12" t="s">
        <v>14</v>
      </c>
      <c r="E22" s="5" t="n">
        <v>32</v>
      </c>
      <c r="F22" s="5" t="n">
        <v>0</v>
      </c>
      <c r="G22" s="5" t="n">
        <v>32</v>
      </c>
      <c r="H22" s="12" t="s">
        <v>15</v>
      </c>
      <c r="I22" s="0" t="n">
        <v>16</v>
      </c>
    </row>
    <row r="23" customFormat="false" ht="15" hidden="false" customHeight="false" outlineLevel="0" collapsed="false">
      <c r="A23" s="0" t="s">
        <v>28</v>
      </c>
      <c r="B23" s="0" t="s">
        <v>37</v>
      </c>
      <c r="C23" s="11" t="n">
        <v>45720</v>
      </c>
      <c r="D23" s="12" t="s">
        <v>14</v>
      </c>
      <c r="E23" s="5" t="n">
        <v>40.22</v>
      </c>
      <c r="F23" s="5" t="n">
        <v>0</v>
      </c>
      <c r="G23" s="5" t="n">
        <v>40.22</v>
      </c>
      <c r="H23" s="12" t="s">
        <v>15</v>
      </c>
      <c r="I23" s="0" t="n">
        <v>18</v>
      </c>
    </row>
    <row r="24" customFormat="false" ht="15" hidden="false" customHeight="false" outlineLevel="0" collapsed="false">
      <c r="A24" s="0" t="s">
        <v>28</v>
      </c>
      <c r="B24" s="0" t="s">
        <v>38</v>
      </c>
      <c r="C24" s="11" t="n">
        <v>45736</v>
      </c>
      <c r="D24" s="12" t="s">
        <v>14</v>
      </c>
      <c r="E24" s="5" t="n">
        <v>45.01</v>
      </c>
      <c r="F24" s="5" t="n">
        <v>0</v>
      </c>
      <c r="G24" s="5" t="n">
        <v>45.01</v>
      </c>
      <c r="H24" s="12" t="s">
        <v>15</v>
      </c>
      <c r="I24" s="0" t="n">
        <v>19</v>
      </c>
    </row>
    <row r="25" customFormat="false" ht="15" hidden="false" customHeight="false" outlineLevel="0" collapsed="false">
      <c r="A25" s="0" t="s">
        <v>28</v>
      </c>
      <c r="B25" s="0" t="s">
        <v>39</v>
      </c>
      <c r="C25" s="11" t="n">
        <v>45701</v>
      </c>
      <c r="D25" s="12" t="s">
        <v>40</v>
      </c>
      <c r="E25" s="5" t="n">
        <v>519.68</v>
      </c>
      <c r="F25" s="5" t="n">
        <v>35.82</v>
      </c>
      <c r="G25" s="5" t="n">
        <v>555.5</v>
      </c>
      <c r="H25" s="12" t="s">
        <v>15</v>
      </c>
      <c r="I25" s="0" t="n">
        <v>20</v>
      </c>
    </row>
    <row r="26" customFormat="false" ht="15" hidden="false" customHeight="false" outlineLevel="0" collapsed="false">
      <c r="A26" s="0" t="s">
        <v>28</v>
      </c>
      <c r="B26" s="0" t="s">
        <v>41</v>
      </c>
      <c r="C26" s="11" t="n">
        <v>45709</v>
      </c>
      <c r="D26" s="12" t="s">
        <v>14</v>
      </c>
      <c r="E26" s="5" t="n">
        <v>30.79</v>
      </c>
      <c r="F26" s="5" t="n">
        <v>0</v>
      </c>
      <c r="G26" s="5" t="n">
        <v>30.79</v>
      </c>
      <c r="H26" s="12" t="s">
        <v>15</v>
      </c>
      <c r="I26" s="0" t="n">
        <v>26</v>
      </c>
    </row>
    <row r="27" customFormat="false" ht="15" hidden="false" customHeight="false" outlineLevel="0" collapsed="false">
      <c r="A27" s="0" t="s">
        <v>28</v>
      </c>
      <c r="B27" s="0" t="s">
        <v>42</v>
      </c>
      <c r="C27" s="11" t="n">
        <v>45720</v>
      </c>
      <c r="D27" s="12" t="s">
        <v>14</v>
      </c>
      <c r="E27" s="5" t="n">
        <v>14.34</v>
      </c>
      <c r="F27" s="5" t="n">
        <v>0</v>
      </c>
      <c r="G27" s="5" t="n">
        <v>14.34</v>
      </c>
      <c r="H27" s="12" t="s">
        <v>15</v>
      </c>
      <c r="I27" s="0" t="n">
        <v>27</v>
      </c>
    </row>
    <row r="28" customFormat="false" ht="15" hidden="false" customHeight="false" outlineLevel="0" collapsed="false">
      <c r="A28" s="0" t="s">
        <v>28</v>
      </c>
      <c r="B28" s="0" t="s">
        <v>43</v>
      </c>
      <c r="C28" s="11" t="n">
        <v>45709</v>
      </c>
      <c r="D28" s="12" t="s">
        <v>14</v>
      </c>
      <c r="E28" s="5" t="n">
        <v>44.98</v>
      </c>
      <c r="F28" s="5" t="n">
        <v>0</v>
      </c>
      <c r="G28" s="5" t="n">
        <v>44.98</v>
      </c>
      <c r="H28" s="12" t="s">
        <v>15</v>
      </c>
      <c r="I28" s="0" t="n">
        <v>28</v>
      </c>
    </row>
    <row r="29" customFormat="false" ht="15" hidden="false" customHeight="false" outlineLevel="0" collapsed="false">
      <c r="A29" s="8" t="s">
        <v>44</v>
      </c>
      <c r="B29" s="9" t="n">
        <f aca="false">COUNTIFS($A$30:$A$30,$A29,$H$30:$H$30,"Factura")</f>
        <v>1</v>
      </c>
      <c r="C29" s="8"/>
      <c r="D29" s="8"/>
      <c r="E29" s="10" t="n">
        <f aca="false">SUM(E30:E30)</f>
        <v>8</v>
      </c>
      <c r="F29" s="10" t="n">
        <f aca="false">SUM(F30:F30)</f>
        <v>0</v>
      </c>
      <c r="G29" s="10" t="n">
        <f aca="false">SUM(G30:G30)</f>
        <v>8</v>
      </c>
      <c r="H29" s="8" t="s">
        <v>12</v>
      </c>
      <c r="I29" s="8"/>
    </row>
    <row r="30" customFormat="false" ht="15" hidden="false" customHeight="false" outlineLevel="0" collapsed="false">
      <c r="A30" s="0" t="s">
        <v>44</v>
      </c>
      <c r="B30" s="0" t="s">
        <v>45</v>
      </c>
      <c r="C30" s="11" t="n">
        <v>45665</v>
      </c>
      <c r="D30" s="12" t="s">
        <v>46</v>
      </c>
      <c r="E30" s="5" t="n">
        <v>8</v>
      </c>
      <c r="F30" s="5" t="n">
        <v>0</v>
      </c>
      <c r="G30" s="5" t="n">
        <v>8</v>
      </c>
      <c r="H30" s="12" t="s">
        <v>15</v>
      </c>
      <c r="I30" s="0" t="n">
        <v>30</v>
      </c>
    </row>
    <row r="31" customFormat="false" ht="15" hidden="false" customHeight="false" outlineLevel="0" collapsed="false">
      <c r="A31" s="8" t="s">
        <v>47</v>
      </c>
      <c r="B31" s="9" t="n">
        <f aca="false">COUNTIFS($A$32:$A$32,$A31,$H$32:$H$32,"Factura")</f>
        <v>1</v>
      </c>
      <c r="C31" s="8"/>
      <c r="D31" s="8"/>
      <c r="E31" s="10" t="n">
        <f aca="false">SUM(E32:E32)</f>
        <v>60</v>
      </c>
      <c r="F31" s="10" t="n">
        <f aca="false">SUM(F32:F32)</f>
        <v>3.95</v>
      </c>
      <c r="G31" s="10" t="n">
        <f aca="false">SUM(G32:G32)</f>
        <v>63.95</v>
      </c>
      <c r="H31" s="8" t="s">
        <v>12</v>
      </c>
      <c r="I31" s="8"/>
    </row>
    <row r="32" customFormat="false" ht="15" hidden="false" customHeight="false" outlineLevel="0" collapsed="false">
      <c r="A32" s="0" t="s">
        <v>47</v>
      </c>
      <c r="B32" s="0" t="s">
        <v>48</v>
      </c>
      <c r="C32" s="11" t="n">
        <v>45703</v>
      </c>
      <c r="E32" s="5" t="n">
        <v>60</v>
      </c>
      <c r="F32" s="5" t="n">
        <v>3.95</v>
      </c>
      <c r="G32" s="5" t="n">
        <v>63.95</v>
      </c>
      <c r="H32" s="12" t="s">
        <v>15</v>
      </c>
      <c r="I32" s="0" t="n">
        <v>1</v>
      </c>
    </row>
    <row r="33" customFormat="false" ht="15" hidden="false" customHeight="false" outlineLevel="0" collapsed="false">
      <c r="A33" s="8" t="s">
        <v>49</v>
      </c>
      <c r="B33" s="9" t="n">
        <f aca="false">COUNTIFS($A$34:$A$34,$A33,$H$34:$H$34,"Factura")</f>
        <v>1</v>
      </c>
      <c r="C33" s="8"/>
      <c r="D33" s="8"/>
      <c r="E33" s="10" t="n">
        <f aca="false">SUM(E34:E34)</f>
        <v>57.27</v>
      </c>
      <c r="F33" s="10" t="n">
        <f aca="false">SUM(F34:F34)</f>
        <v>0</v>
      </c>
      <c r="G33" s="10" t="n">
        <f aca="false">SUM(G34:G34)</f>
        <v>57.27</v>
      </c>
      <c r="H33" s="8" t="s">
        <v>12</v>
      </c>
      <c r="I33" s="8"/>
    </row>
    <row r="34" customFormat="false" ht="15" hidden="false" customHeight="false" outlineLevel="0" collapsed="false">
      <c r="A34" s="0" t="s">
        <v>49</v>
      </c>
      <c r="B34" s="0" t="s">
        <v>50</v>
      </c>
      <c r="C34" s="11" t="n">
        <v>45745</v>
      </c>
      <c r="D34" s="12" t="s">
        <v>14</v>
      </c>
      <c r="E34" s="5" t="n">
        <v>57.27</v>
      </c>
      <c r="F34" s="5" t="n">
        <v>0</v>
      </c>
      <c r="G34" s="5" t="n">
        <v>57.27</v>
      </c>
      <c r="H34" s="12" t="s">
        <v>15</v>
      </c>
      <c r="I34" s="0" t="n">
        <v>13</v>
      </c>
    </row>
    <row r="35" customFormat="false" ht="15" hidden="false" customHeight="false" outlineLevel="0" collapsed="false">
      <c r="A35" s="8" t="s">
        <v>51</v>
      </c>
      <c r="B35" s="9" t="n">
        <f aca="false">COUNTIFS($A$36:$A$36,$A35,$H$36:$H$36,"Factura")</f>
        <v>1</v>
      </c>
      <c r="C35" s="8"/>
      <c r="D35" s="8"/>
      <c r="E35" s="10" t="n">
        <f aca="false">SUM(E36:E36)</f>
        <v>34.99</v>
      </c>
      <c r="F35" s="10" t="n">
        <f aca="false">SUM(F36:F36)</f>
        <v>2.45</v>
      </c>
      <c r="G35" s="10" t="n">
        <f aca="false">SUM(G36:G36)</f>
        <v>37.44</v>
      </c>
      <c r="H35" s="8" t="s">
        <v>12</v>
      </c>
      <c r="I35" s="8"/>
    </row>
    <row r="36" customFormat="false" ht="15" hidden="false" customHeight="false" outlineLevel="0" collapsed="false">
      <c r="A36" s="0" t="s">
        <v>51</v>
      </c>
      <c r="B36" s="0" t="s">
        <v>52</v>
      </c>
      <c r="C36" s="11" t="n">
        <v>45721</v>
      </c>
      <c r="D36" s="12" t="s">
        <v>53</v>
      </c>
      <c r="E36" s="5" t="n">
        <v>34.99</v>
      </c>
      <c r="F36" s="5" t="n">
        <v>2.45</v>
      </c>
      <c r="G36" s="5" t="n">
        <v>37.44</v>
      </c>
      <c r="H36" s="12" t="s">
        <v>15</v>
      </c>
      <c r="I36" s="0" t="n">
        <v>25</v>
      </c>
    </row>
    <row r="37" customFormat="false" ht="15" hidden="false" customHeight="false" outlineLevel="0" collapsed="false">
      <c r="A37" s="8" t="s">
        <v>54</v>
      </c>
      <c r="B37" s="9" t="n">
        <f aca="false">COUNTIFS($A$38:$A$44,$A37,$H$38:$H$44,"Factura")</f>
        <v>7</v>
      </c>
      <c r="C37" s="8"/>
      <c r="D37" s="8"/>
      <c r="E37" s="10" t="n">
        <f aca="false">SUM(E38:E44)</f>
        <v>631.28</v>
      </c>
      <c r="F37" s="10" t="n">
        <f aca="false">SUM(F38:F44)</f>
        <v>41.99</v>
      </c>
      <c r="G37" s="10" t="n">
        <f aca="false">SUM(G38:G44)</f>
        <v>673.27</v>
      </c>
      <c r="H37" s="8" t="s">
        <v>12</v>
      </c>
      <c r="I37" s="8"/>
    </row>
    <row r="38" customFormat="false" ht="15" hidden="false" customHeight="false" outlineLevel="0" collapsed="false">
      <c r="A38" s="0" t="s">
        <v>54</v>
      </c>
      <c r="B38" s="0" t="s">
        <v>55</v>
      </c>
      <c r="C38" s="11" t="n">
        <v>45740</v>
      </c>
      <c r="D38" s="12" t="s">
        <v>56</v>
      </c>
      <c r="E38" s="5" t="n">
        <v>5.97</v>
      </c>
      <c r="F38" s="5" t="n">
        <v>0.42</v>
      </c>
      <c r="G38" s="5" t="n">
        <v>6.39</v>
      </c>
      <c r="H38" s="12" t="s">
        <v>15</v>
      </c>
      <c r="I38" s="0" t="n">
        <v>2</v>
      </c>
    </row>
    <row r="39" customFormat="false" ht="15" hidden="false" customHeight="false" outlineLevel="0" collapsed="false">
      <c r="A39" s="0" t="s">
        <v>54</v>
      </c>
      <c r="B39" s="0" t="s">
        <v>57</v>
      </c>
      <c r="C39" s="11" t="n">
        <v>45729</v>
      </c>
      <c r="D39" s="12" t="s">
        <v>58</v>
      </c>
      <c r="E39" s="5" t="n">
        <v>30.98</v>
      </c>
      <c r="F39" s="5" t="n">
        <v>0</v>
      </c>
      <c r="G39" s="5" t="n">
        <v>30.98</v>
      </c>
      <c r="H39" s="12" t="s">
        <v>15</v>
      </c>
      <c r="I39" s="0" t="n">
        <v>3</v>
      </c>
    </row>
    <row r="40" customFormat="false" ht="15" hidden="false" customHeight="false" outlineLevel="0" collapsed="false">
      <c r="A40" s="0" t="s">
        <v>54</v>
      </c>
      <c r="B40" s="0" t="s">
        <v>59</v>
      </c>
      <c r="C40" s="11" t="n">
        <v>45729</v>
      </c>
      <c r="D40" s="12" t="s">
        <v>58</v>
      </c>
      <c r="E40" s="5" t="n">
        <v>61.96</v>
      </c>
      <c r="F40" s="5" t="n">
        <v>4.34</v>
      </c>
      <c r="G40" s="5" t="n">
        <v>66.3</v>
      </c>
      <c r="H40" s="12" t="s">
        <v>15</v>
      </c>
      <c r="I40" s="0" t="n">
        <v>4</v>
      </c>
    </row>
    <row r="41" customFormat="false" ht="15" hidden="false" customHeight="false" outlineLevel="0" collapsed="false">
      <c r="A41" s="0" t="s">
        <v>54</v>
      </c>
      <c r="B41" s="0" t="s">
        <v>60</v>
      </c>
      <c r="C41" s="11" t="n">
        <v>45738</v>
      </c>
      <c r="D41" s="12" t="s">
        <v>56</v>
      </c>
      <c r="E41" s="5" t="n">
        <v>31.91</v>
      </c>
      <c r="F41" s="5" t="n">
        <v>2.23</v>
      </c>
      <c r="G41" s="5" t="n">
        <v>34.14</v>
      </c>
      <c r="H41" s="12" t="s">
        <v>15</v>
      </c>
      <c r="I41" s="0" t="n">
        <v>8</v>
      </c>
    </row>
    <row r="42" customFormat="false" ht="15" hidden="false" customHeight="false" outlineLevel="0" collapsed="false">
      <c r="A42" s="0" t="s">
        <v>54</v>
      </c>
      <c r="B42" s="0" t="s">
        <v>61</v>
      </c>
      <c r="C42" s="11" t="n">
        <v>45729</v>
      </c>
      <c r="D42" s="12" t="s">
        <v>62</v>
      </c>
      <c r="E42" s="5" t="n">
        <v>289</v>
      </c>
      <c r="F42" s="5" t="n">
        <v>20.23</v>
      </c>
      <c r="G42" s="5" t="n">
        <v>309.23</v>
      </c>
      <c r="H42" s="12" t="s">
        <v>15</v>
      </c>
      <c r="I42" s="0" t="n">
        <v>14</v>
      </c>
    </row>
    <row r="43" customFormat="false" ht="15" hidden="false" customHeight="false" outlineLevel="0" collapsed="false">
      <c r="A43" s="0" t="s">
        <v>54</v>
      </c>
      <c r="B43" s="0" t="s">
        <v>63</v>
      </c>
      <c r="C43" s="11" t="n">
        <v>45715</v>
      </c>
      <c r="D43" s="12" t="s">
        <v>64</v>
      </c>
      <c r="E43" s="5" t="n">
        <v>109.5</v>
      </c>
      <c r="F43" s="5" t="n">
        <v>7.67</v>
      </c>
      <c r="G43" s="5" t="n">
        <v>117.17</v>
      </c>
      <c r="H43" s="12" t="s">
        <v>15</v>
      </c>
      <c r="I43" s="0" t="n">
        <v>15</v>
      </c>
    </row>
    <row r="44" customFormat="false" ht="15" hidden="false" customHeight="false" outlineLevel="0" collapsed="false">
      <c r="A44" s="0" t="s">
        <v>54</v>
      </c>
      <c r="B44" s="0" t="s">
        <v>65</v>
      </c>
      <c r="C44" s="11" t="n">
        <v>45743</v>
      </c>
      <c r="D44" s="12" t="s">
        <v>58</v>
      </c>
      <c r="E44" s="5" t="n">
        <v>101.96</v>
      </c>
      <c r="F44" s="5" t="n">
        <v>7.1</v>
      </c>
      <c r="G44" s="5" t="n">
        <v>109.06</v>
      </c>
      <c r="H44" s="12" t="s">
        <v>15</v>
      </c>
      <c r="I44" s="0" t="n">
        <v>29</v>
      </c>
    </row>
  </sheetData>
  <autoFilter ref="A4:I4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FF"/>
    <pageSetUpPr fitToPage="true"/>
  </sheetPr>
  <dimension ref="A2:M45"/>
  <sheetViews>
    <sheetView showFormulas="false" showGridLines="false" showRowColHeaders="true" showZeros="true" rightToLeft="false" tabSelected="true" showOutlineSymbols="true" defaultGridColor="true" view="normal" topLeftCell="A1" colorId="64" zoomScale="40" zoomScaleNormal="40" zoomScalePageLayoutView="40" workbookViewId="0">
      <selection pane="topLeft" activeCell="J37" activeCellId="0" sqref="J37"/>
    </sheetView>
  </sheetViews>
  <sheetFormatPr defaultColWidth="11.4453125" defaultRowHeight="35.25" zeroHeight="false" outlineLevelRow="0" outlineLevelCol="0"/>
  <cols>
    <col collapsed="false" customWidth="true" hidden="false" outlineLevel="0" max="1" min="1" style="13" width="8.67"/>
    <col collapsed="false" customWidth="true" hidden="false" outlineLevel="0" max="2" min="2" style="13" width="13.22"/>
    <col collapsed="false" customWidth="true" hidden="true" outlineLevel="0" max="3" min="3" style="14" width="40.67"/>
    <col collapsed="false" customWidth="true" hidden="false" outlineLevel="0" max="4" min="4" style="15" width="79"/>
    <col collapsed="false" customWidth="true" hidden="false" outlineLevel="0" max="5" min="5" style="15" width="37"/>
    <col collapsed="false" customWidth="true" hidden="false" outlineLevel="0" max="6" min="6" style="15" width="98.67"/>
    <col collapsed="false" customWidth="true" hidden="false" outlineLevel="0" max="7" min="7" style="16" width="111.88"/>
    <col collapsed="false" customWidth="true" hidden="true" outlineLevel="0" max="8" min="8" style="15" width="41.56"/>
    <col collapsed="false" customWidth="true" hidden="true" outlineLevel="0" max="9" min="9" style="15" width="30.56"/>
    <col collapsed="false" customWidth="true" hidden="false" outlineLevel="0" max="10" min="10" style="15" width="34.78"/>
    <col collapsed="false" customWidth="true" hidden="false" outlineLevel="0" max="11" min="11" style="15" width="23.88"/>
    <col collapsed="false" customWidth="true" hidden="true" outlineLevel="0" max="12" min="12" style="15" width="35.89"/>
    <col collapsed="false" customWidth="true" hidden="false" outlineLevel="0" max="13" min="13" style="15" width="48.67"/>
    <col collapsed="false" customWidth="true" hidden="false" outlineLevel="0" max="14" min="14" style="15" width="29.11"/>
    <col collapsed="false" customWidth="true" hidden="false" outlineLevel="0" max="15" min="15" style="15" width="33.11"/>
    <col collapsed="false" customWidth="true" hidden="false" outlineLevel="0" max="16" min="16" style="15" width="41.33"/>
    <col collapsed="false" customWidth="false" hidden="false" outlineLevel="0" max="16384" min="17" style="15" width="11.44"/>
  </cols>
  <sheetData>
    <row r="2" customFormat="false" ht="35.25" hidden="false" customHeight="false" outlineLevel="0" collapsed="false">
      <c r="C2" s="17"/>
      <c r="D2" s="18"/>
      <c r="E2" s="19"/>
      <c r="F2" s="18"/>
      <c r="G2" s="20"/>
      <c r="H2" s="18"/>
      <c r="I2" s="18"/>
      <c r="J2" s="18"/>
      <c r="K2" s="18"/>
    </row>
    <row r="3" customFormat="false" ht="35.25" hidden="false" customHeight="false" outlineLevel="0" collapsed="false">
      <c r="C3" s="15"/>
    </row>
    <row r="4" customFormat="false" ht="60" hidden="false" customHeight="true" outlineLevel="0" collapsed="false">
      <c r="C4" s="21" t="s">
        <v>66</v>
      </c>
      <c r="D4" s="21"/>
      <c r="E4" s="21"/>
      <c r="F4" s="21"/>
      <c r="G4" s="21"/>
      <c r="H4" s="21"/>
      <c r="I4" s="21"/>
      <c r="J4" s="21"/>
      <c r="K4" s="21"/>
    </row>
    <row r="5" customFormat="false" ht="60" hidden="false" customHeight="true" outlineLevel="0" collapsed="false">
      <c r="C5" s="21" t="s">
        <v>67</v>
      </c>
      <c r="D5" s="21"/>
      <c r="E5" s="21"/>
      <c r="F5" s="21"/>
      <c r="G5" s="21"/>
      <c r="H5" s="21"/>
      <c r="I5" s="21"/>
      <c r="J5" s="21"/>
      <c r="K5" s="21"/>
      <c r="L5" s="22"/>
      <c r="M5" s="23"/>
    </row>
    <row r="6" customFormat="false" ht="35.25" hidden="false" customHeight="false" outlineLevel="0" collapsed="false">
      <c r="C6" s="17"/>
      <c r="D6" s="18"/>
      <c r="E6" s="19"/>
      <c r="F6" s="18"/>
      <c r="G6" s="20"/>
      <c r="H6" s="18"/>
      <c r="I6" s="18"/>
      <c r="J6" s="18"/>
      <c r="K6" s="18"/>
      <c r="M6" s="24"/>
    </row>
    <row r="7" customFormat="false" ht="15" hidden="false" customHeight="true" outlineLevel="0" collapsed="false">
      <c r="A7" s="25"/>
      <c r="B7" s="26" t="s">
        <v>68</v>
      </c>
      <c r="C7" s="25" t="s">
        <v>69</v>
      </c>
      <c r="D7" s="27" t="s">
        <v>70</v>
      </c>
      <c r="E7" s="28" t="s">
        <v>71</v>
      </c>
      <c r="F7" s="28" t="s">
        <v>72</v>
      </c>
      <c r="G7" s="28" t="s">
        <v>73</v>
      </c>
      <c r="H7" s="28" t="s">
        <v>74</v>
      </c>
      <c r="I7" s="28" t="s">
        <v>75</v>
      </c>
      <c r="J7" s="28" t="s">
        <v>76</v>
      </c>
      <c r="K7" s="28" t="s">
        <v>7</v>
      </c>
      <c r="L7" s="28" t="s">
        <v>77</v>
      </c>
      <c r="M7" s="29" t="s">
        <v>78</v>
      </c>
    </row>
    <row r="8" customFormat="false" ht="45.75" hidden="false" customHeight="true" outlineLevel="0" collapsed="false">
      <c r="A8" s="25"/>
      <c r="B8" s="26"/>
      <c r="C8" s="25"/>
      <c r="D8" s="27"/>
      <c r="E8" s="28"/>
      <c r="F8" s="28"/>
      <c r="G8" s="28"/>
      <c r="H8" s="28"/>
      <c r="I8" s="28"/>
      <c r="J8" s="28"/>
      <c r="K8" s="28"/>
      <c r="L8" s="28"/>
      <c r="M8" s="28"/>
    </row>
    <row r="9" customFormat="false" ht="36" hidden="false" customHeight="true" outlineLevel="0" collapsed="false">
      <c r="A9" s="30" t="n">
        <v>1</v>
      </c>
      <c r="B9" s="31"/>
      <c r="C9" s="32"/>
      <c r="D9" s="33" t="s">
        <v>48</v>
      </c>
      <c r="E9" s="34" t="s">
        <v>79</v>
      </c>
      <c r="F9" s="35" t="s">
        <v>47</v>
      </c>
      <c r="G9" s="35"/>
      <c r="H9" s="36"/>
      <c r="I9" s="37"/>
      <c r="J9" s="38" t="n">
        <v>60</v>
      </c>
      <c r="K9" s="39" t="n">
        <v>3.95</v>
      </c>
      <c r="L9" s="40"/>
      <c r="M9" s="41" t="n">
        <f aca="false">J9+K9</f>
        <v>63.95</v>
      </c>
    </row>
    <row r="10" customFormat="false" ht="36" hidden="false" customHeight="true" outlineLevel="0" collapsed="false">
      <c r="A10" s="30" t="n">
        <v>2</v>
      </c>
      <c r="B10" s="31"/>
      <c r="C10" s="32"/>
      <c r="D10" s="33" t="s">
        <v>55</v>
      </c>
      <c r="E10" s="34" t="s">
        <v>80</v>
      </c>
      <c r="F10" s="35" t="s">
        <v>54</v>
      </c>
      <c r="G10" s="35" t="s">
        <v>56</v>
      </c>
      <c r="H10" s="36"/>
      <c r="I10" s="37"/>
      <c r="J10" s="38" t="n">
        <v>5.97</v>
      </c>
      <c r="K10" s="39" t="n">
        <v>0.42</v>
      </c>
      <c r="L10" s="40"/>
      <c r="M10" s="41" t="n">
        <f aca="false">J10+K10</f>
        <v>6.39</v>
      </c>
    </row>
    <row r="11" customFormat="false" ht="36" hidden="false" customHeight="true" outlineLevel="0" collapsed="false">
      <c r="A11" s="30" t="n">
        <v>3</v>
      </c>
      <c r="B11" s="31"/>
      <c r="C11" s="32"/>
      <c r="D11" s="33" t="s">
        <v>57</v>
      </c>
      <c r="E11" s="34" t="s">
        <v>81</v>
      </c>
      <c r="F11" s="35" t="s">
        <v>54</v>
      </c>
      <c r="G11" s="35" t="s">
        <v>58</v>
      </c>
      <c r="H11" s="36"/>
      <c r="I11" s="37"/>
      <c r="J11" s="38" t="n">
        <v>30.98</v>
      </c>
      <c r="K11" s="39" t="n">
        <v>0</v>
      </c>
      <c r="L11" s="40"/>
      <c r="M11" s="41" t="n">
        <f aca="false">J11+K11</f>
        <v>30.98</v>
      </c>
    </row>
    <row r="12" customFormat="false" ht="36" hidden="false" customHeight="true" outlineLevel="0" collapsed="false">
      <c r="A12" s="30" t="n">
        <v>4</v>
      </c>
      <c r="B12" s="42"/>
      <c r="C12" s="32"/>
      <c r="D12" s="33" t="s">
        <v>59</v>
      </c>
      <c r="E12" s="34" t="s">
        <v>81</v>
      </c>
      <c r="F12" s="35" t="s">
        <v>54</v>
      </c>
      <c r="G12" s="35" t="s">
        <v>58</v>
      </c>
      <c r="H12" s="36"/>
      <c r="I12" s="37"/>
      <c r="J12" s="38" t="n">
        <v>61.96</v>
      </c>
      <c r="K12" s="39" t="n">
        <v>4.34</v>
      </c>
      <c r="L12" s="40"/>
      <c r="M12" s="41" t="n">
        <f aca="false">J12+K12</f>
        <v>66.3</v>
      </c>
    </row>
    <row r="13" customFormat="false" ht="36" hidden="false" customHeight="true" outlineLevel="0" collapsed="false">
      <c r="A13" s="30" t="n">
        <v>5</v>
      </c>
      <c r="B13" s="31"/>
      <c r="C13" s="32"/>
      <c r="D13" s="33" t="s">
        <v>29</v>
      </c>
      <c r="E13" s="34" t="s">
        <v>82</v>
      </c>
      <c r="F13" s="35" t="s">
        <v>28</v>
      </c>
      <c r="G13" s="35" t="s">
        <v>30</v>
      </c>
      <c r="H13" s="36"/>
      <c r="I13" s="37"/>
      <c r="J13" s="38" t="n">
        <v>336.95</v>
      </c>
      <c r="K13" s="39" t="n">
        <v>23.59</v>
      </c>
      <c r="L13" s="40"/>
      <c r="M13" s="41" t="n">
        <f aca="false">J13+K13</f>
        <v>360.54</v>
      </c>
    </row>
    <row r="14" customFormat="false" ht="36" hidden="false" customHeight="true" outlineLevel="0" collapsed="false">
      <c r="A14" s="30" t="n">
        <v>6</v>
      </c>
      <c r="B14" s="31"/>
      <c r="C14" s="32"/>
      <c r="D14" s="33" t="s">
        <v>17</v>
      </c>
      <c r="E14" s="32" t="n">
        <v>45736</v>
      </c>
      <c r="F14" s="35" t="s">
        <v>16</v>
      </c>
      <c r="G14" s="35" t="s">
        <v>18</v>
      </c>
      <c r="H14" s="36"/>
      <c r="I14" s="37"/>
      <c r="J14" s="38" t="n">
        <v>1045.97</v>
      </c>
      <c r="K14" s="39" t="n">
        <v>67.62</v>
      </c>
      <c r="L14" s="40"/>
      <c r="M14" s="41" t="n">
        <f aca="false">J14+K14</f>
        <v>1113.59</v>
      </c>
    </row>
    <row r="15" customFormat="false" ht="36" hidden="false" customHeight="true" outlineLevel="0" collapsed="false">
      <c r="A15" s="30" t="n">
        <v>7</v>
      </c>
      <c r="B15" s="31"/>
      <c r="C15" s="32"/>
      <c r="D15" s="33" t="s">
        <v>31</v>
      </c>
      <c r="E15" s="32" t="n">
        <v>45736</v>
      </c>
      <c r="F15" s="35" t="s">
        <v>28</v>
      </c>
      <c r="G15" s="35" t="s">
        <v>18</v>
      </c>
      <c r="H15" s="36"/>
      <c r="I15" s="37"/>
      <c r="J15" s="38" t="n">
        <v>1099.98</v>
      </c>
      <c r="K15" s="39" t="n">
        <v>77</v>
      </c>
      <c r="L15" s="40"/>
      <c r="M15" s="41" t="n">
        <f aca="false">J15+K15</f>
        <v>1176.98</v>
      </c>
    </row>
    <row r="16" customFormat="false" ht="36" hidden="false" customHeight="true" outlineLevel="0" collapsed="false">
      <c r="A16" s="30" t="n">
        <v>8</v>
      </c>
      <c r="B16" s="31"/>
      <c r="C16" s="32"/>
      <c r="D16" s="33" t="s">
        <v>60</v>
      </c>
      <c r="E16" s="32" t="n">
        <v>45738</v>
      </c>
      <c r="F16" s="35" t="s">
        <v>54</v>
      </c>
      <c r="G16" s="35" t="s">
        <v>56</v>
      </c>
      <c r="H16" s="36"/>
      <c r="I16" s="37"/>
      <c r="J16" s="38" t="n">
        <v>31.91</v>
      </c>
      <c r="K16" s="39" t="n">
        <v>2.23</v>
      </c>
      <c r="L16" s="40"/>
      <c r="M16" s="41" t="n">
        <f aca="false">J16+K16</f>
        <v>34.14</v>
      </c>
    </row>
    <row r="17" customFormat="false" ht="36" hidden="false" customHeight="true" outlineLevel="0" collapsed="false">
      <c r="A17" s="30" t="n">
        <v>9</v>
      </c>
      <c r="B17" s="31"/>
      <c r="C17" s="32"/>
      <c r="D17" s="33" t="s">
        <v>20</v>
      </c>
      <c r="E17" s="32" t="n">
        <v>45741</v>
      </c>
      <c r="F17" s="35" t="s">
        <v>19</v>
      </c>
      <c r="G17" s="35" t="s">
        <v>21</v>
      </c>
      <c r="H17" s="36"/>
      <c r="I17" s="37"/>
      <c r="J17" s="38" t="n">
        <v>35.98</v>
      </c>
      <c r="K17" s="39" t="n">
        <v>2.52</v>
      </c>
      <c r="L17" s="40"/>
      <c r="M17" s="41" t="n">
        <f aca="false">J17+K17</f>
        <v>38.5</v>
      </c>
    </row>
    <row r="18" customFormat="false" ht="36" hidden="false" customHeight="true" outlineLevel="0" collapsed="false">
      <c r="A18" s="30" t="n">
        <v>10</v>
      </c>
      <c r="B18" s="31"/>
      <c r="C18" s="32"/>
      <c r="D18" s="33" t="s">
        <v>32</v>
      </c>
      <c r="E18" s="32" t="n">
        <v>45736</v>
      </c>
      <c r="F18" s="35" t="s">
        <v>28</v>
      </c>
      <c r="G18" s="35" t="s">
        <v>33</v>
      </c>
      <c r="H18" s="36"/>
      <c r="I18" s="37"/>
      <c r="J18" s="38" t="n">
        <v>699.99</v>
      </c>
      <c r="K18" s="39" t="n">
        <v>49</v>
      </c>
      <c r="L18" s="40"/>
      <c r="M18" s="41" t="n">
        <f aca="false">J18+K18</f>
        <v>748.99</v>
      </c>
    </row>
    <row r="19" customFormat="false" ht="36" hidden="false" customHeight="true" outlineLevel="0" collapsed="false">
      <c r="A19" s="30" t="n">
        <v>11</v>
      </c>
      <c r="B19" s="31"/>
      <c r="C19" s="32"/>
      <c r="D19" s="33" t="s">
        <v>34</v>
      </c>
      <c r="E19" s="32" t="n">
        <v>45729</v>
      </c>
      <c r="F19" s="35" t="s">
        <v>28</v>
      </c>
      <c r="G19" s="35" t="s">
        <v>14</v>
      </c>
      <c r="H19" s="36"/>
      <c r="I19" s="37"/>
      <c r="J19" s="38" t="n">
        <v>35.73</v>
      </c>
      <c r="K19" s="39"/>
      <c r="L19" s="40"/>
      <c r="M19" s="41" t="n">
        <f aca="false">J19+K19</f>
        <v>35.73</v>
      </c>
    </row>
    <row r="20" customFormat="false" ht="36" hidden="false" customHeight="true" outlineLevel="0" collapsed="false">
      <c r="A20" s="30" t="n">
        <v>12</v>
      </c>
      <c r="B20" s="31"/>
      <c r="C20" s="32"/>
      <c r="D20" s="33" t="s">
        <v>35</v>
      </c>
      <c r="E20" s="32" t="n">
        <v>45729</v>
      </c>
      <c r="F20" s="35" t="s">
        <v>28</v>
      </c>
      <c r="G20" s="35" t="s">
        <v>14</v>
      </c>
      <c r="H20" s="36"/>
      <c r="I20" s="37"/>
      <c r="J20" s="38" t="n">
        <v>41.01</v>
      </c>
      <c r="K20" s="39"/>
      <c r="L20" s="40"/>
      <c r="M20" s="41" t="n">
        <f aca="false">J20+K20</f>
        <v>41.01</v>
      </c>
    </row>
    <row r="21" customFormat="false" ht="36" hidden="false" customHeight="true" outlineLevel="0" collapsed="false">
      <c r="A21" s="30" t="n">
        <v>13</v>
      </c>
      <c r="B21" s="31"/>
      <c r="C21" s="32"/>
      <c r="D21" s="33" t="s">
        <v>50</v>
      </c>
      <c r="E21" s="32" t="n">
        <v>45745</v>
      </c>
      <c r="F21" s="35" t="s">
        <v>49</v>
      </c>
      <c r="G21" s="35" t="s">
        <v>14</v>
      </c>
      <c r="H21" s="36"/>
      <c r="I21" s="37"/>
      <c r="J21" s="38" t="n">
        <v>57.27</v>
      </c>
      <c r="K21" s="39"/>
      <c r="L21" s="40"/>
      <c r="M21" s="41" t="n">
        <f aca="false">J21+K21</f>
        <v>57.27</v>
      </c>
    </row>
    <row r="22" customFormat="false" ht="36" hidden="false" customHeight="true" outlineLevel="0" collapsed="false">
      <c r="A22" s="30" t="n">
        <v>14</v>
      </c>
      <c r="B22" s="31"/>
      <c r="C22" s="32"/>
      <c r="D22" s="33" t="s">
        <v>61</v>
      </c>
      <c r="E22" s="32" t="n">
        <v>45729</v>
      </c>
      <c r="F22" s="35" t="s">
        <v>54</v>
      </c>
      <c r="G22" s="35" t="s">
        <v>62</v>
      </c>
      <c r="H22" s="36"/>
      <c r="I22" s="37"/>
      <c r="J22" s="38" t="n">
        <v>289</v>
      </c>
      <c r="K22" s="39" t="n">
        <v>20.23</v>
      </c>
      <c r="L22" s="40"/>
      <c r="M22" s="41" t="n">
        <f aca="false">J22+K22</f>
        <v>309.23</v>
      </c>
    </row>
    <row r="23" customFormat="false" ht="36" hidden="false" customHeight="true" outlineLevel="0" collapsed="false">
      <c r="A23" s="30" t="n">
        <v>15</v>
      </c>
      <c r="B23" s="31"/>
      <c r="C23" s="32"/>
      <c r="D23" s="33" t="s">
        <v>63</v>
      </c>
      <c r="E23" s="32" t="n">
        <v>45715</v>
      </c>
      <c r="F23" s="35" t="s">
        <v>54</v>
      </c>
      <c r="G23" s="35" t="s">
        <v>64</v>
      </c>
      <c r="H23" s="36"/>
      <c r="I23" s="37"/>
      <c r="J23" s="38" t="n">
        <v>109.5</v>
      </c>
      <c r="K23" s="39" t="n">
        <v>7.67</v>
      </c>
      <c r="L23" s="40"/>
      <c r="M23" s="41" t="n">
        <f aca="false">J23+K23</f>
        <v>117.17</v>
      </c>
    </row>
    <row r="24" customFormat="false" ht="36" hidden="false" customHeight="true" outlineLevel="0" collapsed="false">
      <c r="A24" s="30" t="n">
        <v>16</v>
      </c>
      <c r="B24" s="31"/>
      <c r="C24" s="32"/>
      <c r="D24" s="33" t="s">
        <v>36</v>
      </c>
      <c r="E24" s="32" t="n">
        <v>45715</v>
      </c>
      <c r="F24" s="35" t="s">
        <v>28</v>
      </c>
      <c r="G24" s="35" t="s">
        <v>14</v>
      </c>
      <c r="H24" s="36"/>
      <c r="I24" s="37"/>
      <c r="J24" s="38" t="n">
        <v>32</v>
      </c>
      <c r="K24" s="39"/>
      <c r="L24" s="40"/>
      <c r="M24" s="41" t="n">
        <f aca="false">J24+K24</f>
        <v>32</v>
      </c>
    </row>
    <row r="25" customFormat="false" ht="36" hidden="false" customHeight="true" outlineLevel="0" collapsed="false">
      <c r="A25" s="30" t="n">
        <v>17</v>
      </c>
      <c r="B25" s="31"/>
      <c r="C25" s="32"/>
      <c r="D25" s="33" t="s">
        <v>13</v>
      </c>
      <c r="E25" s="32" t="n">
        <v>45716</v>
      </c>
      <c r="F25" s="35" t="s">
        <v>11</v>
      </c>
      <c r="G25" s="35" t="s">
        <v>14</v>
      </c>
      <c r="H25" s="36"/>
      <c r="I25" s="37"/>
      <c r="J25" s="38" t="n">
        <v>50</v>
      </c>
      <c r="K25" s="39"/>
      <c r="L25" s="40"/>
      <c r="M25" s="41" t="n">
        <f aca="false">J25+K25</f>
        <v>50</v>
      </c>
    </row>
    <row r="26" customFormat="false" ht="36" hidden="false" customHeight="true" outlineLevel="0" collapsed="false">
      <c r="A26" s="30" t="n">
        <v>18</v>
      </c>
      <c r="B26" s="31"/>
      <c r="C26" s="32"/>
      <c r="D26" s="33" t="s">
        <v>37</v>
      </c>
      <c r="E26" s="32" t="n">
        <v>45720</v>
      </c>
      <c r="F26" s="35" t="s">
        <v>28</v>
      </c>
      <c r="G26" s="35" t="s">
        <v>14</v>
      </c>
      <c r="H26" s="36"/>
      <c r="I26" s="37"/>
      <c r="J26" s="38" t="n">
        <v>40.22</v>
      </c>
      <c r="K26" s="39"/>
      <c r="L26" s="40"/>
      <c r="M26" s="41" t="n">
        <f aca="false">J26+K26</f>
        <v>40.22</v>
      </c>
    </row>
    <row r="27" customFormat="false" ht="36" hidden="false" customHeight="true" outlineLevel="0" collapsed="false">
      <c r="A27" s="30" t="n">
        <v>19</v>
      </c>
      <c r="B27" s="31"/>
      <c r="C27" s="32"/>
      <c r="D27" s="33" t="s">
        <v>38</v>
      </c>
      <c r="E27" s="32" t="n">
        <v>45736</v>
      </c>
      <c r="F27" s="35" t="s">
        <v>28</v>
      </c>
      <c r="G27" s="35" t="s">
        <v>14</v>
      </c>
      <c r="H27" s="43"/>
      <c r="I27" s="44"/>
      <c r="J27" s="38" t="n">
        <v>45.01</v>
      </c>
      <c r="K27" s="39"/>
      <c r="L27" s="40"/>
      <c r="M27" s="41" t="n">
        <f aca="false">J27+K27</f>
        <v>45.01</v>
      </c>
    </row>
    <row r="28" customFormat="false" ht="36" hidden="false" customHeight="true" outlineLevel="0" collapsed="false">
      <c r="A28" s="30" t="n">
        <v>20</v>
      </c>
      <c r="B28" s="31"/>
      <c r="C28" s="32"/>
      <c r="D28" s="33" t="s">
        <v>39</v>
      </c>
      <c r="E28" s="32" t="n">
        <v>45701</v>
      </c>
      <c r="F28" s="35" t="s">
        <v>28</v>
      </c>
      <c r="G28" s="35" t="s">
        <v>40</v>
      </c>
      <c r="H28" s="36"/>
      <c r="I28" s="37"/>
      <c r="J28" s="38" t="n">
        <v>519.68</v>
      </c>
      <c r="K28" s="39" t="n">
        <v>35.82</v>
      </c>
      <c r="L28" s="40"/>
      <c r="M28" s="41" t="n">
        <f aca="false">J28+K28</f>
        <v>555.5</v>
      </c>
    </row>
    <row r="29" customFormat="false" ht="36" hidden="false" customHeight="true" outlineLevel="0" collapsed="false">
      <c r="A29" s="30" t="n">
        <v>21</v>
      </c>
      <c r="B29" s="31"/>
      <c r="C29" s="32"/>
      <c r="D29" s="33" t="s">
        <v>23</v>
      </c>
      <c r="E29" s="45" t="n">
        <v>45716</v>
      </c>
      <c r="F29" s="35" t="s">
        <v>22</v>
      </c>
      <c r="G29" s="35" t="s">
        <v>24</v>
      </c>
      <c r="H29" s="36"/>
      <c r="I29" s="37"/>
      <c r="J29" s="38" t="n">
        <v>1900</v>
      </c>
      <c r="K29" s="39"/>
      <c r="L29" s="40"/>
      <c r="M29" s="41" t="n">
        <f aca="false">J29+K29</f>
        <v>1900</v>
      </c>
    </row>
    <row r="30" customFormat="false" ht="36" hidden="false" customHeight="true" outlineLevel="0" collapsed="false">
      <c r="A30" s="30" t="n">
        <v>22</v>
      </c>
      <c r="B30" s="31"/>
      <c r="C30" s="32"/>
      <c r="D30" s="33" t="s">
        <v>25</v>
      </c>
      <c r="E30" s="45" t="n">
        <v>45716</v>
      </c>
      <c r="F30" s="35" t="s">
        <v>22</v>
      </c>
      <c r="G30" s="35" t="s">
        <v>24</v>
      </c>
      <c r="H30" s="36"/>
      <c r="I30" s="37"/>
      <c r="J30" s="38" t="n">
        <v>1901</v>
      </c>
      <c r="K30" s="39"/>
      <c r="L30" s="40"/>
      <c r="M30" s="41" t="n">
        <f aca="false">J30+K30</f>
        <v>1901</v>
      </c>
    </row>
    <row r="31" customFormat="false" ht="36" hidden="false" customHeight="true" outlineLevel="0" collapsed="false">
      <c r="A31" s="30" t="n">
        <v>23</v>
      </c>
      <c r="B31" s="31"/>
      <c r="C31" s="32"/>
      <c r="D31" s="33" t="s">
        <v>26</v>
      </c>
      <c r="E31" s="45" t="n">
        <v>45701</v>
      </c>
      <c r="F31" s="35" t="s">
        <v>22</v>
      </c>
      <c r="G31" s="35" t="s">
        <v>24</v>
      </c>
      <c r="H31" s="46"/>
      <c r="I31" s="47"/>
      <c r="J31" s="38" t="n">
        <v>11124</v>
      </c>
      <c r="K31" s="39"/>
      <c r="L31" s="40"/>
      <c r="M31" s="41" t="n">
        <f aca="false">J31+K31</f>
        <v>11124</v>
      </c>
    </row>
    <row r="32" customFormat="false" ht="36" hidden="false" customHeight="true" outlineLevel="0" collapsed="false">
      <c r="A32" s="30" t="n">
        <v>24</v>
      </c>
      <c r="B32" s="31"/>
      <c r="C32" s="32"/>
      <c r="D32" s="33" t="s">
        <v>27</v>
      </c>
      <c r="E32" s="45" t="n">
        <v>45701</v>
      </c>
      <c r="F32" s="35" t="s">
        <v>22</v>
      </c>
      <c r="G32" s="35" t="s">
        <v>24</v>
      </c>
      <c r="H32" s="46"/>
      <c r="I32" s="47"/>
      <c r="J32" s="38" t="n">
        <v>11124</v>
      </c>
      <c r="K32" s="39"/>
      <c r="L32" s="40"/>
      <c r="M32" s="41" t="n">
        <f aca="false">J32+K32</f>
        <v>11124</v>
      </c>
    </row>
    <row r="33" customFormat="false" ht="36" hidden="false" customHeight="true" outlineLevel="0" collapsed="false">
      <c r="A33" s="30" t="n">
        <v>25</v>
      </c>
      <c r="B33" s="31"/>
      <c r="C33" s="32"/>
      <c r="D33" s="33" t="s">
        <v>52</v>
      </c>
      <c r="E33" s="45" t="n">
        <v>45721</v>
      </c>
      <c r="F33" s="35" t="s">
        <v>51</v>
      </c>
      <c r="G33" s="35" t="s">
        <v>53</v>
      </c>
      <c r="H33" s="36"/>
      <c r="I33" s="37"/>
      <c r="J33" s="38" t="n">
        <v>34.99</v>
      </c>
      <c r="K33" s="39" t="n">
        <v>2.45</v>
      </c>
      <c r="L33" s="40"/>
      <c r="M33" s="41" t="n">
        <f aca="false">J33+K33</f>
        <v>37.44</v>
      </c>
    </row>
    <row r="34" customFormat="false" ht="36" hidden="false" customHeight="true" outlineLevel="0" collapsed="false">
      <c r="A34" s="30" t="n">
        <v>26</v>
      </c>
      <c r="B34" s="31"/>
      <c r="C34" s="32"/>
      <c r="D34" s="33" t="s">
        <v>41</v>
      </c>
      <c r="E34" s="45" t="s">
        <v>83</v>
      </c>
      <c r="F34" s="35" t="s">
        <v>28</v>
      </c>
      <c r="G34" s="35" t="s">
        <v>14</v>
      </c>
      <c r="H34" s="36"/>
      <c r="I34" s="37"/>
      <c r="J34" s="38" t="n">
        <v>30.79</v>
      </c>
      <c r="K34" s="39"/>
      <c r="L34" s="40"/>
      <c r="M34" s="41" t="n">
        <f aca="false">J34+K34</f>
        <v>30.79</v>
      </c>
    </row>
    <row r="35" customFormat="false" ht="36" hidden="false" customHeight="true" outlineLevel="0" collapsed="false">
      <c r="A35" s="30" t="n">
        <v>27</v>
      </c>
      <c r="B35" s="31"/>
      <c r="C35" s="32"/>
      <c r="D35" s="33" t="s">
        <v>42</v>
      </c>
      <c r="E35" s="45" t="n">
        <v>45720</v>
      </c>
      <c r="F35" s="35" t="s">
        <v>28</v>
      </c>
      <c r="G35" s="35" t="s">
        <v>14</v>
      </c>
      <c r="H35" s="36"/>
      <c r="I35" s="37"/>
      <c r="J35" s="38" t="n">
        <v>14.34</v>
      </c>
      <c r="K35" s="39"/>
      <c r="L35" s="40"/>
      <c r="M35" s="41" t="n">
        <f aca="false">J35+K35</f>
        <v>14.34</v>
      </c>
    </row>
    <row r="36" customFormat="false" ht="36" hidden="false" customHeight="true" outlineLevel="0" collapsed="false">
      <c r="A36" s="30" t="n">
        <v>28</v>
      </c>
      <c r="B36" s="31"/>
      <c r="C36" s="48"/>
      <c r="D36" s="33" t="s">
        <v>43</v>
      </c>
      <c r="E36" s="45" t="n">
        <v>45709</v>
      </c>
      <c r="F36" s="35" t="s">
        <v>28</v>
      </c>
      <c r="G36" s="49" t="s">
        <v>14</v>
      </c>
      <c r="H36" s="40"/>
      <c r="I36" s="37"/>
      <c r="J36" s="38" t="n">
        <v>44.98</v>
      </c>
      <c r="K36" s="39"/>
      <c r="L36" s="40"/>
      <c r="M36" s="41" t="n">
        <f aca="false">J36+K36</f>
        <v>44.98</v>
      </c>
    </row>
    <row r="37" customFormat="false" ht="36" hidden="false" customHeight="true" outlineLevel="0" collapsed="false">
      <c r="A37" s="30" t="n">
        <v>29</v>
      </c>
      <c r="B37" s="31"/>
      <c r="C37" s="48"/>
      <c r="D37" s="33" t="s">
        <v>65</v>
      </c>
      <c r="E37" s="45" t="n">
        <v>45743</v>
      </c>
      <c r="F37" s="35" t="s">
        <v>54</v>
      </c>
      <c r="G37" s="35" t="s">
        <v>58</v>
      </c>
      <c r="H37" s="40"/>
      <c r="I37" s="37"/>
      <c r="J37" s="38" t="n">
        <v>101.96</v>
      </c>
      <c r="K37" s="39" t="n">
        <v>7.1</v>
      </c>
      <c r="L37" s="40"/>
      <c r="M37" s="41" t="n">
        <f aca="false">J37+K37</f>
        <v>109.06</v>
      </c>
    </row>
    <row r="38" customFormat="false" ht="36" hidden="false" customHeight="true" outlineLevel="0" collapsed="false">
      <c r="A38" s="30" t="n">
        <v>30</v>
      </c>
      <c r="B38" s="31"/>
      <c r="C38" s="48"/>
      <c r="D38" s="33" t="s">
        <v>45</v>
      </c>
      <c r="E38" s="45" t="n">
        <v>45665</v>
      </c>
      <c r="F38" s="35" t="s">
        <v>44</v>
      </c>
      <c r="G38" s="35" t="s">
        <v>46</v>
      </c>
      <c r="H38" s="40"/>
      <c r="I38" s="37"/>
      <c r="J38" s="38" t="n">
        <v>8</v>
      </c>
      <c r="K38" s="39"/>
      <c r="L38" s="40"/>
      <c r="M38" s="41" t="n">
        <f aca="false">J38+K38</f>
        <v>8</v>
      </c>
    </row>
    <row r="39" customFormat="false" ht="36" hidden="true" customHeight="true" outlineLevel="0" collapsed="false">
      <c r="A39" s="30" t="n">
        <v>31</v>
      </c>
      <c r="B39" s="31"/>
      <c r="C39" s="48"/>
      <c r="D39" s="33"/>
      <c r="E39" s="45"/>
      <c r="F39" s="35"/>
      <c r="G39" s="35"/>
      <c r="H39" s="40"/>
      <c r="I39" s="37"/>
      <c r="J39" s="38"/>
      <c r="K39" s="39"/>
      <c r="L39" s="40"/>
      <c r="M39" s="41" t="n">
        <f aca="false">J39+K39</f>
        <v>0</v>
      </c>
    </row>
    <row r="40" customFormat="false" ht="36" hidden="true" customHeight="true" outlineLevel="0" collapsed="false">
      <c r="A40" s="30" t="n">
        <v>32</v>
      </c>
      <c r="B40" s="31"/>
      <c r="C40" s="48"/>
      <c r="D40" s="33"/>
      <c r="E40" s="45"/>
      <c r="F40" s="35"/>
      <c r="G40" s="35"/>
      <c r="H40" s="40"/>
      <c r="I40" s="37"/>
      <c r="J40" s="38"/>
      <c r="K40" s="39"/>
      <c r="L40" s="40"/>
      <c r="M40" s="41" t="n">
        <f aca="false">J40+K40</f>
        <v>0</v>
      </c>
    </row>
    <row r="41" customFormat="false" ht="39" hidden="false" customHeight="true" outlineLevel="0" collapsed="false">
      <c r="L41" s="50"/>
      <c r="M41" s="51" t="n">
        <f aca="false">SUM(M9:M40)</f>
        <v>31217.11</v>
      </c>
    </row>
    <row r="42" customFormat="false" ht="35.25" hidden="false" customHeight="false" outlineLevel="0" collapsed="false">
      <c r="C42" s="52" t="s">
        <v>84</v>
      </c>
      <c r="D42" s="52"/>
      <c r="G42" s="13" t="s">
        <v>85</v>
      </c>
    </row>
    <row r="43" customFormat="false" ht="35.25" hidden="false" customHeight="false" outlineLevel="0" collapsed="false">
      <c r="C43" s="53" t="s">
        <v>86</v>
      </c>
      <c r="G43" s="53" t="s">
        <v>87</v>
      </c>
    </row>
    <row r="44" customFormat="false" ht="44.25" hidden="false" customHeight="true" outlineLevel="0" collapsed="false">
      <c r="C44" s="54"/>
      <c r="E44" s="55"/>
      <c r="K44" s="15" t="s">
        <v>88</v>
      </c>
    </row>
    <row r="45" customFormat="false" ht="35.25" hidden="false" customHeight="false" outlineLevel="0" collapsed="false">
      <c r="C45" s="15"/>
    </row>
  </sheetData>
  <mergeCells count="16">
    <mergeCell ref="C4:K4"/>
    <mergeCell ref="C5:K5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C42:D42"/>
  </mergeCells>
  <conditionalFormatting sqref="B23">
    <cfRule type="duplicateValues" priority="2" aboveAverage="0" equalAverage="0" bottom="0" percent="0" rank="0" text="" dxfId="5"/>
  </conditionalFormatting>
  <conditionalFormatting sqref="B17">
    <cfRule type="duplicateValues" priority="3" aboveAverage="0" equalAverage="0" bottom="0" percent="0" rank="0" text="" dxfId="5"/>
  </conditionalFormatting>
  <conditionalFormatting sqref="B11">
    <cfRule type="duplicateValues" priority="4" aboveAverage="0" equalAverage="0" bottom="0" percent="0" rank="0" text="" dxfId="5"/>
  </conditionalFormatting>
  <conditionalFormatting sqref="B10">
    <cfRule type="duplicateValues" priority="5" aboveAverage="0" equalAverage="0" bottom="0" percent="0" rank="0" text="" dxfId="5"/>
  </conditionalFormatting>
  <conditionalFormatting sqref="B9">
    <cfRule type="duplicateValues" priority="6" aboveAverage="0" equalAverage="0" bottom="0" percent="0" rank="0" text="" dxfId="5"/>
  </conditionalFormatting>
  <conditionalFormatting sqref="B20:B22">
    <cfRule type="duplicateValues" priority="7" aboveAverage="0" equalAverage="0" bottom="0" percent="0" rank="0" text="" dxfId="5"/>
  </conditionalFormatting>
  <conditionalFormatting sqref="B18">
    <cfRule type="duplicateValues" priority="8" aboveAverage="0" equalAverage="0" bottom="0" percent="0" rank="0" text="" dxfId="5"/>
  </conditionalFormatting>
  <conditionalFormatting sqref="B16 B19">
    <cfRule type="duplicateValues" priority="9" aboveAverage="0" equalAverage="0" bottom="0" percent="0" rank="0" text="" dxfId="5"/>
  </conditionalFormatting>
  <conditionalFormatting sqref="B15">
    <cfRule type="duplicateValues" priority="10" aboveAverage="0" equalAverage="0" bottom="0" percent="0" rank="0" text="" dxfId="5"/>
  </conditionalFormatting>
  <conditionalFormatting sqref="B12">
    <cfRule type="duplicateValues" priority="11" aboveAverage="0" equalAverage="0" bottom="0" percent="0" rank="0" text="" dxfId="5"/>
    <cfRule type="duplicateValues" priority="12" aboveAverage="0" equalAverage="0" bottom="0" percent="0" rank="0" text="" dxfId="5"/>
  </conditionalFormatting>
  <conditionalFormatting sqref="B14">
    <cfRule type="duplicateValues" priority="13" aboveAverage="0" equalAverage="0" bottom="0" percent="0" rank="0" text="" dxfId="5"/>
  </conditionalFormatting>
  <conditionalFormatting sqref="B13">
    <cfRule type="duplicateValues" priority="14" aboveAverage="0" equalAverage="0" bottom="0" percent="0" rank="0" text="" dxfId="5"/>
  </conditionalFormatting>
  <conditionalFormatting sqref="C36:C40 D9:D40">
    <cfRule type="duplicateValues" priority="15" aboveAverage="0" equalAverage="0" bottom="0" percent="0" rank="0" text="" dxfId="5"/>
  </conditionalFormatting>
  <conditionalFormatting sqref="A9:A40 B12">
    <cfRule type="duplicateValues" priority="16" aboveAverage="0" equalAverage="0" bottom="0" percent="0" rank="0" text="" dxfId="5"/>
  </conditionalFormatting>
  <conditionalFormatting sqref="B24:B40">
    <cfRule type="duplicateValues" priority="17" aboveAverage="0" equalAverage="0" bottom="0" percent="0" rank="0" text="" dxfId="5"/>
  </conditionalFormatting>
  <printOptions headings="false" gridLines="false" gridLinesSet="true" horizontalCentered="true" verticalCentered="false"/>
  <pageMargins left="0" right="0" top="0.984027777777778" bottom="0.984027777777778" header="0.511811023622047" footer="0.511811023622047"/>
  <pageSetup paperSize="1" scale="100" fitToWidth="0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2023-05-21T00:39:26Z</dcterms:created>
  <dc:creator>Diego Armando Yepes</dc:creator>
  <dc:description/>
  <dc:language>en-US</dc:language>
  <cp:lastModifiedBy>Soporte IT</cp:lastModifiedBy>
  <cp:lastPrinted>2026-09-28T21:37:18Z</cp:lastPrinted>
  <dcterms:modified xsi:type="dcterms:W3CDTF">2026-10-26T17:00:22Z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