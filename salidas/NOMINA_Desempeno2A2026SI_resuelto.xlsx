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BARG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<sst xmlns="http://schemas.openxmlformats.org/spreadsheetml/2006/main" count="46" uniqueCount="26">
  <si>
    <t xml:space="preserve">ESTUDIANTES, LA PRESENTE TAREA CONSISTE EN QUE, A PARTIR DE LA INFORMACIÓN QUE SE LES SUMINISTRA A CONTINUACIÓN, USTEDES DEBEN DETERMINAR EL VALOR</t>
  </si>
  <si>
    <t xml:space="preserve">EMBARGABLE Y CUANTO SE LES DEBE DESCONTAR A CADA UNO DE LOS TRABAJADORES POR NÓMINA, POR CONCEPTO DE EMBARGOS.</t>
  </si>
  <si>
    <t xml:space="preserve">DETERMINE EL VALOR QUE SE LE PUEDE EMBARGAR A UN TRABAJADOR QUE</t>
  </si>
  <si>
    <t xml:space="preserve">DETERMINE HASTA QUE VALOR LE PUEDEN EMBARGAR A UN TRABAJADOR CON UN</t>
  </si>
  <si>
    <t xml:space="preserve">DEVENGA UN SALARIO DE $ 1.765.000</t>
  </si>
  <si>
    <t xml:space="preserve">SALARIO MENSUAL DE $3.255.000</t>
  </si>
  <si>
    <t xml:space="preserve">SALARIO DEL TRABAJADOR</t>
  </si>
  <si>
    <t xml:space="preserve">SALARIO MÍNIMO</t>
  </si>
  <si>
    <t xml:space="preserve">VALOR EMBARGABLE</t>
  </si>
  <si>
    <t xml:space="preserve">DESCUENTO POR EMBARGO</t>
  </si>
  <si>
    <t xml:space="preserve">SI UN TRABAJADOR DEVENGA UN SALARIO DE $2.988.000, ¿HASTA QUE VALOR</t>
  </si>
  <si>
    <t xml:space="preserve">CUÁNTO LE PUEDEN EMBARGAR A UN TRABAJADOR QUE TIENE UNA DEUDA CON UN</t>
  </si>
  <si>
    <t xml:space="preserve">LE PUEDEN ENBARGAR?</t>
  </si>
  <si>
    <t xml:space="preserve">ELECTRODOMÉSTICOS, ¿SI SU SALARIO ES DE $1.750.905?</t>
  </si>
  <si>
    <t xml:space="preserve">SI UN TRABAJADOR DEVENGA EL SALARIO MÍNIMO, PERO POR DEMANDA POR</t>
  </si>
  <si>
    <t xml:space="preserve">¿HASTA CUANTO SE LE PODRÍA EMBARGAR A UN TRABAJADOR QUE DEVENGA UN SALARIO</t>
  </si>
  <si>
    <t xml:space="preserve">DEUDA CON UNA COOPERATIVA, EL JUEZ ¿PODRÍA ORDENAR  UN EMBARGO DEL </t>
  </si>
  <si>
    <t xml:space="preserve">DE $4.500.000, SI POR MAL MANEJO DE UNA TARJETA DE CRÉDITO, EL BANCO LO </t>
  </si>
  <si>
    <t xml:space="preserve">25% DE SU SALARIÓ?, ¿ELLO SERÍA CORRECTO? SI USTED CONSIDERA QUE </t>
  </si>
  <si>
    <t xml:space="preserve">DEMANDÓ ANTE UN JUZGADO Y EL JUEZ ORDENA AL PAGADOR DE LA EMPRESA HACER EL</t>
  </si>
  <si>
    <t xml:space="preserve">SÍ ES CORRECTO, INDIQUE CUÁNTOSE LE DEBE DESCONTAR POR NÓMINA.</t>
  </si>
  <si>
    <t xml:space="preserve">DESCUENTO CORRESPONDIENTE?</t>
  </si>
  <si>
    <t xml:space="preserve">SALARIO MÍNIMO 2026</t>
  </si>
  <si>
    <t xml:space="preserve">EMBARGO GENERAL: % del excedente sobre el mínimo</t>
  </si>
  <si>
    <t xml:space="preserve">COOPERATIVA / ALIMENTOS: % sobre el salario total</t>
  </si>
  <si>
    <t xml:space="preserve">COOPERATIVA: % de embargo ordenado por el juez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</si>
</sst>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.00_-;\-* #,##0.00_-;_-* \-??_-;_-@_-"/>
    <numFmt numFmtId="166" formatCode="[$-409]#,##0"/>
    <numFmt numFmtId="167" formatCode="_-* #,##0_-;\-* #,##0_-;_-* \-??_-;_-@_-"/>
    <numFmt numFmtId="168" formatCode="_-&quot;$ &quot;* #,##0_-;&quot;-$ &quot;* #,##0_-;_-&quot;$ &quot;* \-_-;_-@_-"/>
    <numFmt numFmtId="169" formatCode="#,##0"/>
    <numFmt numFmtId="170" formatCode="&quot;$ &quot;#,##0;[RED]&quot;-$ &quot;#,##0"/>
    <numFmt numFmtId="171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70C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10.5703125" defaultRowHeight="15" zeroHeight="false" outlineLevelRow="0" outlineLevelCol="0"/>
  <cols>
    <col collapsed="false" customWidth="true" hidden="false" outlineLevel="0" max="1" min="1" style="1" width="2.71"/>
    <col collapsed="false" customWidth="true" hidden="false" outlineLevel="0" max="2" min="2" style="1" width="24.57"/>
    <col collapsed="false" customWidth="true" hidden="false" outlineLevel="0" max="4" min="3" style="1" width="14.71"/>
    <col collapsed="false" customWidth="true" hidden="false" outlineLevel="0" max="5" min="5" style="1" width="27.57"/>
    <col collapsed="false" customWidth="true" hidden="false" outlineLevel="0" max="6" min="6" style="1" width="2.71"/>
    <col collapsed="false" customWidth="true" hidden="false" outlineLevel="0" max="7" min="7" style="1" width="28.71"/>
    <col collapsed="false" customWidth="true" hidden="false" outlineLevel="0" max="9" min="8" style="1" width="14.71"/>
    <col collapsed="false" customWidth="true" hidden="false" outlineLevel="0" max="10" min="10" style="1" width="16.71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1" t="s">
        <v>1</v>
      </c>
    </row>
    <row r="4" customFormat="false" ht="15" hidden="false" customHeight="false" outlineLevel="0" collapsed="false">
      <c r="B4" s="1" t="s">
        <v>2</v>
      </c>
      <c r="G4" s="1" t="s">
        <v>3</v>
      </c>
    </row>
    <row r="5" customFormat="false" ht="15" hidden="false" customHeight="false" outlineLevel="0" collapsed="false">
      <c r="B5" s="1" t="s">
        <v>4</v>
      </c>
      <c r="G5" s="1" t="s">
        <v>5</v>
      </c>
    </row>
    <row r="7" customFormat="false" ht="30" hidden="false" customHeight="true" outlineLevel="0" collapsed="false">
      <c r="B7" s="2" t="s">
        <v>6</v>
      </c>
      <c r="C7" s="2" t="s">
        <v>7</v>
      </c>
      <c r="D7" s="2" t="s">
        <v>8</v>
      </c>
      <c r="E7" s="2" t="s">
        <v>9</v>
      </c>
      <c r="F7" s="3"/>
      <c r="G7" s="2" t="s">
        <v>6</v>
      </c>
      <c r="H7" s="2" t="s">
        <v>7</v>
      </c>
      <c r="I7" s="2" t="s">
        <v>8</v>
      </c>
      <c r="J7" s="2" t="s">
        <v>9</v>
      </c>
    </row>
    <row r="8" customFormat="false" ht="15" hidden="false" customHeight="false" outlineLevel="0" collapsed="false">
      <c r="B8" s="4" t="n">
        <v>1765000</v>
      </c>
      <c r="C8" s="4" t="n">
        <f aca="false">$C$30</f>
        <v>1750905</v>
      </c>
      <c r="D8" s="4" t="n">
        <f aca="false">B8-C8</f>
        <v>14095</v>
      </c>
      <c r="E8" s="4" t="n">
        <f aca="false">D8*$C$31</f>
        <v>2819</v>
      </c>
      <c r="F8" s="5"/>
      <c r="G8" s="4" t="n">
        <v>3255000</v>
      </c>
      <c r="H8" s="4" t="n">
        <f aca="false">$C$30</f>
        <v>1750905</v>
      </c>
      <c r="I8" s="4" t="n">
        <f aca="false">MAX(0,G8-H8)</f>
        <v>1504095</v>
      </c>
      <c r="J8" s="4" t="n">
        <f aca="false">I8*$C$31</f>
        <v>300819</v>
      </c>
    </row>
    <row r="9" customFormat="false" ht="15" hidden="false" customHeight="false" outlineLevel="0" collapsed="false">
      <c r="B9" s="4"/>
      <c r="C9" s="4"/>
      <c r="D9" s="4"/>
      <c r="E9" s="4"/>
      <c r="F9" s="5"/>
      <c r="G9" s="4"/>
      <c r="H9" s="4"/>
      <c r="I9" s="4"/>
      <c r="J9" s="4"/>
    </row>
    <row r="10" customFormat="false" ht="15" hidden="false" customHeight="false" outlineLevel="0" collapsed="false">
      <c r="B10" s="6"/>
      <c r="F10" s="7"/>
    </row>
    <row r="11" customFormat="false" ht="15" hidden="false" customHeight="false" outlineLevel="0" collapsed="false">
      <c r="B11" s="6" t="s">
        <v>10</v>
      </c>
      <c r="F11" s="7"/>
      <c r="G11" s="1" t="s">
        <v>11</v>
      </c>
    </row>
    <row r="12" customFormat="false" ht="15" hidden="false" customHeight="false" outlineLevel="0" collapsed="false">
      <c r="B12" s="6" t="s">
        <v>12</v>
      </c>
      <c r="F12" s="7"/>
      <c r="G12" s="1" t="s">
        <v>13</v>
      </c>
    </row>
    <row r="13" customFormat="false" ht="15" hidden="false" customHeight="false" outlineLevel="0" collapsed="false">
      <c r="F13" s="7"/>
    </row>
    <row r="14" customFormat="false" ht="30" hidden="false" customHeight="true" outlineLevel="0" collapsed="false">
      <c r="B14" s="2" t="s">
        <v>6</v>
      </c>
      <c r="C14" s="2" t="s">
        <v>7</v>
      </c>
      <c r="D14" s="2" t="s">
        <v>8</v>
      </c>
      <c r="E14" s="2" t="s">
        <v>9</v>
      </c>
      <c r="F14" s="3"/>
      <c r="G14" s="2" t="s">
        <v>6</v>
      </c>
      <c r="H14" s="2" t="s">
        <v>7</v>
      </c>
      <c r="I14" s="2" t="s">
        <v>8</v>
      </c>
      <c r="J14" s="2" t="s">
        <v>9</v>
      </c>
    </row>
    <row r="15" customFormat="false" ht="15" hidden="false" customHeight="false" outlineLevel="0" collapsed="false">
      <c r="B15" s="4" t="n">
        <v>2988000</v>
      </c>
      <c r="C15" s="4" t="n">
        <f aca="false">$C$30</f>
        <v>1750905</v>
      </c>
      <c r="D15" s="4" t="n">
        <f aca="false">MAX(0,B15-C15)</f>
        <v>1237095</v>
      </c>
      <c r="E15" s="4" t="n">
        <f aca="false">D15*$C$31</f>
        <v>247419</v>
      </c>
      <c r="F15" s="5"/>
      <c r="G15" s="4" t="n">
        <v>1750905</v>
      </c>
      <c r="H15" s="4" t="n">
        <f aca="false">$C$30</f>
        <v>1750905</v>
      </c>
      <c r="I15" s="4" t="n">
        <f aca="false">MAX(0,G15-H15)</f>
        <v>0</v>
      </c>
      <c r="J15" s="4" t="n">
        <f aca="false">I15*$C$31</f>
        <v>0</v>
      </c>
    </row>
    <row r="16" customFormat="false" ht="15" hidden="false" customHeight="false" outlineLevel="0" collapsed="false">
      <c r="B16" s="4"/>
      <c r="C16" s="4"/>
      <c r="D16" s="4"/>
      <c r="E16" s="4"/>
      <c r="F16" s="5"/>
      <c r="G16" s="4"/>
      <c r="H16" s="4"/>
      <c r="I16" s="4"/>
      <c r="J16" s="4"/>
    </row>
    <row r="17" customFormat="false" ht="15" hidden="false" customHeight="false" outlineLevel="0" collapsed="false">
      <c r="B17" s="8"/>
      <c r="C17" s="8"/>
      <c r="D17" s="8"/>
      <c r="E17" s="8"/>
      <c r="F17" s="5"/>
      <c r="G17" s="8"/>
      <c r="H17" s="8"/>
      <c r="I17" s="8"/>
      <c r="J17" s="8"/>
    </row>
    <row r="18" customFormat="false" ht="15" hidden="false" customHeight="false" outlineLevel="0" collapsed="false">
      <c r="B18" s="9" t="s">
        <v>14</v>
      </c>
      <c r="C18" s="8"/>
      <c r="D18" s="8"/>
      <c r="E18" s="8"/>
      <c r="F18" s="5"/>
      <c r="G18" s="10" t="s">
        <v>15</v>
      </c>
      <c r="H18" s="10"/>
      <c r="I18" s="10"/>
      <c r="J18" s="10"/>
    </row>
    <row r="19" customFormat="false" ht="15" hidden="false" customHeight="false" outlineLevel="0" collapsed="false">
      <c r="B19" s="9" t="s">
        <v>16</v>
      </c>
      <c r="C19" s="8"/>
      <c r="D19" s="8"/>
      <c r="E19" s="8"/>
      <c r="F19" s="5"/>
      <c r="G19" s="10" t="s">
        <v>17</v>
      </c>
      <c r="H19" s="10"/>
      <c r="I19" s="10"/>
      <c r="J19" s="10"/>
    </row>
    <row r="20" customFormat="false" ht="15.75" hidden="false" customHeight="true" outlineLevel="0" collapsed="false">
      <c r="B20" s="11" t="s">
        <v>18</v>
      </c>
      <c r="C20" s="12"/>
      <c r="D20" s="13"/>
      <c r="E20" s="14"/>
      <c r="F20" s="15"/>
      <c r="G20" s="10" t="s">
        <v>19</v>
      </c>
      <c r="H20" s="10"/>
      <c r="I20" s="10"/>
      <c r="J20" s="10"/>
    </row>
    <row r="21" customFormat="false" ht="15.75" hidden="false" customHeight="true" outlineLevel="0" collapsed="false">
      <c r="B21" s="11" t="s">
        <v>20</v>
      </c>
      <c r="C21" s="12"/>
      <c r="D21" s="13"/>
      <c r="E21" s="14"/>
      <c r="F21" s="15"/>
      <c r="G21" s="1" t="s">
        <v>21</v>
      </c>
      <c r="H21" s="12"/>
      <c r="I21" s="12"/>
    </row>
    <row r="22" customFormat="false" ht="15.75" hidden="false" customHeight="true" outlineLevel="0" collapsed="false">
      <c r="B22" s="11"/>
      <c r="C22" s="12"/>
      <c r="D22" s="13"/>
      <c r="E22" s="13"/>
      <c r="F22" s="16"/>
      <c r="G22" s="17"/>
      <c r="H22" s="18"/>
      <c r="I22" s="18"/>
    </row>
    <row r="23" customFormat="false" ht="30" hidden="false" customHeight="true" outlineLevel="0" collapsed="false">
      <c r="B23" s="2" t="s">
        <v>6</v>
      </c>
      <c r="C23" s="2" t="s">
        <v>7</v>
      </c>
      <c r="D23" s="2" t="s">
        <v>8</v>
      </c>
      <c r="E23" s="2" t="s">
        <v>9</v>
      </c>
      <c r="F23" s="3"/>
      <c r="G23" s="2" t="s">
        <v>6</v>
      </c>
      <c r="H23" s="2" t="s">
        <v>7</v>
      </c>
      <c r="I23" s="2" t="s">
        <v>8</v>
      </c>
      <c r="J23" s="2" t="s">
        <v>9</v>
      </c>
    </row>
    <row r="24" customFormat="false" ht="15" hidden="false" customHeight="false" outlineLevel="0" collapsed="false">
      <c r="B24" s="4" t="n">
        <v>1750905</v>
      </c>
      <c r="C24" s="4" t="n">
        <f aca="false">$C$30</f>
        <v>1750905</v>
      </c>
      <c r="D24" s="4" t="n">
        <f aca="false">B24</f>
        <v>1750905</v>
      </c>
      <c r="E24" s="4" t="n">
        <f aca="false">IF($C$33&lt;=$C$32,D24*$C$33,"NO PROCEDE")</f>
        <v>437726.25</v>
      </c>
      <c r="F24" s="5"/>
      <c r="G24" s="4" t="n">
        <v>4500000</v>
      </c>
      <c r="H24" s="4" t="n">
        <f aca="false">$C$30</f>
        <v>1750905</v>
      </c>
      <c r="I24" s="4" t="n">
        <f aca="false">MAX(0,G24-H24)</f>
        <v>2749095</v>
      </c>
      <c r="J24" s="4" t="n">
        <f aca="false">I24*$C$31</f>
        <v>549819</v>
      </c>
    </row>
    <row r="25" customFormat="false" ht="15" hidden="false" customHeight="false" outlineLevel="0" collapsed="false">
      <c r="B25" s="4"/>
      <c r="C25" s="4"/>
      <c r="D25" s="4"/>
      <c r="E25" s="4"/>
      <c r="F25" s="5"/>
      <c r="G25" s="4"/>
      <c r="H25" s="4"/>
      <c r="I25" s="4"/>
      <c r="J25" s="4"/>
    </row>
    <row r="26" customFormat="false" ht="18.75" hidden="false" customHeight="true" outlineLevel="0" collapsed="false">
      <c r="B26" s="19"/>
      <c r="F26" s="7"/>
      <c r="G26" s="20"/>
      <c r="H26" s="21"/>
      <c r="I26" s="21"/>
    </row>
    <row r="27" customFormat="false" ht="18.75" hidden="false" customHeight="true" outlineLevel="0" collapsed="false">
      <c r="B27" s="22"/>
      <c r="C27" s="22"/>
      <c r="D27" s="22"/>
      <c r="E27" s="22"/>
      <c r="F27" s="22"/>
      <c r="G27" s="22"/>
      <c r="H27" s="23"/>
      <c r="I27" s="23"/>
    </row>
    <row r="28" customFormat="false" ht="15" hidden="false" customHeight="false" outlineLevel="0" collapsed="false">
      <c r="B28" s="24"/>
      <c r="C28" s="24"/>
      <c r="D28" s="24"/>
      <c r="E28" s="24"/>
      <c r="F28" s="24"/>
      <c r="G28" s="24"/>
      <c r="H28" s="24"/>
      <c r="I28" s="24"/>
      <c r="J28" s="24"/>
    </row>
    <row r="29" customFormat="false" ht="15" hidden="false" customHeight="false" outlineLevel="0" collapsed="false">
      <c r="B29" s="25"/>
      <c r="C29" s="25"/>
      <c r="D29" s="25"/>
      <c r="E29" s="25"/>
      <c r="F29" s="26"/>
      <c r="G29" s="25"/>
      <c r="H29" s="25"/>
      <c r="I29" s="25"/>
      <c r="J29" s="25"/>
    </row>
    <row r="30" customFormat="false" ht="15" hidden="false" customHeight="false" outlineLevel="0" collapsed="false">
      <c r="B30" s="25" t="s">
        <v>22</v>
      </c>
      <c r="C30" s="27" t="n">
        <v>1750905</v>
      </c>
      <c r="D30" s="25"/>
      <c r="E30" s="25"/>
      <c r="F30" s="26"/>
      <c r="G30" s="25"/>
      <c r="H30" s="25"/>
      <c r="I30" s="25"/>
      <c r="J30" s="25"/>
    </row>
    <row r="31" customFormat="false" ht="15" hidden="false" customHeight="false" outlineLevel="0" collapsed="false">
      <c r="B31" s="1" t="s">
        <v>23</v>
      </c>
      <c r="C31" s="28" t="n">
        <v>0.2</v>
      </c>
    </row>
    <row r="32" customFormat="false" ht="15" hidden="false" customHeight="false" outlineLevel="0" collapsed="false">
      <c r="B32" s="1" t="s">
        <v>24</v>
      </c>
      <c r="C32" s="28" t="n">
        <v>0.5</v>
      </c>
      <c r="E32" s="29"/>
    </row>
    <row r="33" customFormat="false" ht="15" hidden="false" customHeight="false" outlineLevel="0" collapsed="false">
      <c r="B33" s="1" t="s">
        <v>25</v>
      </c>
      <c r="C33" s="28" t="n">
        <v>0.25</v>
      </c>
    </row>
  </sheetData>
  <mergeCells count="24">
    <mergeCell ref="B8:B9"/>
    <mergeCell ref="C8:C9"/>
    <mergeCell ref="D8:D9"/>
    <mergeCell ref="E8:E9"/>
    <mergeCell ref="G8:G9"/>
    <mergeCell ref="H8:H9"/>
    <mergeCell ref="I8:I9"/>
    <mergeCell ref="J8:J9"/>
    <mergeCell ref="B15:B16"/>
    <mergeCell ref="C15:C16"/>
    <mergeCell ref="D15:D16"/>
    <mergeCell ref="E15:E16"/>
    <mergeCell ref="G15:G16"/>
    <mergeCell ref="H15:H16"/>
    <mergeCell ref="I15:I16"/>
    <mergeCell ref="J15:J16"/>
    <mergeCell ref="B24:B25"/>
    <mergeCell ref="C24:C25"/>
    <mergeCell ref="D24:D25"/>
    <mergeCell ref="E24:E25"/>
    <mergeCell ref="G24:G25"/>
    <mergeCell ref="H24:H25"/>
    <mergeCell ref="I24:I25"/>
    <mergeCell ref="J24:J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2026-02-03T16:04:38Z</dcterms:created>
  <dc:creator>VÍCTOR MANUEL MURILLO VIVEROS</dc:creator>
  <dc:description/>
  <dc:language>es-ES</dc:language>
  <cp:lastModifiedBy>schantal benitez</cp:lastModifiedBy>
  <dcterms:modified xsi:type="dcterms:W3CDTF">2026-10-18T04:19:48Z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