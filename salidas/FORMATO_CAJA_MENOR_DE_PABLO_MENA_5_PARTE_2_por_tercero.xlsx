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 tercero" sheetId="1" state="visible" r:id="rId3"/>
    <sheet name="CAJAS REEMBOLSO " sheetId="2" state="visible" r:id="rId4"/>
  </sheets>
  <definedNames>
    <definedName function="false" hidden="false" localSheetId="1" name="_xlnm.Print_Area" vbProcedure="false">'CAJAS REEMBOLSO '!$A$1:$N$64</definedName>
    <definedName function="false" hidden="true" localSheetId="0" name="_xlnm._FilterDatabase" vbProcedure="false">'Por tercero'!$A$4:$I$79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<sst xmlns="http://schemas.openxmlformats.org/spreadsheetml/2006/main" count="429" uniqueCount="133">
  <si>
    <t xml:space="preserve">CAJA MENOR PABLO MENA #5 PARTE 2 — valores en DÓLARES (USD) por tercero</t>
  </si>
  <si>
    <t xml:space="preserve">TOTAL GENERAL</t>
  </si>
  <si>
    <t xml:space="preserve">Tercero</t>
  </si>
  <si>
    <t xml:space="preserve">N° factura</t>
  </si>
  <si>
    <t xml:space="preserve">Fecha</t>
  </si>
  <si>
    <t xml:space="preserve">Concepto</t>
  </si>
  <si>
    <t xml:space="preserve">Subtotal sin IVA</t>
  </si>
  <si>
    <t xml:space="preserve">IVA</t>
  </si>
  <si>
    <t xml:space="preserve">Total</t>
  </si>
  <si>
    <t xml:space="preserve">Tipo</t>
  </si>
  <si>
    <t xml:space="preserve">Ítem</t>
  </si>
  <si>
    <t xml:space="preserve">ALO</t>
  </si>
  <si>
    <t xml:space="preserve">TOTAL TERCERO</t>
  </si>
  <si>
    <t xml:space="preserve">21852813</t>
  </si>
  <si>
    <t xml:space="preserve">ROPA</t>
  </si>
  <si>
    <t xml:space="preserve">Factura</t>
  </si>
  <si>
    <t xml:space="preserve">BRICKELL CITY CENTRE</t>
  </si>
  <si>
    <t xml:space="preserve">12867</t>
  </si>
  <si>
    <t xml:space="preserve">COMIDA</t>
  </si>
  <si>
    <t xml:space="preserve">CANES</t>
  </si>
  <si>
    <t xml:space="preserve">130356</t>
  </si>
  <si>
    <t xml:space="preserve">CAPTAIN CANDY SHOP</t>
  </si>
  <si>
    <t xml:space="preserve">J9JY7MZN3QP2R</t>
  </si>
  <si>
    <t xml:space="preserve">COMPRA DE DULCES</t>
  </si>
  <si>
    <t xml:space="preserve">CHASE</t>
  </si>
  <si>
    <t xml:space="preserve">4722</t>
  </si>
  <si>
    <t xml:space="preserve">CHEQUE DEPOSITO</t>
  </si>
  <si>
    <t xml:space="preserve">CHICK-FIL-A</t>
  </si>
  <si>
    <t xml:space="preserve">8069</t>
  </si>
  <si>
    <t xml:space="preserve">CHIPOTLE</t>
  </si>
  <si>
    <t xml:space="preserve">61900510001322067300</t>
  </si>
  <si>
    <t xml:space="preserve">COSTCO</t>
  </si>
  <si>
    <t xml:space="preserve">1229425098</t>
  </si>
  <si>
    <t xml:space="preserve">COMPRAS CASA</t>
  </si>
  <si>
    <t xml:space="preserve">1229234238734</t>
  </si>
  <si>
    <t xml:space="preserve">ALMUERZO</t>
  </si>
  <si>
    <t xml:space="preserve">122923144731</t>
  </si>
  <si>
    <t xml:space="preserve">BEBIDAS</t>
  </si>
  <si>
    <t xml:space="preserve">514922060693</t>
  </si>
  <si>
    <t xml:space="preserve">GASOLINA</t>
  </si>
  <si>
    <t xml:space="preserve">1229204123704</t>
  </si>
  <si>
    <t xml:space="preserve">SUPLEMETOS</t>
  </si>
  <si>
    <t xml:space="preserve">1229206230706</t>
  </si>
  <si>
    <t xml:space="preserve">VARIADO ELECTRICO</t>
  </si>
  <si>
    <t xml:space="preserve">1229206231706</t>
  </si>
  <si>
    <t xml:space="preserve">MERCADO</t>
  </si>
  <si>
    <t xml:space="preserve">514104036782</t>
  </si>
  <si>
    <t xml:space="preserve">DICKS</t>
  </si>
  <si>
    <t xml:space="preserve">7501</t>
  </si>
  <si>
    <t xml:space="preserve">DIXIE HIGHWAY</t>
  </si>
  <si>
    <t xml:space="preserve">05521D</t>
  </si>
  <si>
    <t xml:space="preserve">05570035669</t>
  </si>
  <si>
    <t xml:space="preserve">REGALO</t>
  </si>
  <si>
    <t xml:space="preserve">IBURGER</t>
  </si>
  <si>
    <t xml:space="preserve">7863601240</t>
  </si>
  <si>
    <t xml:space="preserve">IKEA</t>
  </si>
  <si>
    <t xml:space="preserve">9900327006800116013025</t>
  </si>
  <si>
    <t xml:space="preserve">COMPRA PARA LA CASA</t>
  </si>
  <si>
    <t xml:space="preserve">9900327008400005013025</t>
  </si>
  <si>
    <t xml:space="preserve">471041712</t>
  </si>
  <si>
    <t xml:space="preserve">MUEBLES CASA</t>
  </si>
  <si>
    <t xml:space="preserve">9900327000700153020625</t>
  </si>
  <si>
    <t xml:space="preserve">9900327010100058052225</t>
  </si>
  <si>
    <t xml:space="preserve">9900247010200078052225</t>
  </si>
  <si>
    <t xml:space="preserve">9900327008500124052225</t>
  </si>
  <si>
    <t xml:space="preserve">FERRETERIA</t>
  </si>
  <si>
    <t xml:space="preserve">KENDALL DRIVE</t>
  </si>
  <si>
    <t xml:space="preserve">L01TB22X21F6</t>
  </si>
  <si>
    <t xml:space="preserve">COMPRAS</t>
  </si>
  <si>
    <t xml:space="preserve">LAZ</t>
  </si>
  <si>
    <t xml:space="preserve">10368271</t>
  </si>
  <si>
    <t xml:space="preserve">PARQUEADERO</t>
  </si>
  <si>
    <t xml:space="preserve">MCDONALDS</t>
  </si>
  <si>
    <t xml:space="preserve">10424132806042508318000887</t>
  </si>
  <si>
    <t xml:space="preserve">07409134805282512307001206</t>
  </si>
  <si>
    <t xml:space="preserve">PHARMACY</t>
  </si>
  <si>
    <t xml:space="preserve">09381147906134168</t>
  </si>
  <si>
    <t xml:space="preserve">POLLO TROPICAL</t>
  </si>
  <si>
    <t xml:space="preserve">156753</t>
  </si>
  <si>
    <t xml:space="preserve">PUBLIX</t>
  </si>
  <si>
    <t xml:space="preserve">139726Q064776</t>
  </si>
  <si>
    <t xml:space="preserve">139726Q732307</t>
  </si>
  <si>
    <t xml:space="preserve">139765Q740143</t>
  </si>
  <si>
    <t xml:space="preserve">13975PO711453</t>
  </si>
  <si>
    <t xml:space="preserve">13975PQ737305</t>
  </si>
  <si>
    <t xml:space="preserve">SANDWHICH</t>
  </si>
  <si>
    <t xml:space="preserve">05731D</t>
  </si>
  <si>
    <t xml:space="preserve">SILVERSPOT</t>
  </si>
  <si>
    <t xml:space="preserve">1640768</t>
  </si>
  <si>
    <t xml:space="preserve">CINE</t>
  </si>
  <si>
    <t xml:space="preserve">THE HOME DEPOT</t>
  </si>
  <si>
    <t xml:space="preserve">02770005543228</t>
  </si>
  <si>
    <t xml:space="preserve">ARREGLO CASA</t>
  </si>
  <si>
    <t xml:space="preserve">63435500756</t>
  </si>
  <si>
    <t xml:space="preserve">HERRAMIENTAS</t>
  </si>
  <si>
    <t xml:space="preserve">63438369308</t>
  </si>
  <si>
    <t xml:space="preserve">COMPRAS VARIADAS</t>
  </si>
  <si>
    <t xml:space="preserve">63438370959</t>
  </si>
  <si>
    <t xml:space="preserve">PRODUCTOS DE FERRETERIA</t>
  </si>
  <si>
    <t xml:space="preserve">TRYLOGY</t>
  </si>
  <si>
    <t xml:space="preserve">1640926</t>
  </si>
  <si>
    <t xml:space="preserve">UN</t>
  </si>
  <si>
    <t xml:space="preserve">170</t>
  </si>
  <si>
    <t xml:space="preserve">DULCE</t>
  </si>
  <si>
    <t xml:space="preserve">WALMART</t>
  </si>
  <si>
    <t xml:space="preserve">385156669355028</t>
  </si>
  <si>
    <t xml:space="preserve">7VPBQLQN3XQ</t>
  </si>
  <si>
    <t xml:space="preserve">WENDYS RESTAURANT</t>
  </si>
  <si>
    <t xml:space="preserve">1722</t>
  </si>
  <si>
    <t xml:space="preserve">WEST-LOT GARAGE</t>
  </si>
  <si>
    <t xml:space="preserve">59353</t>
  </si>
  <si>
    <t xml:space="preserve">NATURAL SYSTEMS INTERNATIONAL SAS</t>
  </si>
  <si>
    <t xml:space="preserve">LEGALIZACION DE PABLO MENA  #5 PARTE 2</t>
  </si>
  <si>
    <t xml:space="preserve">NIT/CC</t>
  </si>
  <si>
    <t xml:space="preserve">PREFIJO</t>
  </si>
  <si>
    <t xml:space="preserve">NUMERO FACTURA</t>
  </si>
  <si>
    <t xml:space="preserve">FECHA FACTURA</t>
  </si>
  <si>
    <t xml:space="preserve">TERCERO</t>
  </si>
  <si>
    <t xml:space="preserve">CONCEPTO</t>
  </si>
  <si>
    <t xml:space="preserve">CENTRO DE COSTO</t>
  </si>
  <si>
    <t xml:space="preserve">SUB TOTAL GRAVADO</t>
  </si>
  <si>
    <t xml:space="preserve">SUB TOTAL SIN IVA</t>
  </si>
  <si>
    <t xml:space="preserve">INC</t>
  </si>
  <si>
    <t xml:space="preserve">TOTAL</t>
  </si>
  <si>
    <t xml:space="preserve">29/01/2025</t>
  </si>
  <si>
    <t xml:space="preserve">25/01/2025</t>
  </si>
  <si>
    <t xml:space="preserve">30/01/2025</t>
  </si>
  <si>
    <t xml:space="preserve">31/01/2025</t>
  </si>
  <si>
    <t xml:space="preserve">LAZ </t>
  </si>
  <si>
    <t xml:space="preserve">SCHANTAL BENITEZ</t>
  </si>
  <si>
    <t xml:space="preserve">JULIAN CASTAÑEDA V.</t>
  </si>
  <si>
    <t xml:space="preserve">Elaborado</t>
  </si>
  <si>
    <t xml:space="preserve">Autorizado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</si>
</sst>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_ &quot;$ &quot;* #,##0.00_ ;_ &quot;$ &quot;* \-#,##0.00_ ;_ &quot;$ &quot;* \-??_ ;_ @_ "/>
    <numFmt numFmtId="166" formatCode="0&quot; facturas&quot;"/>
    <numFmt numFmtId="167" formatCode="#,##0.00"/>
    <numFmt numFmtId="168" formatCode="0&quot; factura(s)&quot;"/>
    <numFmt numFmtId="169" formatCode="dd/mm/yyyy"/>
    <numFmt numFmtId="170" formatCode="_-\$* #,##0.00_-;&quot;-$&quot;* #,##0.00_-;_-\$* \-??_-;_-@_-"/>
    <numFmt numFmtId="171" formatCode="_-&quot;$ &quot;* #,##0.00_-;&quot;-$ &quot;* #,##0.00_-;_-&quot;$ &quot;* \-??_-;_-@_-"/>
    <numFmt numFmtId="172" formatCode="&quot;$ &quot;#,##0;[RED]&quot;-$ &quot;#,##0"/>
    <numFmt numFmtId="173" formatCode="_(* #,##0.00_);_(* \(#,##0.00\);_(* \-??_);_(@_)"/>
    <numFmt numFmtId="174" formatCode="_-* #,##0_-;\-* #,##0_-;_-* \-??_-;_-@_-"/>
    <numFmt numFmtId="175" formatCode="m/d/yyyy"/>
    <numFmt numFmtId="176" formatCode="@"/>
    <numFmt numFmtId="177" formatCode="\$#,##0.00"/>
    <numFmt numFmtId="178" formatCode="_-* #,##0.00_-;\-* #,##0.00_-;_-* \-??_-;_-@_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28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22"/>
      <color theme="1"/>
      <name val="Arial"/>
      <family val="2"/>
      <charset val="1"/>
    </font>
    <font>
      <b val="true"/>
      <sz val="48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22"/>
      <color theme="0"/>
      <name val="Arial"/>
      <family val="2"/>
      <charset val="1"/>
    </font>
    <font>
      <sz val="26"/>
      <color theme="1"/>
      <name val="Arial"/>
      <family val="2"/>
      <charset val="1"/>
    </font>
    <font>
      <sz val="26"/>
      <color theme="1"/>
      <name val="Calibri"/>
      <family val="2"/>
      <charset val="1"/>
    </font>
    <font>
      <sz val="28"/>
      <color theme="1"/>
      <name val="Calibri"/>
      <family val="2"/>
      <charset val="1"/>
    </font>
    <font>
      <b val="true"/>
      <sz val="26"/>
      <color theme="1"/>
      <name val="Arial"/>
      <family val="2"/>
      <charset val="1"/>
    </font>
    <font>
      <sz val="36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004D86"/>
        <bgColor rgb="FF1F3864"/>
      </patternFill>
    </fill>
    <fill>
      <patternFill patternType="solid">
        <fgColor theme="4" tint="-0.25"/>
        <bgColor rgb="FF004D86"/>
      </patternFill>
    </fill>
    <fill>
      <patternFill patternType="solid">
        <fgColor theme="0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>
        <color theme="0"/>
      </right>
      <top/>
      <bottom style="thin"/>
      <diagonal/>
    </border>
    <border diagonalUp="false" diagonalDown="false">
      <left style="thin">
        <color theme="0"/>
      </left>
      <right style="thin">
        <color theme="0"/>
      </right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70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64" fontId="11" fillId="0" borderId="0" xfId="21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71" fontId="12" fillId="0" borderId="0" xfId="17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72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64" fontId="13" fillId="4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3" fillId="4" borderId="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3" fillId="4" borderId="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3" fillId="4" borderId="4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3" fillId="4" borderId="4" xfId="0" applyFont="true" applyBorder="true" applyAlignment="true" applyProtection="true">
      <alignment horizontal="right" vertical="center" textRotation="0" wrapText="true" indent="0" shrinkToFit="false"/>
      <protection locked="true" hidden="true"/>
    </xf>
    <xf numFmtId="170" fontId="13" fillId="5" borderId="4" xfId="0" applyFont="true" applyBorder="true" applyAlignment="true" applyProtection="true">
      <alignment horizontal="right" vertical="center" textRotation="0" wrapText="true" indent="0" shrinkToFit="false"/>
      <protection locked="true" hidden="true"/>
    </xf>
    <xf numFmtId="164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5" fillId="0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6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4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4" fillId="6" borderId="6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1" fontId="14" fillId="6" borderId="5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7" fontId="14" fillId="6" borderId="5" xfId="17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8" fontId="14" fillId="6" borderId="5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14" fillId="6" borderId="5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14" fillId="6" borderId="5" xfId="17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8" fontId="14" fillId="6" borderId="5" xfId="17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15" fillId="6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6" borderId="6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4" fillId="6" borderId="5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14" fillId="6" borderId="5" xfId="17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5" fontId="14" fillId="6" borderId="5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4" fillId="0" borderId="0" xfId="17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1" fontId="14" fillId="0" borderId="5" xfId="17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5" fillId="0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4" fillId="6" borderId="7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6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4" fontId="14" fillId="6" borderId="7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1" fontId="14" fillId="6" borderId="7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7" fontId="14" fillId="6" borderId="7" xfId="17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8" fontId="14" fillId="6" borderId="7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14" fillId="6" borderId="7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4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4" fontId="14" fillId="6" borderId="5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7" fontId="14" fillId="0" borderId="5" xfId="17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17" fillId="6" borderId="5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71" fontId="17" fillId="6" borderId="5" xfId="17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5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da 2" xfId="20"/>
    <cellStyle name="Normal 2" xfId="21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4D8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366840</xdr:colOff>
      <xdr:row>0</xdr:row>
      <xdr:rowOff>296640</xdr:rowOff>
    </xdr:from>
    <xdr:to>
      <xdr:col>3</xdr:col>
      <xdr:colOff>2023920</xdr:colOff>
      <xdr:row>5</xdr:row>
      <xdr:rowOff>152280</xdr:rowOff>
    </xdr:to>
    <xdr:pic>
      <xdr:nvPicPr>
        <xdr:cNvPr id="0" name="Imagen 1" descr=""/>
        <xdr:cNvPicPr/>
      </xdr:nvPicPr>
      <xdr:blipFill>
        <a:blip r:embed="rId1"/>
        <a:srcRect l="20536" t="7741" r="19191" b="12457"/>
        <a:stretch/>
      </xdr:blipFill>
      <xdr:spPr>
        <a:xfrm>
          <a:off x="977760" y="296640"/>
          <a:ext cx="2588400" cy="2722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7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B2" s="2" t="n">
        <f aca="false">COUNTIF($H$5:$H$79,"Factura")</f>
        <v>49</v>
      </c>
      <c r="D2" s="3" t="s">
        <v>1</v>
      </c>
      <c r="E2" s="4" t="n">
        <f aca="false">SUMIF($H$5:$H$79,"TOTAL TERCERO",E5:E79)</f>
        <v>9973.22</v>
      </c>
      <c r="F2" s="4" t="n">
        <f aca="false">SUMIF($H$5:$H$79,"TOTAL TERCERO",F5:F79)</f>
        <v>308.87</v>
      </c>
      <c r="G2" s="4" t="n">
        <f aca="false">SUMIF($H$5:$H$79,"TOTAL TERCERO",G5:G79)</f>
        <v>10282.09</v>
      </c>
    </row>
    <row r="3" customFormat="false" ht="15" hidden="false" customHeight="false" outlineLevel="0" collapsed="false">
      <c r="E3" s="5"/>
      <c r="F3" s="5"/>
      <c r="G3" s="5"/>
    </row>
    <row r="4" customFormat="false" ht="15" hidden="false" customHeight="false" outlineLevel="0" collapsed="false">
      <c r="A4" s="6" t="s">
        <v>2</v>
      </c>
      <c r="B4" s="6" t="s">
        <v>3</v>
      </c>
      <c r="C4" s="6" t="s">
        <v>4</v>
      </c>
      <c r="D4" s="6" t="s">
        <v>5</v>
      </c>
      <c r="E4" s="7" t="s">
        <v>6</v>
      </c>
      <c r="F4" s="7" t="s">
        <v>7</v>
      </c>
      <c r="G4" s="7" t="s">
        <v>8</v>
      </c>
      <c r="H4" s="6" t="s">
        <v>9</v>
      </c>
      <c r="I4" s="6" t="s">
        <v>10</v>
      </c>
    </row>
    <row r="5" customFormat="false" ht="15" hidden="false" customHeight="false" outlineLevel="0" collapsed="false">
      <c r="A5" s="8" t="s">
        <v>11</v>
      </c>
      <c r="B5" s="9" t="n">
        <f aca="false">COUNTIFS($A$6:$A$6,$A5,$H$6:$H$6,"Factura")</f>
        <v>1</v>
      </c>
      <c r="C5" s="8"/>
      <c r="D5" s="8"/>
      <c r="E5" s="10" t="n">
        <f aca="false">SUM(E6:E6)</f>
        <v>134.82</v>
      </c>
      <c r="F5" s="10" t="n">
        <f aca="false">SUM(F6:F6)</f>
        <v>0</v>
      </c>
      <c r="G5" s="10" t="n">
        <f aca="false">SUM(G6:G6)</f>
        <v>134.82</v>
      </c>
      <c r="H5" s="8" t="s">
        <v>12</v>
      </c>
      <c r="I5" s="8"/>
    </row>
    <row r="6" customFormat="false" ht="15" hidden="false" customHeight="false" outlineLevel="0" collapsed="false">
      <c r="A6" s="0" t="s">
        <v>11</v>
      </c>
      <c r="B6" s="0" t="s">
        <v>13</v>
      </c>
      <c r="C6" s="11" t="n">
        <v>45807</v>
      </c>
      <c r="D6" s="12" t="s">
        <v>14</v>
      </c>
      <c r="E6" s="5" t="n">
        <v>134.82</v>
      </c>
      <c r="F6" s="5" t="n">
        <v>0</v>
      </c>
      <c r="G6" s="5" t="n">
        <v>134.82</v>
      </c>
      <c r="H6" s="12" t="s">
        <v>15</v>
      </c>
      <c r="I6" s="0" t="n">
        <v>45</v>
      </c>
    </row>
    <row r="7" customFormat="false" ht="15" hidden="false" customHeight="false" outlineLevel="0" collapsed="false">
      <c r="A7" s="8" t="s">
        <v>16</v>
      </c>
      <c r="B7" s="9" t="n">
        <f aca="false">COUNTIFS($A$8:$A$8,$A7,$H$8:$H$8,"Factura")</f>
        <v>1</v>
      </c>
      <c r="C7" s="8"/>
      <c r="D7" s="8"/>
      <c r="E7" s="10" t="n">
        <f aca="false">SUM(E8:E8)</f>
        <v>25.4</v>
      </c>
      <c r="F7" s="10" t="n">
        <f aca="false">SUM(F8:F8)</f>
        <v>1.78</v>
      </c>
      <c r="G7" s="10" t="n">
        <f aca="false">SUM(G8:G8)</f>
        <v>27.18</v>
      </c>
      <c r="H7" s="8" t="s">
        <v>12</v>
      </c>
      <c r="I7" s="8"/>
    </row>
    <row r="8" customFormat="false" ht="15" hidden="false" customHeight="false" outlineLevel="0" collapsed="false">
      <c r="A8" s="0" t="s">
        <v>16</v>
      </c>
      <c r="B8" s="0" t="s">
        <v>17</v>
      </c>
      <c r="C8" s="11" t="n">
        <v>45807</v>
      </c>
      <c r="D8" s="12" t="s">
        <v>18</v>
      </c>
      <c r="E8" s="5" t="n">
        <v>25.4</v>
      </c>
      <c r="F8" s="5" t="n">
        <v>1.78</v>
      </c>
      <c r="G8" s="5" t="n">
        <v>27.18</v>
      </c>
      <c r="H8" s="12" t="s">
        <v>15</v>
      </c>
      <c r="I8" s="0" t="n">
        <v>28</v>
      </c>
    </row>
    <row r="9" customFormat="false" ht="15" hidden="false" customHeight="false" outlineLevel="0" collapsed="false">
      <c r="A9" s="8" t="s">
        <v>19</v>
      </c>
      <c r="B9" s="9" t="n">
        <f aca="false">COUNTIFS($A$10:$A$10,$A9,$H$10:$H$10,"Factura")</f>
        <v>1</v>
      </c>
      <c r="C9" s="8"/>
      <c r="D9" s="8"/>
      <c r="E9" s="10" t="n">
        <f aca="false">SUM(E10:E10)</f>
        <v>41.07</v>
      </c>
      <c r="F9" s="10" t="n">
        <f aca="false">SUM(F10:F10)</f>
        <v>3.7</v>
      </c>
      <c r="G9" s="10" t="n">
        <f aca="false">SUM(G10:G10)</f>
        <v>44.77</v>
      </c>
      <c r="H9" s="8" t="s">
        <v>12</v>
      </c>
      <c r="I9" s="8"/>
    </row>
    <row r="10" customFormat="false" ht="15" hidden="false" customHeight="false" outlineLevel="0" collapsed="false">
      <c r="A10" s="0" t="s">
        <v>19</v>
      </c>
      <c r="B10" s="0" t="s">
        <v>20</v>
      </c>
      <c r="C10" s="11" t="n">
        <v>45809</v>
      </c>
      <c r="D10" s="12" t="s">
        <v>18</v>
      </c>
      <c r="E10" s="5" t="n">
        <v>41.07</v>
      </c>
      <c r="F10" s="5" t="n">
        <v>3.7</v>
      </c>
      <c r="G10" s="5" t="n">
        <v>44.77</v>
      </c>
      <c r="H10" s="12" t="s">
        <v>15</v>
      </c>
      <c r="I10" s="0" t="n">
        <v>47</v>
      </c>
    </row>
    <row r="11" customFormat="false" ht="15" hidden="false" customHeight="false" outlineLevel="0" collapsed="false">
      <c r="A11" s="8" t="s">
        <v>21</v>
      </c>
      <c r="B11" s="9" t="n">
        <f aca="false">COUNTIFS($A$12:$A$12,$A11,$H$12:$H$12,"Factura")</f>
        <v>1</v>
      </c>
      <c r="C11" s="8"/>
      <c r="D11" s="8"/>
      <c r="E11" s="10" t="n">
        <f aca="false">SUM(E12:E12)</f>
        <v>47.15</v>
      </c>
      <c r="F11" s="10" t="n">
        <f aca="false">SUM(F12:F12)</f>
        <v>3.3</v>
      </c>
      <c r="G11" s="10" t="n">
        <f aca="false">SUM(G12:G12)</f>
        <v>50.45</v>
      </c>
      <c r="H11" s="8" t="s">
        <v>12</v>
      </c>
      <c r="I11" s="8"/>
    </row>
    <row r="12" customFormat="false" ht="15" hidden="false" customHeight="false" outlineLevel="0" collapsed="false">
      <c r="A12" s="0" t="s">
        <v>21</v>
      </c>
      <c r="B12" s="0" t="s">
        <v>22</v>
      </c>
      <c r="C12" s="11" t="n">
        <v>45794</v>
      </c>
      <c r="D12" s="12" t="s">
        <v>23</v>
      </c>
      <c r="E12" s="5" t="n">
        <v>47.15</v>
      </c>
      <c r="F12" s="5" t="n">
        <v>3.3</v>
      </c>
      <c r="G12" s="5" t="n">
        <v>50.45</v>
      </c>
      <c r="H12" s="12" t="s">
        <v>15</v>
      </c>
      <c r="I12" s="0" t="n">
        <v>41</v>
      </c>
    </row>
    <row r="13" customFormat="false" ht="15" hidden="false" customHeight="false" outlineLevel="0" collapsed="false">
      <c r="A13" s="8" t="s">
        <v>24</v>
      </c>
      <c r="B13" s="9" t="n">
        <f aca="false">COUNTIFS($A$14:$A$14,$A13,$H$14:$H$14,"Factura")</f>
        <v>1</v>
      </c>
      <c r="C13" s="8"/>
      <c r="D13" s="8"/>
      <c r="E13" s="10" t="n">
        <f aca="false">SUM(E14:E14)</f>
        <v>5000</v>
      </c>
      <c r="F13" s="10" t="n">
        <f aca="false">SUM(F14:F14)</f>
        <v>0</v>
      </c>
      <c r="G13" s="10" t="n">
        <f aca="false">SUM(G14:G14)</f>
        <v>5000</v>
      </c>
      <c r="H13" s="8" t="s">
        <v>12</v>
      </c>
      <c r="I13" s="8"/>
    </row>
    <row r="14" customFormat="false" ht="15" hidden="false" customHeight="false" outlineLevel="0" collapsed="false">
      <c r="A14" s="0" t="s">
        <v>24</v>
      </c>
      <c r="B14" s="0" t="s">
        <v>25</v>
      </c>
      <c r="C14" s="11" t="n">
        <v>45692</v>
      </c>
      <c r="D14" s="12" t="s">
        <v>26</v>
      </c>
      <c r="E14" s="5" t="n">
        <v>5000</v>
      </c>
      <c r="F14" s="5" t="n">
        <v>0</v>
      </c>
      <c r="G14" s="5" t="n">
        <v>5000</v>
      </c>
      <c r="H14" s="12" t="s">
        <v>15</v>
      </c>
      <c r="I14" s="0" t="n">
        <v>6</v>
      </c>
    </row>
    <row r="15" customFormat="false" ht="15" hidden="false" customHeight="false" outlineLevel="0" collapsed="false">
      <c r="A15" s="8" t="s">
        <v>27</v>
      </c>
      <c r="B15" s="9" t="n">
        <f aca="false">COUNTIFS($A$16:$A$16,$A15,$H$16:$H$16,"Factura")</f>
        <v>1</v>
      </c>
      <c r="C15" s="8"/>
      <c r="D15" s="8"/>
      <c r="E15" s="10" t="n">
        <f aca="false">SUM(E16:E16)</f>
        <v>13.04</v>
      </c>
      <c r="F15" s="10" t="n">
        <f aca="false">SUM(F16:F16)</f>
        <v>0.91</v>
      </c>
      <c r="G15" s="10" t="n">
        <f aca="false">SUM(G16:G16)</f>
        <v>13.95</v>
      </c>
      <c r="H15" s="8" t="s">
        <v>12</v>
      </c>
      <c r="I15" s="8"/>
    </row>
    <row r="16" customFormat="false" ht="15" hidden="false" customHeight="false" outlineLevel="0" collapsed="false">
      <c r="A16" s="0" t="s">
        <v>27</v>
      </c>
      <c r="B16" s="0" t="s">
        <v>28</v>
      </c>
      <c r="C16" s="11" t="n">
        <v>45796</v>
      </c>
      <c r="D16" s="12" t="s">
        <v>18</v>
      </c>
      <c r="E16" s="5" t="n">
        <v>13.04</v>
      </c>
      <c r="F16" s="5" t="n">
        <v>0.91</v>
      </c>
      <c r="G16" s="5" t="n">
        <v>13.95</v>
      </c>
      <c r="H16" s="12" t="s">
        <v>15</v>
      </c>
      <c r="I16" s="0" t="n">
        <v>40</v>
      </c>
    </row>
    <row r="17" customFormat="false" ht="15" hidden="false" customHeight="false" outlineLevel="0" collapsed="false">
      <c r="A17" s="8" t="s">
        <v>29</v>
      </c>
      <c r="B17" s="9" t="n">
        <f aca="false">COUNTIFS($A$18:$A$18,$A17,$H$18:$H$18,"Factura")</f>
        <v>1</v>
      </c>
      <c r="C17" s="8"/>
      <c r="D17" s="8"/>
      <c r="E17" s="10" t="n">
        <f aca="false">SUM(E18:E18)</f>
        <v>38.1</v>
      </c>
      <c r="F17" s="10" t="n">
        <f aca="false">SUM(F18:F18)</f>
        <v>3.05</v>
      </c>
      <c r="G17" s="10" t="n">
        <f aca="false">SUM(G18:G18)</f>
        <v>41.15</v>
      </c>
      <c r="H17" s="8" t="s">
        <v>12</v>
      </c>
      <c r="I17" s="8"/>
    </row>
    <row r="18" customFormat="false" ht="15" hidden="false" customHeight="false" outlineLevel="0" collapsed="false">
      <c r="A18" s="0" t="s">
        <v>29</v>
      </c>
      <c r="B18" s="0" t="s">
        <v>30</v>
      </c>
      <c r="C18" s="11" t="n">
        <v>45798</v>
      </c>
      <c r="D18" s="12" t="s">
        <v>18</v>
      </c>
      <c r="E18" s="5" t="n">
        <v>38.1</v>
      </c>
      <c r="F18" s="5" t="n">
        <v>3.05</v>
      </c>
      <c r="G18" s="5" t="n">
        <v>41.15</v>
      </c>
      <c r="H18" s="12" t="s">
        <v>15</v>
      </c>
      <c r="I18" s="0" t="n">
        <v>49</v>
      </c>
    </row>
    <row r="19" customFormat="false" ht="15" hidden="false" customHeight="false" outlineLevel="0" collapsed="false">
      <c r="A19" s="8" t="s">
        <v>31</v>
      </c>
      <c r="B19" s="9" t="n">
        <f aca="false">COUNTIFS($A$20:$A$27,$A19,$H$20:$H$27,"Factura")</f>
        <v>8</v>
      </c>
      <c r="C19" s="8"/>
      <c r="D19" s="8"/>
      <c r="E19" s="10" t="n">
        <f aca="false">SUM(E20:E27)</f>
        <v>746</v>
      </c>
      <c r="F19" s="10" t="n">
        <f aca="false">SUM(F20:F27)</f>
        <v>34.33</v>
      </c>
      <c r="G19" s="10" t="n">
        <f aca="false">SUM(G20:G27)</f>
        <v>780.33</v>
      </c>
      <c r="H19" s="8" t="s">
        <v>12</v>
      </c>
      <c r="I19" s="8"/>
    </row>
    <row r="20" customFormat="false" ht="15" hidden="false" customHeight="false" outlineLevel="0" collapsed="false">
      <c r="A20" s="0" t="s">
        <v>31</v>
      </c>
      <c r="B20" s="0" t="s">
        <v>32</v>
      </c>
      <c r="C20" s="11" t="n">
        <v>45688</v>
      </c>
      <c r="D20" s="12" t="s">
        <v>33</v>
      </c>
      <c r="E20" s="5" t="n">
        <v>313.49</v>
      </c>
      <c r="F20" s="5" t="n">
        <v>16.5</v>
      </c>
      <c r="G20" s="5" t="n">
        <v>329.99</v>
      </c>
      <c r="H20" s="12" t="s">
        <v>15</v>
      </c>
      <c r="I20" s="0" t="n">
        <v>5</v>
      </c>
    </row>
    <row r="21" customFormat="false" ht="15" hidden="false" customHeight="false" outlineLevel="0" collapsed="false">
      <c r="A21" s="0" t="s">
        <v>31</v>
      </c>
      <c r="B21" s="0" t="s">
        <v>34</v>
      </c>
      <c r="C21" s="11" t="n">
        <v>45688</v>
      </c>
      <c r="D21" s="12" t="s">
        <v>35</v>
      </c>
      <c r="E21" s="5" t="n">
        <v>6.77</v>
      </c>
      <c r="F21" s="5" t="n">
        <v>0.47</v>
      </c>
      <c r="G21" s="5" t="n">
        <v>7.24</v>
      </c>
      <c r="H21" s="12" t="s">
        <v>15</v>
      </c>
      <c r="I21" s="0" t="n">
        <v>7</v>
      </c>
    </row>
    <row r="22" customFormat="false" ht="15" hidden="false" customHeight="false" outlineLevel="0" collapsed="false">
      <c r="A22" s="0" t="s">
        <v>31</v>
      </c>
      <c r="B22" s="0" t="s">
        <v>36</v>
      </c>
      <c r="C22" s="11" t="n">
        <v>45806</v>
      </c>
      <c r="D22" s="12" t="s">
        <v>37</v>
      </c>
      <c r="E22" s="5" t="n">
        <v>10.32</v>
      </c>
      <c r="F22" s="5" t="n">
        <v>0.86</v>
      </c>
      <c r="G22" s="5" t="n">
        <v>11.18</v>
      </c>
      <c r="H22" s="12" t="s">
        <v>15</v>
      </c>
      <c r="I22" s="0" t="n">
        <v>29</v>
      </c>
    </row>
    <row r="23" customFormat="false" ht="15" hidden="false" customHeight="false" outlineLevel="0" collapsed="false">
      <c r="A23" s="0" t="s">
        <v>31</v>
      </c>
      <c r="B23" s="0" t="s">
        <v>38</v>
      </c>
      <c r="C23" s="11" t="n">
        <v>45806</v>
      </c>
      <c r="D23" s="12" t="s">
        <v>39</v>
      </c>
      <c r="E23" s="5" t="n">
        <v>35.54</v>
      </c>
      <c r="F23" s="5" t="n">
        <v>0</v>
      </c>
      <c r="G23" s="5" t="n">
        <v>35.54</v>
      </c>
      <c r="H23" s="12" t="s">
        <v>15</v>
      </c>
      <c r="I23" s="0" t="n">
        <v>30</v>
      </c>
    </row>
    <row r="24" customFormat="false" ht="15" hidden="false" customHeight="false" outlineLevel="0" collapsed="false">
      <c r="A24" s="0" t="s">
        <v>31</v>
      </c>
      <c r="B24" s="0" t="s">
        <v>40</v>
      </c>
      <c r="C24" s="11" t="n">
        <v>45806</v>
      </c>
      <c r="D24" s="12" t="s">
        <v>41</v>
      </c>
      <c r="E24" s="5" t="n">
        <v>60.66</v>
      </c>
      <c r="F24" s="5" t="n">
        <v>3.55</v>
      </c>
      <c r="G24" s="5" t="n">
        <v>64.21</v>
      </c>
      <c r="H24" s="12" t="s">
        <v>15</v>
      </c>
      <c r="I24" s="0" t="n">
        <v>31</v>
      </c>
    </row>
    <row r="25" customFormat="false" ht="15" hidden="false" customHeight="false" outlineLevel="0" collapsed="false">
      <c r="A25" s="0" t="s">
        <v>31</v>
      </c>
      <c r="B25" s="0" t="s">
        <v>42</v>
      </c>
      <c r="C25" s="11" t="n">
        <v>45799</v>
      </c>
      <c r="D25" s="12" t="s">
        <v>43</v>
      </c>
      <c r="E25" s="5" t="n">
        <v>184.98</v>
      </c>
      <c r="F25" s="5" t="n">
        <v>12.95</v>
      </c>
      <c r="G25" s="5" t="n">
        <v>197.93</v>
      </c>
      <c r="H25" s="12" t="s">
        <v>15</v>
      </c>
      <c r="I25" s="0" t="n">
        <v>37</v>
      </c>
    </row>
    <row r="26" customFormat="false" ht="15" hidden="false" customHeight="false" outlineLevel="0" collapsed="false">
      <c r="A26" s="0" t="s">
        <v>31</v>
      </c>
      <c r="B26" s="0" t="s">
        <v>44</v>
      </c>
      <c r="C26" s="11" t="n">
        <v>45799</v>
      </c>
      <c r="D26" s="12" t="s">
        <v>45</v>
      </c>
      <c r="E26" s="5" t="n">
        <v>97.76</v>
      </c>
      <c r="F26" s="5" t="n">
        <v>0</v>
      </c>
      <c r="G26" s="5" t="n">
        <v>97.76</v>
      </c>
      <c r="H26" s="12" t="s">
        <v>15</v>
      </c>
      <c r="I26" s="0" t="n">
        <v>38</v>
      </c>
    </row>
    <row r="27" customFormat="false" ht="15" hidden="false" customHeight="false" outlineLevel="0" collapsed="false">
      <c r="A27" s="0" t="s">
        <v>31</v>
      </c>
      <c r="B27" s="0" t="s">
        <v>46</v>
      </c>
      <c r="C27" s="11" t="n">
        <v>45798</v>
      </c>
      <c r="D27" s="12" t="s">
        <v>39</v>
      </c>
      <c r="E27" s="5" t="n">
        <v>36.48</v>
      </c>
      <c r="F27" s="5" t="n">
        <v>0</v>
      </c>
      <c r="G27" s="5" t="n">
        <v>36.48</v>
      </c>
      <c r="H27" s="12" t="s">
        <v>15</v>
      </c>
      <c r="I27" s="0" t="n">
        <v>39</v>
      </c>
    </row>
    <row r="28" customFormat="false" ht="15" hidden="false" customHeight="false" outlineLevel="0" collapsed="false">
      <c r="A28" s="8" t="s">
        <v>47</v>
      </c>
      <c r="B28" s="9" t="n">
        <f aca="false">COUNTIFS($A$29:$A$29,$A28,$H$29:$H$29,"Factura")</f>
        <v>1</v>
      </c>
      <c r="C28" s="8"/>
      <c r="D28" s="8"/>
      <c r="E28" s="10" t="n">
        <f aca="false">SUM(E29:E29)</f>
        <v>62.97</v>
      </c>
      <c r="F28" s="10" t="n">
        <f aca="false">SUM(F29:F29)</f>
        <v>4.41</v>
      </c>
      <c r="G28" s="10" t="n">
        <f aca="false">SUM(G29:G29)</f>
        <v>67.38</v>
      </c>
      <c r="H28" s="8" t="s">
        <v>12</v>
      </c>
      <c r="I28" s="8"/>
    </row>
    <row r="29" customFormat="false" ht="15" hidden="false" customHeight="false" outlineLevel="0" collapsed="false">
      <c r="A29" s="0" t="s">
        <v>47</v>
      </c>
      <c r="B29" s="0" t="s">
        <v>48</v>
      </c>
      <c r="C29" s="11" t="n">
        <v>45794</v>
      </c>
      <c r="D29" s="12" t="s">
        <v>37</v>
      </c>
      <c r="E29" s="5" t="n">
        <v>62.97</v>
      </c>
      <c r="F29" s="5" t="n">
        <v>4.41</v>
      </c>
      <c r="G29" s="5" t="n">
        <v>67.38</v>
      </c>
      <c r="H29" s="12" t="s">
        <v>15</v>
      </c>
      <c r="I29" s="0" t="n">
        <v>42</v>
      </c>
    </row>
    <row r="30" customFormat="false" ht="15" hidden="false" customHeight="false" outlineLevel="0" collapsed="false">
      <c r="A30" s="8" t="s">
        <v>49</v>
      </c>
      <c r="B30" s="9" t="n">
        <f aca="false">COUNTIFS($A$31:$A$32,$A30,$H$31:$H$32,"Factura")</f>
        <v>2</v>
      </c>
      <c r="C30" s="8"/>
      <c r="D30" s="8"/>
      <c r="E30" s="10" t="n">
        <f aca="false">SUM(E31:E32)</f>
        <v>61.85</v>
      </c>
      <c r="F30" s="10" t="n">
        <f aca="false">SUM(F31:F32)</f>
        <v>4.34</v>
      </c>
      <c r="G30" s="10" t="n">
        <f aca="false">SUM(G31:G32)</f>
        <v>66.19</v>
      </c>
      <c r="H30" s="8" t="s">
        <v>12</v>
      </c>
      <c r="I30" s="8"/>
    </row>
    <row r="31" customFormat="false" ht="15" hidden="false" customHeight="false" outlineLevel="0" collapsed="false">
      <c r="A31" s="0" t="s">
        <v>49</v>
      </c>
      <c r="B31" s="0" t="s">
        <v>50</v>
      </c>
      <c r="C31" s="11" t="n">
        <v>45692</v>
      </c>
      <c r="D31" s="12" t="s">
        <v>35</v>
      </c>
      <c r="E31" s="5" t="n">
        <v>25.57</v>
      </c>
      <c r="F31" s="5" t="n">
        <v>1.8</v>
      </c>
      <c r="G31" s="5" t="n">
        <v>27.37</v>
      </c>
      <c r="H31" s="12" t="s">
        <v>15</v>
      </c>
      <c r="I31" s="0" t="n">
        <v>10</v>
      </c>
    </row>
    <row r="32" customFormat="false" ht="15" hidden="false" customHeight="false" outlineLevel="0" collapsed="false">
      <c r="A32" s="0" t="s">
        <v>49</v>
      </c>
      <c r="B32" s="0" t="s">
        <v>51</v>
      </c>
      <c r="C32" s="11" t="n">
        <v>45692</v>
      </c>
      <c r="D32" s="12" t="s">
        <v>52</v>
      </c>
      <c r="E32" s="5" t="n">
        <v>36.28</v>
      </c>
      <c r="F32" s="5" t="n">
        <v>2.54</v>
      </c>
      <c r="G32" s="5" t="n">
        <v>38.82</v>
      </c>
      <c r="H32" s="12" t="s">
        <v>15</v>
      </c>
      <c r="I32" s="0" t="n">
        <v>11</v>
      </c>
    </row>
    <row r="33" customFormat="false" ht="15" hidden="false" customHeight="false" outlineLevel="0" collapsed="false">
      <c r="A33" s="8" t="s">
        <v>53</v>
      </c>
      <c r="B33" s="9" t="n">
        <f aca="false">COUNTIFS($A$34:$A$34,$A33,$H$34:$H$34,"Factura")</f>
        <v>1</v>
      </c>
      <c r="C33" s="8"/>
      <c r="D33" s="8"/>
      <c r="E33" s="10" t="n">
        <f aca="false">SUM(E34:E34)</f>
        <v>7.98</v>
      </c>
      <c r="F33" s="10" t="n">
        <f aca="false">SUM(F34:F34)</f>
        <v>0.56</v>
      </c>
      <c r="G33" s="10" t="n">
        <f aca="false">SUM(G34:G34)</f>
        <v>8.54</v>
      </c>
      <c r="H33" s="8" t="s">
        <v>12</v>
      </c>
      <c r="I33" s="8"/>
    </row>
    <row r="34" customFormat="false" ht="15" hidden="false" customHeight="false" outlineLevel="0" collapsed="false">
      <c r="A34" s="0" t="s">
        <v>53</v>
      </c>
      <c r="B34" s="0" t="s">
        <v>54</v>
      </c>
      <c r="C34" s="11" t="n">
        <v>45690</v>
      </c>
      <c r="D34" s="12" t="s">
        <v>18</v>
      </c>
      <c r="E34" s="5" t="n">
        <v>7.98</v>
      </c>
      <c r="F34" s="5" t="n">
        <v>0.56</v>
      </c>
      <c r="G34" s="5" t="n">
        <v>8.54</v>
      </c>
      <c r="H34" s="12" t="s">
        <v>15</v>
      </c>
      <c r="I34" s="0" t="n">
        <v>9</v>
      </c>
    </row>
    <row r="35" customFormat="false" ht="15" hidden="false" customHeight="false" outlineLevel="0" collapsed="false">
      <c r="A35" s="8" t="s">
        <v>55</v>
      </c>
      <c r="B35" s="9" t="n">
        <f aca="false">COUNTIFS($A$36:$A$42,$A35,$H$36:$H$42,"Factura")</f>
        <v>7</v>
      </c>
      <c r="C35" s="8"/>
      <c r="D35" s="8"/>
      <c r="E35" s="10" t="n">
        <f aca="false">SUM(E36:E42)</f>
        <v>2193.89</v>
      </c>
      <c r="F35" s="10" t="n">
        <f aca="false">SUM(F36:F42)</f>
        <v>153.57</v>
      </c>
      <c r="G35" s="10" t="n">
        <f aca="false">SUM(G36:G42)</f>
        <v>2347.46</v>
      </c>
      <c r="H35" s="8" t="s">
        <v>12</v>
      </c>
      <c r="I35" s="8"/>
    </row>
    <row r="36" customFormat="false" ht="15" hidden="false" customHeight="false" outlineLevel="0" collapsed="false">
      <c r="A36" s="0" t="s">
        <v>55</v>
      </c>
      <c r="B36" s="0" t="s">
        <v>56</v>
      </c>
      <c r="C36" s="11" t="n">
        <v>45682</v>
      </c>
      <c r="D36" s="12" t="s">
        <v>57</v>
      </c>
      <c r="E36" s="5" t="n">
        <v>100.97</v>
      </c>
      <c r="F36" s="5" t="n">
        <v>7.07</v>
      </c>
      <c r="G36" s="5" t="n">
        <v>108.04</v>
      </c>
      <c r="H36" s="12" t="s">
        <v>15</v>
      </c>
      <c r="I36" s="0" t="n">
        <v>2</v>
      </c>
    </row>
    <row r="37" customFormat="false" ht="15" hidden="false" customHeight="false" outlineLevel="0" collapsed="false">
      <c r="A37" s="0" t="s">
        <v>55</v>
      </c>
      <c r="B37" s="0" t="s">
        <v>58</v>
      </c>
      <c r="C37" s="11" t="n">
        <v>45682</v>
      </c>
      <c r="D37" s="12" t="s">
        <v>35</v>
      </c>
      <c r="E37" s="5" t="n">
        <v>16.47</v>
      </c>
      <c r="F37" s="5" t="n">
        <v>1.15</v>
      </c>
      <c r="G37" s="5" t="n">
        <v>17.62</v>
      </c>
      <c r="H37" s="12" t="s">
        <v>15</v>
      </c>
      <c r="I37" s="0" t="n">
        <v>3</v>
      </c>
    </row>
    <row r="38" customFormat="false" ht="15" hidden="false" customHeight="false" outlineLevel="0" collapsed="false">
      <c r="A38" s="0" t="s">
        <v>55</v>
      </c>
      <c r="B38" s="0" t="s">
        <v>59</v>
      </c>
      <c r="C38" s="11" t="n">
        <v>45687</v>
      </c>
      <c r="D38" s="12" t="s">
        <v>60</v>
      </c>
      <c r="E38" s="5" t="n">
        <v>1634.8</v>
      </c>
      <c r="F38" s="5" t="n">
        <v>114.44</v>
      </c>
      <c r="G38" s="5" t="n">
        <v>1749.24</v>
      </c>
      <c r="H38" s="12" t="s">
        <v>15</v>
      </c>
      <c r="I38" s="0" t="n">
        <v>4</v>
      </c>
    </row>
    <row r="39" customFormat="false" ht="15" hidden="false" customHeight="false" outlineLevel="0" collapsed="false">
      <c r="A39" s="0" t="s">
        <v>55</v>
      </c>
      <c r="B39" s="0" t="s">
        <v>61</v>
      </c>
      <c r="C39" s="11" t="n">
        <v>45694</v>
      </c>
      <c r="D39" s="12" t="s">
        <v>33</v>
      </c>
      <c r="E39" s="5" t="n">
        <v>165.89</v>
      </c>
      <c r="F39" s="5" t="n">
        <v>11.61</v>
      </c>
      <c r="G39" s="5" t="n">
        <v>177.5</v>
      </c>
      <c r="H39" s="12" t="s">
        <v>15</v>
      </c>
      <c r="I39" s="0" t="n">
        <v>14</v>
      </c>
    </row>
    <row r="40" customFormat="false" ht="15" hidden="false" customHeight="false" outlineLevel="0" collapsed="false">
      <c r="A40" s="0" t="s">
        <v>55</v>
      </c>
      <c r="B40" s="0" t="s">
        <v>62</v>
      </c>
      <c r="C40" s="11" t="n">
        <v>45802</v>
      </c>
      <c r="D40" s="12" t="s">
        <v>45</v>
      </c>
      <c r="E40" s="5" t="n">
        <v>105.93</v>
      </c>
      <c r="F40" s="5" t="n">
        <v>7.42</v>
      </c>
      <c r="G40" s="5" t="n">
        <v>113.35</v>
      </c>
      <c r="H40" s="12" t="s">
        <v>15</v>
      </c>
      <c r="I40" s="0" t="n">
        <v>35</v>
      </c>
    </row>
    <row r="41" customFormat="false" ht="15" hidden="false" customHeight="false" outlineLevel="0" collapsed="false">
      <c r="A41" s="0" t="s">
        <v>55</v>
      </c>
      <c r="B41" s="0" t="s">
        <v>63</v>
      </c>
      <c r="C41" s="11" t="n">
        <v>45802</v>
      </c>
      <c r="D41" s="12" t="s">
        <v>45</v>
      </c>
      <c r="E41" s="5" t="n">
        <v>156.34</v>
      </c>
      <c r="F41" s="5" t="n">
        <v>10.94</v>
      </c>
      <c r="G41" s="5" t="n">
        <v>167.28</v>
      </c>
      <c r="H41" s="12" t="s">
        <v>15</v>
      </c>
      <c r="I41" s="0" t="n">
        <v>36</v>
      </c>
    </row>
    <row r="42" customFormat="false" ht="15" hidden="false" customHeight="false" outlineLevel="0" collapsed="false">
      <c r="A42" s="0" t="s">
        <v>55</v>
      </c>
      <c r="B42" s="0" t="s">
        <v>64</v>
      </c>
      <c r="C42" s="11" t="n">
        <v>45799</v>
      </c>
      <c r="D42" s="12" t="s">
        <v>65</v>
      </c>
      <c r="E42" s="5" t="n">
        <v>13.49</v>
      </c>
      <c r="F42" s="5" t="n">
        <v>0.94</v>
      </c>
      <c r="G42" s="5" t="n">
        <v>14.43</v>
      </c>
      <c r="H42" s="12" t="s">
        <v>15</v>
      </c>
      <c r="I42" s="0" t="n">
        <v>46</v>
      </c>
    </row>
    <row r="43" customFormat="false" ht="15" hidden="false" customHeight="false" outlineLevel="0" collapsed="false">
      <c r="A43" s="8" t="s">
        <v>66</v>
      </c>
      <c r="B43" s="9" t="n">
        <f aca="false">COUNTIFS($A$44:$A$44,$A43,$H$44:$H$44,"Factura")</f>
        <v>1</v>
      </c>
      <c r="C43" s="8"/>
      <c r="D43" s="8"/>
      <c r="E43" s="10" t="n">
        <f aca="false">SUM(E44:E44)</f>
        <v>189.99</v>
      </c>
      <c r="F43" s="10" t="n">
        <f aca="false">SUM(F44:F44)</f>
        <v>13.3</v>
      </c>
      <c r="G43" s="10" t="n">
        <f aca="false">SUM(G44:G44)</f>
        <v>203.29</v>
      </c>
      <c r="H43" s="8" t="s">
        <v>12</v>
      </c>
      <c r="I43" s="8"/>
    </row>
    <row r="44" customFormat="false" ht="15" hidden="false" customHeight="false" outlineLevel="0" collapsed="false">
      <c r="A44" s="0" t="s">
        <v>66</v>
      </c>
      <c r="B44" s="0" t="s">
        <v>67</v>
      </c>
      <c r="C44" s="11" t="n">
        <v>45692</v>
      </c>
      <c r="D44" s="12" t="s">
        <v>68</v>
      </c>
      <c r="E44" s="5" t="n">
        <v>189.99</v>
      </c>
      <c r="F44" s="5" t="n">
        <v>13.3</v>
      </c>
      <c r="G44" s="5" t="n">
        <v>203.29</v>
      </c>
      <c r="H44" s="12" t="s">
        <v>15</v>
      </c>
      <c r="I44" s="0" t="n">
        <v>12</v>
      </c>
    </row>
    <row r="45" customFormat="false" ht="15" hidden="false" customHeight="false" outlineLevel="0" collapsed="false">
      <c r="A45" s="8" t="s">
        <v>69</v>
      </c>
      <c r="B45" s="9" t="n">
        <f aca="false">COUNTIFS($A$46:$A$46,$A45,$H$46:$H$46,"Factura")</f>
        <v>1</v>
      </c>
      <c r="C45" s="8"/>
      <c r="D45" s="8"/>
      <c r="E45" s="10" t="n">
        <f aca="false">SUM(E46:E46)</f>
        <v>40</v>
      </c>
      <c r="F45" s="10" t="n">
        <f aca="false">SUM(F46:F46)</f>
        <v>0</v>
      </c>
      <c r="G45" s="10" t="n">
        <f aca="false">SUM(G46:G46)</f>
        <v>40</v>
      </c>
      <c r="H45" s="8" t="s">
        <v>12</v>
      </c>
      <c r="I45" s="8"/>
    </row>
    <row r="46" customFormat="false" ht="15" hidden="false" customHeight="false" outlineLevel="0" collapsed="false">
      <c r="A46" s="0" t="s">
        <v>69</v>
      </c>
      <c r="B46" s="0" t="s">
        <v>70</v>
      </c>
      <c r="C46" s="11" t="n">
        <v>45801</v>
      </c>
      <c r="D46" s="12" t="s">
        <v>71</v>
      </c>
      <c r="E46" s="5" t="n">
        <v>40</v>
      </c>
      <c r="F46" s="5" t="n">
        <v>0</v>
      </c>
      <c r="G46" s="5" t="n">
        <v>40</v>
      </c>
      <c r="H46" s="12" t="s">
        <v>15</v>
      </c>
      <c r="I46" s="0" t="n">
        <v>33</v>
      </c>
    </row>
    <row r="47" customFormat="false" ht="15" hidden="false" customHeight="false" outlineLevel="0" collapsed="false">
      <c r="A47" s="8" t="s">
        <v>72</v>
      </c>
      <c r="B47" s="9" t="n">
        <f aca="false">COUNTIFS($A$48:$A$49,$A47,$H$48:$H$49,"Factura")</f>
        <v>2</v>
      </c>
      <c r="C47" s="8"/>
      <c r="D47" s="8"/>
      <c r="E47" s="10" t="n">
        <f aca="false">SUM(E48:E49)</f>
        <v>19.56</v>
      </c>
      <c r="F47" s="10" t="n">
        <f aca="false">SUM(F48:F49)</f>
        <v>1.37</v>
      </c>
      <c r="G47" s="10" t="n">
        <f aca="false">SUM(G48:G49)</f>
        <v>20.93</v>
      </c>
      <c r="H47" s="8" t="s">
        <v>12</v>
      </c>
      <c r="I47" s="8"/>
    </row>
    <row r="48" customFormat="false" ht="15" hidden="false" customHeight="false" outlineLevel="0" collapsed="false">
      <c r="A48" s="0" t="s">
        <v>72</v>
      </c>
      <c r="B48" s="0" t="s">
        <v>73</v>
      </c>
      <c r="C48" s="11" t="n">
        <v>45812</v>
      </c>
      <c r="D48" s="12" t="s">
        <v>18</v>
      </c>
      <c r="E48" s="5" t="n">
        <v>8.29</v>
      </c>
      <c r="F48" s="5" t="n">
        <v>0.58</v>
      </c>
      <c r="G48" s="5" t="n">
        <v>8.87</v>
      </c>
      <c r="H48" s="12" t="s">
        <v>15</v>
      </c>
      <c r="I48" s="0" t="n">
        <v>23</v>
      </c>
    </row>
    <row r="49" customFormat="false" ht="15" hidden="false" customHeight="false" outlineLevel="0" collapsed="false">
      <c r="A49" s="0" t="s">
        <v>72</v>
      </c>
      <c r="B49" s="0" t="s">
        <v>74</v>
      </c>
      <c r="C49" s="11" t="n">
        <v>45805</v>
      </c>
      <c r="D49" s="12" t="s">
        <v>18</v>
      </c>
      <c r="E49" s="5" t="n">
        <v>11.27</v>
      </c>
      <c r="F49" s="5" t="n">
        <v>0.79</v>
      </c>
      <c r="G49" s="5" t="n">
        <v>12.06</v>
      </c>
      <c r="H49" s="12" t="s">
        <v>15</v>
      </c>
      <c r="I49" s="0" t="n">
        <v>26</v>
      </c>
    </row>
    <row r="50" customFormat="false" ht="15" hidden="false" customHeight="false" outlineLevel="0" collapsed="false">
      <c r="A50" s="8" t="s">
        <v>75</v>
      </c>
      <c r="B50" s="9" t="n">
        <f aca="false">COUNTIFS($A$51:$A$51,$A50,$H$51:$H$51,"Factura")</f>
        <v>1</v>
      </c>
      <c r="C50" s="8"/>
      <c r="D50" s="8"/>
      <c r="E50" s="10" t="n">
        <f aca="false">SUM(E51:E51)</f>
        <v>83.58</v>
      </c>
      <c r="F50" s="10" t="n">
        <f aca="false">SUM(F51:F51)</f>
        <v>3.93</v>
      </c>
      <c r="G50" s="10" t="n">
        <f aca="false">SUM(G51:G51)</f>
        <v>87.51</v>
      </c>
      <c r="H50" s="8" t="s">
        <v>12</v>
      </c>
      <c r="I50" s="8"/>
    </row>
    <row r="51" customFormat="false" ht="15" hidden="false" customHeight="false" outlineLevel="0" collapsed="false">
      <c r="A51" s="0" t="s">
        <v>75</v>
      </c>
      <c r="B51" s="0" t="s">
        <v>76</v>
      </c>
      <c r="C51" s="11" t="n">
        <v>45794</v>
      </c>
      <c r="D51" s="12" t="s">
        <v>45</v>
      </c>
      <c r="E51" s="5" t="n">
        <v>83.58</v>
      </c>
      <c r="F51" s="5" t="n">
        <v>3.93</v>
      </c>
      <c r="G51" s="5" t="n">
        <v>87.51</v>
      </c>
      <c r="H51" s="12" t="s">
        <v>15</v>
      </c>
      <c r="I51" s="0" t="n">
        <v>43</v>
      </c>
    </row>
    <row r="52" customFormat="false" ht="15" hidden="false" customHeight="false" outlineLevel="0" collapsed="false">
      <c r="A52" s="8" t="s">
        <v>77</v>
      </c>
      <c r="B52" s="9" t="n">
        <f aca="false">COUNTIFS($A$53:$A$53,$A52,$H$53:$H$53,"Factura")</f>
        <v>1</v>
      </c>
      <c r="C52" s="8"/>
      <c r="D52" s="8"/>
      <c r="E52" s="10" t="n">
        <f aca="false">SUM(E53:E53)</f>
        <v>33.03</v>
      </c>
      <c r="F52" s="10" t="n">
        <f aca="false">SUM(F53:F53)</f>
        <v>2.31</v>
      </c>
      <c r="G52" s="10" t="n">
        <f aca="false">SUM(G53:G53)</f>
        <v>35.34</v>
      </c>
      <c r="H52" s="8" t="s">
        <v>12</v>
      </c>
      <c r="I52" s="8"/>
    </row>
    <row r="53" customFormat="false" ht="15" hidden="false" customHeight="false" outlineLevel="0" collapsed="false">
      <c r="A53" s="0" t="s">
        <v>77</v>
      </c>
      <c r="B53" s="0" t="s">
        <v>78</v>
      </c>
      <c r="C53" s="11" t="n">
        <v>45686</v>
      </c>
      <c r="D53" s="12" t="s">
        <v>18</v>
      </c>
      <c r="E53" s="5" t="n">
        <v>33.03</v>
      </c>
      <c r="F53" s="5" t="n">
        <v>2.31</v>
      </c>
      <c r="G53" s="5" t="n">
        <v>35.34</v>
      </c>
      <c r="H53" s="12" t="s">
        <v>15</v>
      </c>
      <c r="I53" s="0" t="n">
        <v>1</v>
      </c>
    </row>
    <row r="54" customFormat="false" ht="15" hidden="false" customHeight="false" outlineLevel="0" collapsed="false">
      <c r="A54" s="8" t="s">
        <v>79</v>
      </c>
      <c r="B54" s="9" t="n">
        <f aca="false">COUNTIFS($A$55:$A$59,$A54,$H$55:$H$59,"Factura")</f>
        <v>5</v>
      </c>
      <c r="C54" s="8"/>
      <c r="D54" s="8"/>
      <c r="E54" s="10" t="n">
        <f aca="false">SUM(E55:E59)</f>
        <v>263.65</v>
      </c>
      <c r="F54" s="10" t="n">
        <f aca="false">SUM(F55:F59)</f>
        <v>10.7</v>
      </c>
      <c r="G54" s="10" t="n">
        <f aca="false">SUM(G55:G59)</f>
        <v>274.35</v>
      </c>
      <c r="H54" s="8" t="s">
        <v>12</v>
      </c>
      <c r="I54" s="8"/>
    </row>
    <row r="55" customFormat="false" ht="15" hidden="false" customHeight="false" outlineLevel="0" collapsed="false">
      <c r="A55" s="0" t="s">
        <v>79</v>
      </c>
      <c r="B55" s="0" t="s">
        <v>80</v>
      </c>
      <c r="C55" s="11" t="n">
        <v>45694</v>
      </c>
      <c r="D55" s="12" t="s">
        <v>35</v>
      </c>
      <c r="E55" s="5" t="n">
        <v>27.86</v>
      </c>
      <c r="F55" s="5" t="n">
        <v>1.03</v>
      </c>
      <c r="G55" s="5" t="n">
        <v>28.89</v>
      </c>
      <c r="H55" s="12" t="s">
        <v>15</v>
      </c>
      <c r="I55" s="0" t="n">
        <v>13</v>
      </c>
    </row>
    <row r="56" customFormat="false" ht="15" hidden="false" customHeight="false" outlineLevel="0" collapsed="false">
      <c r="A56" s="0" t="s">
        <v>79</v>
      </c>
      <c r="B56" s="0" t="s">
        <v>81</v>
      </c>
      <c r="C56" s="11" t="n">
        <v>45694</v>
      </c>
      <c r="D56" s="12" t="s">
        <v>45</v>
      </c>
      <c r="E56" s="5" t="n">
        <v>83.77</v>
      </c>
      <c r="F56" s="5" t="n">
        <v>4.01</v>
      </c>
      <c r="G56" s="5" t="n">
        <v>87.78</v>
      </c>
      <c r="H56" s="12" t="s">
        <v>15</v>
      </c>
      <c r="I56" s="0" t="n">
        <v>15</v>
      </c>
    </row>
    <row r="57" customFormat="false" ht="15" hidden="false" customHeight="false" outlineLevel="0" collapsed="false">
      <c r="A57" s="0" t="s">
        <v>79</v>
      </c>
      <c r="B57" s="0" t="s">
        <v>82</v>
      </c>
      <c r="C57" s="11" t="n">
        <v>45813</v>
      </c>
      <c r="D57" s="12" t="s">
        <v>45</v>
      </c>
      <c r="E57" s="5" t="n">
        <v>44.29</v>
      </c>
      <c r="F57" s="5" t="n">
        <v>3.04</v>
      </c>
      <c r="G57" s="5" t="n">
        <v>47.33</v>
      </c>
      <c r="H57" s="12" t="s">
        <v>15</v>
      </c>
      <c r="I57" s="0" t="n">
        <v>21</v>
      </c>
    </row>
    <row r="58" customFormat="false" ht="15" hidden="false" customHeight="false" outlineLevel="0" collapsed="false">
      <c r="A58" s="0" t="s">
        <v>79</v>
      </c>
      <c r="B58" s="0" t="s">
        <v>83</v>
      </c>
      <c r="C58" s="11" t="n">
        <v>45801</v>
      </c>
      <c r="D58" s="12" t="s">
        <v>18</v>
      </c>
      <c r="E58" s="5" t="n">
        <v>14.78</v>
      </c>
      <c r="F58" s="5" t="n">
        <v>1.03</v>
      </c>
      <c r="G58" s="5" t="n">
        <v>15.81</v>
      </c>
      <c r="H58" s="12" t="s">
        <v>15</v>
      </c>
      <c r="I58" s="0" t="n">
        <v>25</v>
      </c>
    </row>
    <row r="59" customFormat="false" ht="15" hidden="false" customHeight="false" outlineLevel="0" collapsed="false">
      <c r="A59" s="0" t="s">
        <v>79</v>
      </c>
      <c r="B59" s="0" t="s">
        <v>84</v>
      </c>
      <c r="C59" s="11" t="n">
        <v>45801</v>
      </c>
      <c r="D59" s="12" t="s">
        <v>45</v>
      </c>
      <c r="E59" s="5" t="n">
        <v>92.95</v>
      </c>
      <c r="F59" s="5" t="n">
        <v>1.59</v>
      </c>
      <c r="G59" s="5" t="n">
        <v>94.54</v>
      </c>
      <c r="H59" s="12" t="s">
        <v>15</v>
      </c>
      <c r="I59" s="0" t="n">
        <v>34</v>
      </c>
    </row>
    <row r="60" customFormat="false" ht="15" hidden="false" customHeight="false" outlineLevel="0" collapsed="false">
      <c r="A60" s="8" t="s">
        <v>85</v>
      </c>
      <c r="B60" s="9" t="n">
        <f aca="false">COUNTIFS($A$61:$A$61,$A60,$H$61:$H$61,"Factura")</f>
        <v>1</v>
      </c>
      <c r="C60" s="8"/>
      <c r="D60" s="8"/>
      <c r="E60" s="10" t="n">
        <f aca="false">SUM(E61:E61)</f>
        <v>20.1</v>
      </c>
      <c r="F60" s="10" t="n">
        <f aca="false">SUM(F61:F61)</f>
        <v>3.56</v>
      </c>
      <c r="G60" s="10" t="n">
        <f aca="false">SUM(G61:G61)</f>
        <v>23.66</v>
      </c>
      <c r="H60" s="8" t="s">
        <v>12</v>
      </c>
      <c r="I60" s="8"/>
    </row>
    <row r="61" customFormat="false" ht="15" hidden="false" customHeight="false" outlineLevel="0" collapsed="false">
      <c r="A61" s="0" t="s">
        <v>85</v>
      </c>
      <c r="B61" s="0" t="s">
        <v>86</v>
      </c>
      <c r="C61" s="11" t="n">
        <v>45688</v>
      </c>
      <c r="D61" s="12" t="s">
        <v>18</v>
      </c>
      <c r="E61" s="5" t="n">
        <v>20.1</v>
      </c>
      <c r="F61" s="5" t="n">
        <v>3.56</v>
      </c>
      <c r="G61" s="5" t="n">
        <v>23.66</v>
      </c>
      <c r="H61" s="12" t="s">
        <v>15</v>
      </c>
      <c r="I61" s="0" t="n">
        <v>8</v>
      </c>
    </row>
    <row r="62" customFormat="false" ht="15" hidden="false" customHeight="false" outlineLevel="0" collapsed="false">
      <c r="A62" s="8" t="s">
        <v>87</v>
      </c>
      <c r="B62" s="9" t="n">
        <f aca="false">COUNTIFS($A$63:$A$63,$A62,$H$63:$H$63,"Factura")</f>
        <v>1</v>
      </c>
      <c r="C62" s="8"/>
      <c r="D62" s="8"/>
      <c r="E62" s="10" t="n">
        <f aca="false">SUM(E63:E63)</f>
        <v>27.72</v>
      </c>
      <c r="F62" s="10" t="n">
        <f aca="false">SUM(F63:F63)</f>
        <v>1.94</v>
      </c>
      <c r="G62" s="10" t="n">
        <f aca="false">SUM(G63:G63)</f>
        <v>29.66</v>
      </c>
      <c r="H62" s="8" t="s">
        <v>12</v>
      </c>
      <c r="I62" s="8"/>
    </row>
    <row r="63" customFormat="false" ht="15" hidden="false" customHeight="false" outlineLevel="0" collapsed="false">
      <c r="A63" s="0" t="s">
        <v>87</v>
      </c>
      <c r="B63" s="0" t="s">
        <v>88</v>
      </c>
      <c r="C63" s="11" t="n">
        <v>45813</v>
      </c>
      <c r="D63" s="12" t="s">
        <v>89</v>
      </c>
      <c r="E63" s="5" t="n">
        <v>27.72</v>
      </c>
      <c r="F63" s="5" t="n">
        <v>1.94</v>
      </c>
      <c r="G63" s="5" t="n">
        <v>29.66</v>
      </c>
      <c r="H63" s="12" t="s">
        <v>15</v>
      </c>
      <c r="I63" s="0" t="n">
        <v>18</v>
      </c>
    </row>
    <row r="64" customFormat="false" ht="15" hidden="false" customHeight="false" outlineLevel="0" collapsed="false">
      <c r="A64" s="8" t="s">
        <v>90</v>
      </c>
      <c r="B64" s="9" t="n">
        <f aca="false">COUNTIFS($A$65:$A$68,$A64,$H$65:$H$68,"Factura")</f>
        <v>4</v>
      </c>
      <c r="C64" s="8"/>
      <c r="D64" s="8"/>
      <c r="E64" s="10" t="n">
        <f aca="false">SUM(E65:E68)</f>
        <v>518.54</v>
      </c>
      <c r="F64" s="10" t="n">
        <f aca="false">SUM(F65:F68)</f>
        <v>34.9</v>
      </c>
      <c r="G64" s="10" t="n">
        <f aca="false">SUM(G65:G68)</f>
        <v>553.44</v>
      </c>
      <c r="H64" s="8" t="s">
        <v>12</v>
      </c>
      <c r="I64" s="8"/>
    </row>
    <row r="65" customFormat="false" ht="15" hidden="false" customHeight="false" outlineLevel="0" collapsed="false">
      <c r="A65" s="0" t="s">
        <v>90</v>
      </c>
      <c r="B65" s="0" t="s">
        <v>91</v>
      </c>
      <c r="C65" s="11" t="n">
        <v>45695</v>
      </c>
      <c r="D65" s="12" t="s">
        <v>92</v>
      </c>
      <c r="E65" s="5" t="n">
        <v>11.97</v>
      </c>
      <c r="F65" s="5" t="n">
        <v>0.84</v>
      </c>
      <c r="G65" s="5" t="n">
        <v>12.81</v>
      </c>
      <c r="H65" s="12" t="s">
        <v>15</v>
      </c>
      <c r="I65" s="0" t="n">
        <v>17</v>
      </c>
    </row>
    <row r="66" customFormat="false" ht="15" hidden="false" customHeight="false" outlineLevel="0" collapsed="false">
      <c r="A66" s="0" t="s">
        <v>90</v>
      </c>
      <c r="B66" s="0" t="s">
        <v>93</v>
      </c>
      <c r="C66" s="11" t="n">
        <v>45798</v>
      </c>
      <c r="D66" s="12" t="s">
        <v>94</v>
      </c>
      <c r="E66" s="5" t="n">
        <v>243.23</v>
      </c>
      <c r="F66" s="5" t="n">
        <v>16.19</v>
      </c>
      <c r="G66" s="5" t="n">
        <v>259.42</v>
      </c>
      <c r="H66" s="12" t="s">
        <v>15</v>
      </c>
      <c r="I66" s="0" t="n">
        <v>24</v>
      </c>
    </row>
    <row r="67" customFormat="false" ht="15" hidden="false" customHeight="false" outlineLevel="0" collapsed="false">
      <c r="A67" s="0" t="s">
        <v>90</v>
      </c>
      <c r="B67" s="0" t="s">
        <v>95</v>
      </c>
      <c r="C67" s="11" t="n">
        <v>45805</v>
      </c>
      <c r="D67" s="12" t="s">
        <v>96</v>
      </c>
      <c r="E67" s="5" t="n">
        <v>230.44</v>
      </c>
      <c r="F67" s="5" t="n">
        <v>15.57</v>
      </c>
      <c r="G67" s="5" t="n">
        <v>246.01</v>
      </c>
      <c r="H67" s="12" t="s">
        <v>15</v>
      </c>
      <c r="I67" s="0" t="n">
        <v>27</v>
      </c>
    </row>
    <row r="68" customFormat="false" ht="15" hidden="false" customHeight="false" outlineLevel="0" collapsed="false">
      <c r="A68" s="0" t="s">
        <v>90</v>
      </c>
      <c r="B68" s="0" t="s">
        <v>97</v>
      </c>
      <c r="C68" s="11" t="n">
        <v>45806</v>
      </c>
      <c r="D68" s="12" t="s">
        <v>98</v>
      </c>
      <c r="E68" s="5" t="n">
        <v>32.9</v>
      </c>
      <c r="F68" s="5" t="n">
        <v>2.3</v>
      </c>
      <c r="G68" s="5" t="n">
        <v>35.2</v>
      </c>
      <c r="H68" s="12" t="s">
        <v>15</v>
      </c>
      <c r="I68" s="0" t="n">
        <v>32</v>
      </c>
    </row>
    <row r="69" customFormat="false" ht="15" hidden="false" customHeight="false" outlineLevel="0" collapsed="false">
      <c r="A69" s="8" t="s">
        <v>99</v>
      </c>
      <c r="B69" s="9" t="n">
        <f aca="false">COUNTIFS($A$70:$A$70,$A69,$H$70:$H$70,"Factura")</f>
        <v>1</v>
      </c>
      <c r="C69" s="8"/>
      <c r="D69" s="8"/>
      <c r="E69" s="10" t="n">
        <f aca="false">SUM(E70:E70)</f>
        <v>16.2</v>
      </c>
      <c r="F69" s="10" t="n">
        <f aca="false">SUM(F70:F70)</f>
        <v>1.3</v>
      </c>
      <c r="G69" s="10" t="n">
        <f aca="false">SUM(G70:G70)</f>
        <v>17.5</v>
      </c>
      <c r="H69" s="8" t="s">
        <v>12</v>
      </c>
      <c r="I69" s="8"/>
    </row>
    <row r="70" customFormat="false" ht="15" hidden="false" customHeight="false" outlineLevel="0" collapsed="false">
      <c r="A70" s="0" t="s">
        <v>99</v>
      </c>
      <c r="B70" s="0" t="s">
        <v>100</v>
      </c>
      <c r="C70" s="11" t="n">
        <v>45813</v>
      </c>
      <c r="D70" s="12" t="s">
        <v>18</v>
      </c>
      <c r="E70" s="5" t="n">
        <v>16.2</v>
      </c>
      <c r="F70" s="5" t="n">
        <v>1.3</v>
      </c>
      <c r="G70" s="5" t="n">
        <v>17.5</v>
      </c>
      <c r="H70" s="12" t="s">
        <v>15</v>
      </c>
      <c r="I70" s="0" t="n">
        <v>19</v>
      </c>
    </row>
    <row r="71" customFormat="false" ht="15" hidden="false" customHeight="false" outlineLevel="0" collapsed="false">
      <c r="A71" s="8" t="s">
        <v>101</v>
      </c>
      <c r="B71" s="9" t="n">
        <f aca="false">COUNTIFS($A$72:$A$72,$A71,$H$72:$H$72,"Factura")</f>
        <v>1</v>
      </c>
      <c r="C71" s="8"/>
      <c r="D71" s="8"/>
      <c r="E71" s="10" t="n">
        <f aca="false">SUM(E72:E72)</f>
        <v>3.5</v>
      </c>
      <c r="F71" s="10" t="n">
        <f aca="false">SUM(F72:F72)</f>
        <v>0.25</v>
      </c>
      <c r="G71" s="10" t="n">
        <f aca="false">SUM(G72:G72)</f>
        <v>3.75</v>
      </c>
      <c r="H71" s="8" t="s">
        <v>12</v>
      </c>
      <c r="I71" s="8"/>
    </row>
    <row r="72" customFormat="false" ht="15" hidden="false" customHeight="false" outlineLevel="0" collapsed="false">
      <c r="A72" s="0" t="s">
        <v>101</v>
      </c>
      <c r="B72" s="0" t="s">
        <v>102</v>
      </c>
      <c r="C72" s="11" t="n">
        <v>45798</v>
      </c>
      <c r="D72" s="12" t="s">
        <v>103</v>
      </c>
      <c r="E72" s="5" t="n">
        <v>3.5</v>
      </c>
      <c r="F72" s="5" t="n">
        <v>0.25</v>
      </c>
      <c r="G72" s="5" t="n">
        <v>3.75</v>
      </c>
      <c r="H72" s="12" t="s">
        <v>15</v>
      </c>
      <c r="I72" s="0" t="n">
        <v>48</v>
      </c>
    </row>
    <row r="73" customFormat="false" ht="15" hidden="false" customHeight="false" outlineLevel="0" collapsed="false">
      <c r="A73" s="8" t="s">
        <v>104</v>
      </c>
      <c r="B73" s="9" t="n">
        <f aca="false">COUNTIFS($A$74:$A$75,$A73,$H$74:$H$75,"Factura")</f>
        <v>2</v>
      </c>
      <c r="C73" s="8"/>
      <c r="D73" s="8"/>
      <c r="E73" s="10" t="n">
        <f aca="false">SUM(E74:E75)</f>
        <v>367.19</v>
      </c>
      <c r="F73" s="10" t="n">
        <f aca="false">SUM(F74:F75)</f>
        <v>24.52</v>
      </c>
      <c r="G73" s="10" t="n">
        <f aca="false">SUM(G74:G75)</f>
        <v>391.71</v>
      </c>
      <c r="H73" s="8" t="s">
        <v>12</v>
      </c>
      <c r="I73" s="8"/>
    </row>
    <row r="74" customFormat="false" ht="15" hidden="false" customHeight="false" outlineLevel="0" collapsed="false">
      <c r="A74" s="0" t="s">
        <v>104</v>
      </c>
      <c r="B74" s="0" t="s">
        <v>105</v>
      </c>
      <c r="C74" s="11" t="n">
        <v>45813</v>
      </c>
      <c r="D74" s="12" t="s">
        <v>45</v>
      </c>
      <c r="E74" s="5" t="n">
        <v>169.22</v>
      </c>
      <c r="F74" s="5" t="n">
        <v>10.66</v>
      </c>
      <c r="G74" s="5" t="n">
        <v>179.88</v>
      </c>
      <c r="H74" s="12" t="s">
        <v>15</v>
      </c>
      <c r="I74" s="0" t="n">
        <v>22</v>
      </c>
    </row>
    <row r="75" customFormat="false" ht="15" hidden="false" customHeight="false" outlineLevel="0" collapsed="false">
      <c r="A75" s="0" t="s">
        <v>104</v>
      </c>
      <c r="B75" s="0" t="s">
        <v>106</v>
      </c>
      <c r="C75" s="11" t="n">
        <v>45792</v>
      </c>
      <c r="D75" s="12" t="s">
        <v>45</v>
      </c>
      <c r="E75" s="5" t="n">
        <v>197.97</v>
      </c>
      <c r="F75" s="5" t="n">
        <v>13.86</v>
      </c>
      <c r="G75" s="5" t="n">
        <v>211.83</v>
      </c>
      <c r="H75" s="12" t="s">
        <v>15</v>
      </c>
      <c r="I75" s="0" t="n">
        <v>44</v>
      </c>
    </row>
    <row r="76" customFormat="false" ht="15" hidden="false" customHeight="false" outlineLevel="0" collapsed="false">
      <c r="A76" s="8" t="s">
        <v>107</v>
      </c>
      <c r="B76" s="9" t="n">
        <f aca="false">COUNTIFS($A$77:$A$77,$A76,$H$77:$H$77,"Factura")</f>
        <v>1</v>
      </c>
      <c r="C76" s="8"/>
      <c r="D76" s="8"/>
      <c r="E76" s="10" t="n">
        <f aca="false">SUM(E77:E77)</f>
        <v>11.89</v>
      </c>
      <c r="F76" s="10" t="n">
        <f aca="false">SUM(F77:F77)</f>
        <v>0.84</v>
      </c>
      <c r="G76" s="10" t="n">
        <f aca="false">SUM(G77:G77)</f>
        <v>12.73</v>
      </c>
      <c r="H76" s="8" t="s">
        <v>12</v>
      </c>
      <c r="I76" s="8"/>
    </row>
    <row r="77" customFormat="false" ht="15" hidden="false" customHeight="false" outlineLevel="0" collapsed="false">
      <c r="A77" s="0" t="s">
        <v>107</v>
      </c>
      <c r="B77" s="0" t="s">
        <v>108</v>
      </c>
      <c r="C77" s="11" t="n">
        <v>45695</v>
      </c>
      <c r="D77" s="12" t="s">
        <v>35</v>
      </c>
      <c r="E77" s="5" t="n">
        <v>11.89</v>
      </c>
      <c r="F77" s="5" t="n">
        <v>0.84</v>
      </c>
      <c r="G77" s="5" t="n">
        <v>12.73</v>
      </c>
      <c r="H77" s="12" t="s">
        <v>15</v>
      </c>
      <c r="I77" s="0" t="n">
        <v>16</v>
      </c>
    </row>
    <row r="78" customFormat="false" ht="15" hidden="false" customHeight="false" outlineLevel="0" collapsed="false">
      <c r="A78" s="8" t="s">
        <v>109</v>
      </c>
      <c r="B78" s="9" t="n">
        <f aca="false">COUNTIFS($A$79:$A$79,$A78,$H$79:$H$79,"Factura")</f>
        <v>1</v>
      </c>
      <c r="C78" s="8"/>
      <c r="D78" s="8"/>
      <c r="E78" s="10" t="n">
        <f aca="false">SUM(E79:E79)</f>
        <v>6</v>
      </c>
      <c r="F78" s="10" t="n">
        <f aca="false">SUM(F79:F79)</f>
        <v>0</v>
      </c>
      <c r="G78" s="10" t="n">
        <f aca="false">SUM(G79:G79)</f>
        <v>6</v>
      </c>
      <c r="H78" s="8" t="s">
        <v>12</v>
      </c>
      <c r="I78" s="8"/>
    </row>
    <row r="79" customFormat="false" ht="15" hidden="false" customHeight="false" outlineLevel="0" collapsed="false">
      <c r="A79" s="0" t="s">
        <v>109</v>
      </c>
      <c r="B79" s="0" t="s">
        <v>110</v>
      </c>
      <c r="C79" s="11" t="n">
        <v>45796</v>
      </c>
      <c r="D79" s="12" t="s">
        <v>71</v>
      </c>
      <c r="E79" s="5" t="n">
        <v>6</v>
      </c>
      <c r="F79" s="5" t="n">
        <v>0</v>
      </c>
      <c r="G79" s="5" t="n">
        <v>6</v>
      </c>
      <c r="H79" s="12" t="s">
        <v>15</v>
      </c>
      <c r="I79" s="0" t="n">
        <v>20</v>
      </c>
    </row>
  </sheetData>
  <autoFilter ref="A4:I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2:M62"/>
  <sheetViews>
    <sheetView showFormulas="false" showGridLines="false" showRowColHeaders="true" showZeros="true" rightToLeft="false" tabSelected="true" showOutlineSymbols="true" defaultGridColor="true" view="normal" topLeftCell="A1" colorId="64" zoomScale="40" zoomScaleNormal="40" zoomScalePageLayoutView="40" workbookViewId="0">
      <selection pane="topLeft" activeCell="O8" activeCellId="0" sqref="O8"/>
    </sheetView>
  </sheetViews>
  <sheetFormatPr defaultColWidth="11.4453125" defaultRowHeight="35.25" zeroHeight="false" outlineLevelRow="0" outlineLevelCol="0"/>
  <cols>
    <col collapsed="false" customWidth="true" hidden="false" outlineLevel="0" max="1" min="1" style="13" width="8.67"/>
    <col collapsed="false" customWidth="true" hidden="false" outlineLevel="0" max="2" min="2" style="13" width="13.22"/>
    <col collapsed="false" customWidth="true" hidden="true" outlineLevel="0" max="3" min="3" style="14" width="40.67"/>
    <col collapsed="false" customWidth="true" hidden="false" outlineLevel="0" max="4" min="4" style="15" width="79"/>
    <col collapsed="false" customWidth="true" hidden="false" outlineLevel="0" max="5" min="5" style="15" width="37"/>
    <col collapsed="false" customWidth="true" hidden="false" outlineLevel="0" max="6" min="6" style="15" width="98.67"/>
    <col collapsed="false" customWidth="true" hidden="false" outlineLevel="0" max="7" min="7" style="16" width="111.88"/>
    <col collapsed="false" customWidth="true" hidden="true" outlineLevel="0" max="8" min="8" style="15" width="41.56"/>
    <col collapsed="false" customWidth="true" hidden="true" outlineLevel="0" max="9" min="9" style="15" width="30.56"/>
    <col collapsed="false" customWidth="true" hidden="false" outlineLevel="0" max="10" min="10" style="17" width="26.33"/>
    <col collapsed="false" customWidth="true" hidden="false" outlineLevel="0" max="11" min="11" style="17" width="38.67"/>
    <col collapsed="false" customWidth="true" hidden="true" outlineLevel="0" max="12" min="12" style="17" width="35.89"/>
    <col collapsed="false" customWidth="true" hidden="false" outlineLevel="0" max="13" min="13" style="17" width="48.67"/>
    <col collapsed="false" customWidth="true" hidden="false" outlineLevel="0" max="14" min="14" style="15" width="29.11"/>
    <col collapsed="false" customWidth="true" hidden="false" outlineLevel="0" max="15" min="15" style="15" width="33.11"/>
    <col collapsed="false" customWidth="true" hidden="false" outlineLevel="0" max="16" min="16" style="15" width="41.33"/>
    <col collapsed="false" customWidth="false" hidden="false" outlineLevel="0" max="16384" min="17" style="15" width="11.44"/>
  </cols>
  <sheetData>
    <row r="2" customFormat="false" ht="35.25" hidden="false" customHeight="false" outlineLevel="0" collapsed="false">
      <c r="C2" s="18"/>
      <c r="D2" s="19"/>
      <c r="E2" s="20"/>
      <c r="F2" s="19"/>
      <c r="G2" s="21"/>
      <c r="H2" s="19"/>
      <c r="I2" s="19"/>
      <c r="J2" s="22"/>
      <c r="K2" s="22"/>
    </row>
    <row r="3" customFormat="false" ht="35.25" hidden="false" customHeight="false" outlineLevel="0" collapsed="false">
      <c r="C3" s="15"/>
    </row>
    <row r="4" customFormat="false" ht="60" hidden="false" customHeight="true" outlineLevel="0" collapsed="false">
      <c r="C4" s="23" t="s">
        <v>111</v>
      </c>
      <c r="D4" s="23"/>
      <c r="E4" s="23"/>
      <c r="F4" s="23"/>
      <c r="G4" s="23"/>
      <c r="H4" s="23"/>
      <c r="I4" s="23"/>
      <c r="J4" s="23"/>
      <c r="K4" s="23"/>
    </row>
    <row r="5" customFormat="false" ht="60" hidden="false" customHeight="true" outlineLevel="0" collapsed="false">
      <c r="C5" s="23" t="s">
        <v>112</v>
      </c>
      <c r="D5" s="23"/>
      <c r="E5" s="23"/>
      <c r="F5" s="23"/>
      <c r="G5" s="23"/>
      <c r="H5" s="23"/>
      <c r="I5" s="23"/>
      <c r="J5" s="23"/>
      <c r="K5" s="23"/>
      <c r="L5" s="24"/>
      <c r="M5" s="25"/>
    </row>
    <row r="6" customFormat="false" ht="35.25" hidden="false" customHeight="false" outlineLevel="0" collapsed="false">
      <c r="C6" s="18"/>
      <c r="D6" s="19"/>
      <c r="E6" s="20"/>
      <c r="F6" s="19"/>
      <c r="G6" s="21"/>
      <c r="H6" s="19"/>
      <c r="I6" s="19"/>
      <c r="J6" s="22"/>
      <c r="K6" s="22"/>
      <c r="M6" s="26"/>
    </row>
    <row r="7" customFormat="false" ht="15" hidden="false" customHeight="true" outlineLevel="0" collapsed="false">
      <c r="A7" s="27"/>
      <c r="B7" s="28" t="s">
        <v>113</v>
      </c>
      <c r="C7" s="27" t="s">
        <v>114</v>
      </c>
      <c r="D7" s="29" t="s">
        <v>115</v>
      </c>
      <c r="E7" s="30" t="s">
        <v>116</v>
      </c>
      <c r="F7" s="30" t="s">
        <v>117</v>
      </c>
      <c r="G7" s="30" t="s">
        <v>118</v>
      </c>
      <c r="H7" s="30" t="s">
        <v>119</v>
      </c>
      <c r="I7" s="30" t="s">
        <v>120</v>
      </c>
      <c r="J7" s="31" t="s">
        <v>121</v>
      </c>
      <c r="K7" s="31" t="s">
        <v>7</v>
      </c>
      <c r="L7" s="31" t="s">
        <v>122</v>
      </c>
      <c r="M7" s="32" t="s">
        <v>123</v>
      </c>
    </row>
    <row r="8" customFormat="false" ht="45.75" hidden="false" customHeight="true" outlineLevel="0" collapsed="false">
      <c r="A8" s="27"/>
      <c r="B8" s="28"/>
      <c r="C8" s="27"/>
      <c r="D8" s="29"/>
      <c r="E8" s="30"/>
      <c r="F8" s="30"/>
      <c r="G8" s="30"/>
      <c r="H8" s="30"/>
      <c r="I8" s="30"/>
      <c r="J8" s="30"/>
      <c r="K8" s="30"/>
      <c r="L8" s="30"/>
      <c r="M8" s="30"/>
    </row>
    <row r="9" customFormat="false" ht="36" hidden="false" customHeight="true" outlineLevel="0" collapsed="false">
      <c r="A9" s="33" t="n">
        <v>1</v>
      </c>
      <c r="B9" s="34"/>
      <c r="C9" s="35"/>
      <c r="D9" s="36" t="s">
        <v>78</v>
      </c>
      <c r="E9" s="37" t="s">
        <v>124</v>
      </c>
      <c r="F9" s="38" t="s">
        <v>77</v>
      </c>
      <c r="G9" s="38" t="s">
        <v>18</v>
      </c>
      <c r="H9" s="39"/>
      <c r="I9" s="40"/>
      <c r="J9" s="41" t="n">
        <v>33.03</v>
      </c>
      <c r="K9" s="42" t="n">
        <v>2.31</v>
      </c>
      <c r="L9" s="43"/>
      <c r="M9" s="44" t="n">
        <f aca="false">J9+K9</f>
        <v>35.34</v>
      </c>
    </row>
    <row r="10" customFormat="false" ht="36" hidden="false" customHeight="true" outlineLevel="0" collapsed="false">
      <c r="A10" s="33" t="n">
        <v>2</v>
      </c>
      <c r="B10" s="34"/>
      <c r="C10" s="35"/>
      <c r="D10" s="36" t="s">
        <v>56</v>
      </c>
      <c r="E10" s="37" t="s">
        <v>125</v>
      </c>
      <c r="F10" s="38" t="s">
        <v>55</v>
      </c>
      <c r="G10" s="38" t="s">
        <v>57</v>
      </c>
      <c r="H10" s="39"/>
      <c r="I10" s="40"/>
      <c r="J10" s="41" t="n">
        <v>100.97</v>
      </c>
      <c r="K10" s="45" t="n">
        <v>7.07</v>
      </c>
      <c r="L10" s="43"/>
      <c r="M10" s="44" t="n">
        <f aca="false">J10+K10</f>
        <v>108.04</v>
      </c>
    </row>
    <row r="11" customFormat="false" ht="36" hidden="false" customHeight="true" outlineLevel="0" collapsed="false">
      <c r="A11" s="33" t="n">
        <v>3</v>
      </c>
      <c r="B11" s="34"/>
      <c r="C11" s="35"/>
      <c r="D11" s="36" t="s">
        <v>58</v>
      </c>
      <c r="E11" s="37" t="s">
        <v>125</v>
      </c>
      <c r="F11" s="38" t="s">
        <v>55</v>
      </c>
      <c r="G11" s="38" t="s">
        <v>35</v>
      </c>
      <c r="H11" s="39"/>
      <c r="I11" s="40"/>
      <c r="J11" s="41" t="n">
        <v>16.47</v>
      </c>
      <c r="K11" s="42" t="n">
        <v>1.15</v>
      </c>
      <c r="L11" s="43"/>
      <c r="M11" s="44" t="n">
        <f aca="false">J11+K11</f>
        <v>17.62</v>
      </c>
    </row>
    <row r="12" customFormat="false" ht="36" hidden="false" customHeight="true" outlineLevel="0" collapsed="false">
      <c r="A12" s="33" t="n">
        <v>4</v>
      </c>
      <c r="B12" s="46"/>
      <c r="C12" s="35"/>
      <c r="D12" s="36" t="s">
        <v>59</v>
      </c>
      <c r="E12" s="37" t="s">
        <v>126</v>
      </c>
      <c r="F12" s="38" t="s">
        <v>55</v>
      </c>
      <c r="G12" s="38" t="s">
        <v>60</v>
      </c>
      <c r="H12" s="39"/>
      <c r="I12" s="40"/>
      <c r="J12" s="41" t="n">
        <v>1634.8</v>
      </c>
      <c r="K12" s="42" t="n">
        <v>114.44</v>
      </c>
      <c r="L12" s="43"/>
      <c r="M12" s="44" t="n">
        <f aca="false">J12+K12</f>
        <v>1749.24</v>
      </c>
    </row>
    <row r="13" customFormat="false" ht="36" hidden="false" customHeight="true" outlineLevel="0" collapsed="false">
      <c r="A13" s="33" t="n">
        <v>5</v>
      </c>
      <c r="B13" s="34"/>
      <c r="C13" s="35"/>
      <c r="D13" s="36" t="s">
        <v>32</v>
      </c>
      <c r="E13" s="37" t="s">
        <v>127</v>
      </c>
      <c r="F13" s="38" t="s">
        <v>31</v>
      </c>
      <c r="G13" s="38" t="s">
        <v>33</v>
      </c>
      <c r="H13" s="39"/>
      <c r="I13" s="40"/>
      <c r="J13" s="41" t="n">
        <v>313.49</v>
      </c>
      <c r="K13" s="42" t="n">
        <v>16.5</v>
      </c>
      <c r="L13" s="43"/>
      <c r="M13" s="44" t="n">
        <f aca="false">J13+K13</f>
        <v>329.99</v>
      </c>
    </row>
    <row r="14" customFormat="false" ht="36" hidden="false" customHeight="true" outlineLevel="0" collapsed="false">
      <c r="A14" s="33" t="n">
        <v>6</v>
      </c>
      <c r="B14" s="34"/>
      <c r="C14" s="35"/>
      <c r="D14" s="36" t="s">
        <v>25</v>
      </c>
      <c r="E14" s="35" t="n">
        <v>45692</v>
      </c>
      <c r="F14" s="38" t="s">
        <v>24</v>
      </c>
      <c r="G14" s="38" t="s">
        <v>26</v>
      </c>
      <c r="H14" s="39"/>
      <c r="I14" s="40"/>
      <c r="J14" s="41" t="n">
        <v>5000</v>
      </c>
      <c r="K14" s="42"/>
      <c r="L14" s="43"/>
      <c r="M14" s="44" t="n">
        <f aca="false">J14+K14</f>
        <v>5000</v>
      </c>
    </row>
    <row r="15" customFormat="false" ht="36" hidden="false" customHeight="true" outlineLevel="0" collapsed="false">
      <c r="A15" s="33" t="n">
        <v>7</v>
      </c>
      <c r="B15" s="34"/>
      <c r="C15" s="35"/>
      <c r="D15" s="36" t="s">
        <v>34</v>
      </c>
      <c r="E15" s="35" t="n">
        <v>45688</v>
      </c>
      <c r="F15" s="38" t="s">
        <v>31</v>
      </c>
      <c r="G15" s="38" t="s">
        <v>35</v>
      </c>
      <c r="H15" s="39"/>
      <c r="I15" s="40"/>
      <c r="J15" s="41" t="n">
        <v>6.77</v>
      </c>
      <c r="K15" s="42" t="n">
        <v>0.47</v>
      </c>
      <c r="L15" s="43"/>
      <c r="M15" s="44" t="n">
        <f aca="false">J15+K15</f>
        <v>7.24</v>
      </c>
    </row>
    <row r="16" customFormat="false" ht="36" hidden="false" customHeight="true" outlineLevel="0" collapsed="false">
      <c r="A16" s="33" t="n">
        <v>8</v>
      </c>
      <c r="B16" s="34"/>
      <c r="C16" s="35"/>
      <c r="D16" s="36" t="s">
        <v>86</v>
      </c>
      <c r="E16" s="35" t="n">
        <v>45688</v>
      </c>
      <c r="F16" s="38" t="s">
        <v>85</v>
      </c>
      <c r="G16" s="38" t="s">
        <v>18</v>
      </c>
      <c r="H16" s="39"/>
      <c r="I16" s="40"/>
      <c r="J16" s="41" t="n">
        <v>20.1</v>
      </c>
      <c r="K16" s="42" t="n">
        <v>3.56</v>
      </c>
      <c r="L16" s="43"/>
      <c r="M16" s="44" t="n">
        <f aca="false">J16+K16</f>
        <v>23.66</v>
      </c>
    </row>
    <row r="17" customFormat="false" ht="36" hidden="false" customHeight="true" outlineLevel="0" collapsed="false">
      <c r="A17" s="33" t="n">
        <v>9</v>
      </c>
      <c r="B17" s="34"/>
      <c r="C17" s="35"/>
      <c r="D17" s="36" t="s">
        <v>54</v>
      </c>
      <c r="E17" s="35" t="n">
        <v>45690</v>
      </c>
      <c r="F17" s="38" t="s">
        <v>53</v>
      </c>
      <c r="G17" s="38" t="s">
        <v>18</v>
      </c>
      <c r="H17" s="39"/>
      <c r="I17" s="40"/>
      <c r="J17" s="41" t="n">
        <v>7.98</v>
      </c>
      <c r="K17" s="42" t="n">
        <v>0.56</v>
      </c>
      <c r="L17" s="43"/>
      <c r="M17" s="44" t="n">
        <f aca="false">J17+K17</f>
        <v>8.54</v>
      </c>
    </row>
    <row r="18" customFormat="false" ht="36" hidden="false" customHeight="true" outlineLevel="0" collapsed="false">
      <c r="A18" s="33" t="n">
        <v>10</v>
      </c>
      <c r="B18" s="34"/>
      <c r="C18" s="35"/>
      <c r="D18" s="36" t="s">
        <v>50</v>
      </c>
      <c r="E18" s="35" t="n">
        <v>45692</v>
      </c>
      <c r="F18" s="38" t="s">
        <v>49</v>
      </c>
      <c r="G18" s="38" t="s">
        <v>35</v>
      </c>
      <c r="H18" s="39"/>
      <c r="I18" s="40"/>
      <c r="J18" s="41" t="n">
        <v>25.57</v>
      </c>
      <c r="K18" s="42" t="n">
        <v>1.8</v>
      </c>
      <c r="L18" s="43"/>
      <c r="M18" s="44" t="n">
        <f aca="false">J18+K18</f>
        <v>27.37</v>
      </c>
    </row>
    <row r="19" customFormat="false" ht="36" hidden="false" customHeight="true" outlineLevel="0" collapsed="false">
      <c r="A19" s="33" t="n">
        <v>11</v>
      </c>
      <c r="B19" s="34"/>
      <c r="C19" s="35"/>
      <c r="D19" s="36" t="s">
        <v>51</v>
      </c>
      <c r="E19" s="35" t="n">
        <v>45692</v>
      </c>
      <c r="F19" s="38" t="s">
        <v>49</v>
      </c>
      <c r="G19" s="38" t="s">
        <v>52</v>
      </c>
      <c r="H19" s="39"/>
      <c r="I19" s="40"/>
      <c r="J19" s="41" t="n">
        <v>36.28</v>
      </c>
      <c r="K19" s="42" t="n">
        <v>2.54</v>
      </c>
      <c r="L19" s="43"/>
      <c r="M19" s="44" t="n">
        <f aca="false">J19+K19</f>
        <v>38.82</v>
      </c>
    </row>
    <row r="20" customFormat="false" ht="36" hidden="false" customHeight="true" outlineLevel="0" collapsed="false">
      <c r="A20" s="33" t="n">
        <v>12</v>
      </c>
      <c r="B20" s="34"/>
      <c r="C20" s="35"/>
      <c r="D20" s="36" t="s">
        <v>67</v>
      </c>
      <c r="E20" s="35" t="n">
        <v>45692</v>
      </c>
      <c r="F20" s="38" t="s">
        <v>66</v>
      </c>
      <c r="G20" s="38" t="s">
        <v>68</v>
      </c>
      <c r="H20" s="39"/>
      <c r="I20" s="40"/>
      <c r="J20" s="41" t="n">
        <v>189.99</v>
      </c>
      <c r="K20" s="42" t="n">
        <v>13.3</v>
      </c>
      <c r="L20" s="43"/>
      <c r="M20" s="44" t="n">
        <f aca="false">J20+K20</f>
        <v>203.29</v>
      </c>
    </row>
    <row r="21" customFormat="false" ht="36" hidden="false" customHeight="true" outlineLevel="0" collapsed="false">
      <c r="A21" s="33" t="n">
        <v>13</v>
      </c>
      <c r="B21" s="34"/>
      <c r="C21" s="35"/>
      <c r="D21" s="36" t="s">
        <v>80</v>
      </c>
      <c r="E21" s="35" t="n">
        <v>45694</v>
      </c>
      <c r="F21" s="38" t="s">
        <v>79</v>
      </c>
      <c r="G21" s="38" t="s">
        <v>35</v>
      </c>
      <c r="H21" s="39"/>
      <c r="I21" s="40"/>
      <c r="J21" s="41" t="n">
        <v>27.86</v>
      </c>
      <c r="K21" s="42" t="n">
        <v>1.03</v>
      </c>
      <c r="L21" s="43"/>
      <c r="M21" s="44" t="n">
        <f aca="false">J21+K21</f>
        <v>28.89</v>
      </c>
    </row>
    <row r="22" customFormat="false" ht="36" hidden="false" customHeight="true" outlineLevel="0" collapsed="false">
      <c r="A22" s="33" t="n">
        <v>14</v>
      </c>
      <c r="B22" s="34"/>
      <c r="C22" s="35"/>
      <c r="D22" s="36" t="s">
        <v>61</v>
      </c>
      <c r="E22" s="35" t="n">
        <v>45694</v>
      </c>
      <c r="F22" s="38" t="s">
        <v>55</v>
      </c>
      <c r="G22" s="38" t="s">
        <v>33</v>
      </c>
      <c r="H22" s="39"/>
      <c r="I22" s="40"/>
      <c r="J22" s="41" t="n">
        <v>165.89</v>
      </c>
      <c r="K22" s="42" t="n">
        <v>11.61</v>
      </c>
      <c r="L22" s="43"/>
      <c r="M22" s="44" t="n">
        <f aca="false">J22+K22</f>
        <v>177.5</v>
      </c>
    </row>
    <row r="23" customFormat="false" ht="36" hidden="false" customHeight="true" outlineLevel="0" collapsed="false">
      <c r="A23" s="33" t="n">
        <v>15</v>
      </c>
      <c r="B23" s="34"/>
      <c r="C23" s="35"/>
      <c r="D23" s="36" t="s">
        <v>81</v>
      </c>
      <c r="E23" s="35" t="n">
        <v>45694</v>
      </c>
      <c r="F23" s="38" t="s">
        <v>79</v>
      </c>
      <c r="G23" s="38" t="s">
        <v>45</v>
      </c>
      <c r="H23" s="39"/>
      <c r="I23" s="40"/>
      <c r="J23" s="41" t="n">
        <v>83.77</v>
      </c>
      <c r="K23" s="42" t="n">
        <v>4.01</v>
      </c>
      <c r="L23" s="43"/>
      <c r="M23" s="44" t="n">
        <f aca="false">J23+K23</f>
        <v>87.78</v>
      </c>
    </row>
    <row r="24" customFormat="false" ht="36" hidden="false" customHeight="true" outlineLevel="0" collapsed="false">
      <c r="A24" s="33" t="n">
        <v>16</v>
      </c>
      <c r="B24" s="34"/>
      <c r="C24" s="35"/>
      <c r="D24" s="36" t="s">
        <v>108</v>
      </c>
      <c r="E24" s="35" t="n">
        <v>45695</v>
      </c>
      <c r="F24" s="38" t="s">
        <v>107</v>
      </c>
      <c r="G24" s="38" t="s">
        <v>35</v>
      </c>
      <c r="H24" s="39"/>
      <c r="I24" s="40"/>
      <c r="J24" s="41" t="n">
        <v>11.89</v>
      </c>
      <c r="K24" s="42" t="n">
        <v>0.84</v>
      </c>
      <c r="L24" s="43"/>
      <c r="M24" s="44" t="n">
        <f aca="false">J24+K24</f>
        <v>12.73</v>
      </c>
    </row>
    <row r="25" customFormat="false" ht="36" hidden="false" customHeight="true" outlineLevel="0" collapsed="false">
      <c r="A25" s="33" t="n">
        <v>17</v>
      </c>
      <c r="B25" s="34"/>
      <c r="C25" s="35"/>
      <c r="D25" s="36" t="s">
        <v>91</v>
      </c>
      <c r="E25" s="35" t="n">
        <v>45695</v>
      </c>
      <c r="F25" s="38" t="s">
        <v>90</v>
      </c>
      <c r="G25" s="38" t="s">
        <v>92</v>
      </c>
      <c r="H25" s="39"/>
      <c r="I25" s="40"/>
      <c r="J25" s="41" t="n">
        <v>11.97</v>
      </c>
      <c r="K25" s="42" t="n">
        <v>0.84</v>
      </c>
      <c r="L25" s="43"/>
      <c r="M25" s="44" t="n">
        <f aca="false">J25+K25</f>
        <v>12.81</v>
      </c>
    </row>
    <row r="26" customFormat="false" ht="36" hidden="false" customHeight="true" outlineLevel="0" collapsed="false">
      <c r="A26" s="33" t="n">
        <v>18</v>
      </c>
      <c r="B26" s="34"/>
      <c r="C26" s="35"/>
      <c r="D26" s="36" t="s">
        <v>88</v>
      </c>
      <c r="E26" s="35" t="n">
        <v>45813</v>
      </c>
      <c r="F26" s="38" t="s">
        <v>87</v>
      </c>
      <c r="G26" s="38" t="s">
        <v>89</v>
      </c>
      <c r="H26" s="39"/>
      <c r="I26" s="40"/>
      <c r="J26" s="41" t="n">
        <v>27.72</v>
      </c>
      <c r="K26" s="42" t="n">
        <v>1.94</v>
      </c>
      <c r="L26" s="43"/>
      <c r="M26" s="44" t="n">
        <f aca="false">J26+K26</f>
        <v>29.66</v>
      </c>
    </row>
    <row r="27" customFormat="false" ht="36" hidden="false" customHeight="true" outlineLevel="0" collapsed="false">
      <c r="A27" s="33" t="n">
        <v>19</v>
      </c>
      <c r="B27" s="34"/>
      <c r="C27" s="35"/>
      <c r="D27" s="36" t="s">
        <v>100</v>
      </c>
      <c r="E27" s="35" t="n">
        <v>45813</v>
      </c>
      <c r="F27" s="38" t="s">
        <v>99</v>
      </c>
      <c r="G27" s="38" t="s">
        <v>18</v>
      </c>
      <c r="H27" s="47"/>
      <c r="I27" s="48"/>
      <c r="J27" s="41" t="n">
        <v>16.2</v>
      </c>
      <c r="K27" s="42" t="n">
        <v>1.3</v>
      </c>
      <c r="L27" s="43"/>
      <c r="M27" s="44" t="n">
        <f aca="false">J27+K27</f>
        <v>17.5</v>
      </c>
    </row>
    <row r="28" customFormat="false" ht="36" hidden="false" customHeight="true" outlineLevel="0" collapsed="false">
      <c r="A28" s="33" t="n">
        <v>20</v>
      </c>
      <c r="B28" s="34"/>
      <c r="C28" s="35"/>
      <c r="D28" s="36" t="s">
        <v>110</v>
      </c>
      <c r="E28" s="35" t="n">
        <v>45796</v>
      </c>
      <c r="F28" s="38" t="s">
        <v>109</v>
      </c>
      <c r="G28" s="38" t="s">
        <v>71</v>
      </c>
      <c r="H28" s="39"/>
      <c r="I28" s="40"/>
      <c r="J28" s="49" t="n">
        <v>6</v>
      </c>
      <c r="K28" s="42"/>
      <c r="L28" s="43"/>
      <c r="M28" s="44" t="n">
        <f aca="false">J28+K28</f>
        <v>6</v>
      </c>
    </row>
    <row r="29" customFormat="false" ht="36" hidden="false" customHeight="true" outlineLevel="0" collapsed="false">
      <c r="A29" s="33" t="n">
        <v>21</v>
      </c>
      <c r="B29" s="34"/>
      <c r="C29" s="35"/>
      <c r="D29" s="36" t="s">
        <v>82</v>
      </c>
      <c r="E29" s="50" t="n">
        <v>45813</v>
      </c>
      <c r="F29" s="38" t="s">
        <v>79</v>
      </c>
      <c r="G29" s="38" t="s">
        <v>45</v>
      </c>
      <c r="H29" s="39"/>
      <c r="I29" s="40"/>
      <c r="J29" s="41" t="n">
        <v>44.29</v>
      </c>
      <c r="K29" s="42" t="n">
        <v>3.04</v>
      </c>
      <c r="L29" s="43"/>
      <c r="M29" s="44" t="n">
        <f aca="false">J29+K29</f>
        <v>47.33</v>
      </c>
    </row>
    <row r="30" customFormat="false" ht="36" hidden="false" customHeight="true" outlineLevel="0" collapsed="false">
      <c r="A30" s="33" t="n">
        <v>22</v>
      </c>
      <c r="B30" s="34"/>
      <c r="C30" s="35"/>
      <c r="D30" s="36" t="s">
        <v>105</v>
      </c>
      <c r="E30" s="50" t="n">
        <v>45813</v>
      </c>
      <c r="F30" s="38" t="s">
        <v>104</v>
      </c>
      <c r="G30" s="38" t="s">
        <v>45</v>
      </c>
      <c r="H30" s="47"/>
      <c r="I30" s="48"/>
      <c r="J30" s="41" t="n">
        <v>169.22</v>
      </c>
      <c r="K30" s="42" t="n">
        <v>10.66</v>
      </c>
      <c r="L30" s="43"/>
      <c r="M30" s="44" t="n">
        <f aca="false">J30+K30</f>
        <v>179.88</v>
      </c>
    </row>
    <row r="31" customFormat="false" ht="36" hidden="false" customHeight="true" outlineLevel="0" collapsed="false">
      <c r="A31" s="33" t="n">
        <v>23</v>
      </c>
      <c r="B31" s="34"/>
      <c r="C31" s="35"/>
      <c r="D31" s="36" t="s">
        <v>73</v>
      </c>
      <c r="E31" s="50" t="n">
        <v>45812</v>
      </c>
      <c r="F31" s="38" t="s">
        <v>72</v>
      </c>
      <c r="G31" s="38" t="s">
        <v>18</v>
      </c>
      <c r="H31" s="51"/>
      <c r="I31" s="52"/>
      <c r="J31" s="41" t="n">
        <v>8.29</v>
      </c>
      <c r="K31" s="42" t="n">
        <v>0.58</v>
      </c>
      <c r="L31" s="43"/>
      <c r="M31" s="44" t="n">
        <f aca="false">J31+K31</f>
        <v>8.87</v>
      </c>
    </row>
    <row r="32" customFormat="false" ht="36" hidden="false" customHeight="true" outlineLevel="0" collapsed="false">
      <c r="A32" s="33" t="n">
        <v>24</v>
      </c>
      <c r="B32" s="34"/>
      <c r="C32" s="35"/>
      <c r="D32" s="36" t="s">
        <v>93</v>
      </c>
      <c r="E32" s="50" t="n">
        <v>45798</v>
      </c>
      <c r="F32" s="38" t="s">
        <v>90</v>
      </c>
      <c r="G32" s="38" t="s">
        <v>94</v>
      </c>
      <c r="H32" s="39"/>
      <c r="I32" s="40"/>
      <c r="J32" s="41" t="n">
        <v>243.23</v>
      </c>
      <c r="K32" s="42" t="n">
        <v>16.19</v>
      </c>
      <c r="L32" s="43"/>
      <c r="M32" s="44" t="n">
        <f aca="false">J32+K32</f>
        <v>259.42</v>
      </c>
    </row>
    <row r="33" customFormat="false" ht="36" hidden="false" customHeight="true" outlineLevel="0" collapsed="false">
      <c r="A33" s="33" t="n">
        <v>25</v>
      </c>
      <c r="B33" s="34"/>
      <c r="C33" s="35"/>
      <c r="D33" s="36" t="s">
        <v>83</v>
      </c>
      <c r="E33" s="50" t="n">
        <v>45801</v>
      </c>
      <c r="F33" s="38" t="s">
        <v>79</v>
      </c>
      <c r="G33" s="38" t="s">
        <v>18</v>
      </c>
      <c r="H33" s="39"/>
      <c r="I33" s="40"/>
      <c r="J33" s="41" t="n">
        <v>14.78</v>
      </c>
      <c r="K33" s="42" t="n">
        <v>1.03</v>
      </c>
      <c r="L33" s="43"/>
      <c r="M33" s="44" t="n">
        <f aca="false">J33+K33</f>
        <v>15.81</v>
      </c>
    </row>
    <row r="34" customFormat="false" ht="36" hidden="false" customHeight="true" outlineLevel="0" collapsed="false">
      <c r="A34" s="33" t="n">
        <v>26</v>
      </c>
      <c r="B34" s="34"/>
      <c r="C34" s="35"/>
      <c r="D34" s="36" t="s">
        <v>74</v>
      </c>
      <c r="E34" s="50" t="n">
        <v>45805</v>
      </c>
      <c r="F34" s="38" t="s">
        <v>72</v>
      </c>
      <c r="G34" s="38" t="s">
        <v>18</v>
      </c>
      <c r="H34" s="39"/>
      <c r="I34" s="40"/>
      <c r="J34" s="41" t="n">
        <v>11.27</v>
      </c>
      <c r="K34" s="42" t="n">
        <v>0.79</v>
      </c>
      <c r="L34" s="43"/>
      <c r="M34" s="44" t="n">
        <f aca="false">J34+K34</f>
        <v>12.06</v>
      </c>
    </row>
    <row r="35" customFormat="false" ht="36" hidden="false" customHeight="true" outlineLevel="0" collapsed="false">
      <c r="A35" s="33" t="n">
        <v>27</v>
      </c>
      <c r="B35" s="34"/>
      <c r="C35" s="35"/>
      <c r="D35" s="36" t="s">
        <v>95</v>
      </c>
      <c r="E35" s="50" t="n">
        <v>45805</v>
      </c>
      <c r="F35" s="38" t="s">
        <v>90</v>
      </c>
      <c r="G35" s="38" t="s">
        <v>96</v>
      </c>
      <c r="H35" s="39"/>
      <c r="I35" s="40"/>
      <c r="J35" s="41" t="n">
        <v>230.44</v>
      </c>
      <c r="K35" s="42" t="n">
        <v>15.57</v>
      </c>
      <c r="L35" s="43"/>
      <c r="M35" s="44" t="n">
        <f aca="false">J35+K35</f>
        <v>246.01</v>
      </c>
    </row>
    <row r="36" customFormat="false" ht="36" hidden="false" customHeight="true" outlineLevel="0" collapsed="false">
      <c r="A36" s="53" t="n">
        <v>28</v>
      </c>
      <c r="B36" s="54"/>
      <c r="C36" s="55"/>
      <c r="D36" s="56" t="s">
        <v>17</v>
      </c>
      <c r="E36" s="57" t="n">
        <v>45807</v>
      </c>
      <c r="F36" s="58" t="s">
        <v>16</v>
      </c>
      <c r="G36" s="59" t="s">
        <v>18</v>
      </c>
      <c r="H36" s="60"/>
      <c r="I36" s="61"/>
      <c r="J36" s="62" t="n">
        <v>25.4</v>
      </c>
      <c r="K36" s="63" t="n">
        <v>1.78</v>
      </c>
      <c r="L36" s="64"/>
      <c r="M36" s="44" t="n">
        <f aca="false">J36+K36</f>
        <v>27.18</v>
      </c>
    </row>
    <row r="37" customFormat="false" ht="36" hidden="false" customHeight="true" outlineLevel="0" collapsed="false">
      <c r="A37" s="53" t="n">
        <v>29</v>
      </c>
      <c r="B37" s="34"/>
      <c r="C37" s="65"/>
      <c r="D37" s="36" t="s">
        <v>36</v>
      </c>
      <c r="E37" s="50" t="n">
        <v>45806</v>
      </c>
      <c r="F37" s="38" t="s">
        <v>31</v>
      </c>
      <c r="G37" s="66" t="s">
        <v>37</v>
      </c>
      <c r="H37" s="67"/>
      <c r="I37" s="40"/>
      <c r="J37" s="41" t="n">
        <v>10.32</v>
      </c>
      <c r="K37" s="42" t="n">
        <v>0.86</v>
      </c>
      <c r="L37" s="43"/>
      <c r="M37" s="44" t="n">
        <f aca="false">J37+K37</f>
        <v>11.18</v>
      </c>
    </row>
    <row r="38" customFormat="false" ht="36" hidden="false" customHeight="true" outlineLevel="0" collapsed="false">
      <c r="A38" s="53" t="n">
        <v>30</v>
      </c>
      <c r="B38" s="34"/>
      <c r="C38" s="65"/>
      <c r="D38" s="36" t="s">
        <v>38</v>
      </c>
      <c r="E38" s="50" t="n">
        <v>45806</v>
      </c>
      <c r="F38" s="38" t="s">
        <v>31</v>
      </c>
      <c r="G38" s="66" t="s">
        <v>39</v>
      </c>
      <c r="H38" s="67"/>
      <c r="I38" s="40"/>
      <c r="J38" s="41" t="n">
        <v>35.54</v>
      </c>
      <c r="K38" s="42"/>
      <c r="L38" s="43"/>
      <c r="M38" s="44" t="n">
        <f aca="false">J38+K38</f>
        <v>35.54</v>
      </c>
    </row>
    <row r="39" customFormat="false" ht="36" hidden="false" customHeight="true" outlineLevel="0" collapsed="false">
      <c r="A39" s="53" t="n">
        <v>31</v>
      </c>
      <c r="B39" s="34"/>
      <c r="C39" s="65"/>
      <c r="D39" s="36" t="s">
        <v>40</v>
      </c>
      <c r="E39" s="50" t="n">
        <v>45806</v>
      </c>
      <c r="F39" s="50" t="s">
        <v>31</v>
      </c>
      <c r="G39" s="66" t="s">
        <v>41</v>
      </c>
      <c r="H39" s="67"/>
      <c r="I39" s="40"/>
      <c r="J39" s="41" t="n">
        <v>60.66</v>
      </c>
      <c r="K39" s="42" t="n">
        <v>3.55</v>
      </c>
      <c r="L39" s="43"/>
      <c r="M39" s="44" t="n">
        <f aca="false">J39+K39</f>
        <v>64.21</v>
      </c>
    </row>
    <row r="40" customFormat="false" ht="36" hidden="false" customHeight="true" outlineLevel="0" collapsed="false">
      <c r="A40" s="53" t="n">
        <v>32</v>
      </c>
      <c r="B40" s="34"/>
      <c r="C40" s="65"/>
      <c r="D40" s="36" t="s">
        <v>97</v>
      </c>
      <c r="E40" s="50" t="n">
        <v>45806</v>
      </c>
      <c r="F40" s="38" t="s">
        <v>90</v>
      </c>
      <c r="G40" s="66" t="s">
        <v>98</v>
      </c>
      <c r="H40" s="67"/>
      <c r="I40" s="40"/>
      <c r="J40" s="41" t="n">
        <v>32.9</v>
      </c>
      <c r="K40" s="42" t="n">
        <v>2.3</v>
      </c>
      <c r="L40" s="43"/>
      <c r="M40" s="44" t="n">
        <f aca="false">J40+K40</f>
        <v>35.2</v>
      </c>
    </row>
    <row r="41" customFormat="false" ht="36" hidden="false" customHeight="true" outlineLevel="0" collapsed="false">
      <c r="A41" s="53" t="n">
        <v>33</v>
      </c>
      <c r="B41" s="34"/>
      <c r="C41" s="65"/>
      <c r="D41" s="36" t="s">
        <v>70</v>
      </c>
      <c r="E41" s="50" t="n">
        <v>45801</v>
      </c>
      <c r="F41" s="38" t="s">
        <v>128</v>
      </c>
      <c r="G41" s="66" t="s">
        <v>71</v>
      </c>
      <c r="H41" s="67"/>
      <c r="I41" s="40"/>
      <c r="J41" s="41" t="n">
        <v>40</v>
      </c>
      <c r="K41" s="42"/>
      <c r="L41" s="43"/>
      <c r="M41" s="44" t="n">
        <f aca="false">J41+K41</f>
        <v>40</v>
      </c>
    </row>
    <row r="42" customFormat="false" ht="36" hidden="false" customHeight="true" outlineLevel="0" collapsed="false">
      <c r="A42" s="53" t="n">
        <v>34</v>
      </c>
      <c r="B42" s="34"/>
      <c r="C42" s="65"/>
      <c r="D42" s="36" t="s">
        <v>84</v>
      </c>
      <c r="E42" s="50" t="n">
        <v>45801</v>
      </c>
      <c r="F42" s="38" t="s">
        <v>79</v>
      </c>
      <c r="G42" s="66" t="s">
        <v>45</v>
      </c>
      <c r="H42" s="67"/>
      <c r="I42" s="40"/>
      <c r="J42" s="41" t="n">
        <v>92.95</v>
      </c>
      <c r="K42" s="42" t="n">
        <v>1.59</v>
      </c>
      <c r="L42" s="43"/>
      <c r="M42" s="44" t="n">
        <f aca="false">J42+K42</f>
        <v>94.54</v>
      </c>
    </row>
    <row r="43" customFormat="false" ht="36" hidden="false" customHeight="true" outlineLevel="0" collapsed="false">
      <c r="A43" s="53" t="n">
        <v>35</v>
      </c>
      <c r="B43" s="34"/>
      <c r="C43" s="65"/>
      <c r="D43" s="36" t="s">
        <v>62</v>
      </c>
      <c r="E43" s="50" t="n">
        <v>45802</v>
      </c>
      <c r="F43" s="38" t="s">
        <v>55</v>
      </c>
      <c r="G43" s="38" t="s">
        <v>45</v>
      </c>
      <c r="H43" s="67"/>
      <c r="I43" s="40"/>
      <c r="J43" s="42" t="n">
        <v>105.93</v>
      </c>
      <c r="K43" s="42" t="n">
        <v>7.42</v>
      </c>
      <c r="L43" s="43"/>
      <c r="M43" s="44" t="n">
        <f aca="false">J43+K43</f>
        <v>113.35</v>
      </c>
    </row>
    <row r="44" customFormat="false" ht="36" hidden="false" customHeight="true" outlineLevel="0" collapsed="false">
      <c r="A44" s="53" t="n">
        <v>36</v>
      </c>
      <c r="B44" s="34"/>
      <c r="C44" s="65"/>
      <c r="D44" s="36" t="s">
        <v>63</v>
      </c>
      <c r="E44" s="50" t="n">
        <v>45802</v>
      </c>
      <c r="F44" s="38" t="s">
        <v>55</v>
      </c>
      <c r="G44" s="38" t="s">
        <v>45</v>
      </c>
      <c r="H44" s="67"/>
      <c r="I44" s="40"/>
      <c r="J44" s="68" t="n">
        <v>156.34</v>
      </c>
      <c r="K44" s="42" t="n">
        <v>10.94</v>
      </c>
      <c r="L44" s="43"/>
      <c r="M44" s="44" t="n">
        <f aca="false">J44+K44</f>
        <v>167.28</v>
      </c>
    </row>
    <row r="45" customFormat="false" ht="36" hidden="false" customHeight="true" outlineLevel="0" collapsed="false">
      <c r="A45" s="53" t="n">
        <v>37</v>
      </c>
      <c r="B45" s="34"/>
      <c r="C45" s="65"/>
      <c r="D45" s="36" t="s">
        <v>42</v>
      </c>
      <c r="E45" s="50" t="n">
        <v>45799</v>
      </c>
      <c r="F45" s="38" t="s">
        <v>31</v>
      </c>
      <c r="G45" s="38" t="s">
        <v>43</v>
      </c>
      <c r="H45" s="67"/>
      <c r="I45" s="40"/>
      <c r="J45" s="68" t="n">
        <v>184.98</v>
      </c>
      <c r="K45" s="42" t="n">
        <v>12.95</v>
      </c>
      <c r="L45" s="43"/>
      <c r="M45" s="44" t="n">
        <f aca="false">J45+K45</f>
        <v>197.93</v>
      </c>
    </row>
    <row r="46" customFormat="false" ht="36" hidden="false" customHeight="true" outlineLevel="0" collapsed="false">
      <c r="A46" s="53" t="n">
        <v>38</v>
      </c>
      <c r="B46" s="34"/>
      <c r="C46" s="65"/>
      <c r="D46" s="36" t="s">
        <v>44</v>
      </c>
      <c r="E46" s="50" t="n">
        <v>45799</v>
      </c>
      <c r="F46" s="38" t="s">
        <v>31</v>
      </c>
      <c r="G46" s="38" t="s">
        <v>45</v>
      </c>
      <c r="H46" s="67"/>
      <c r="I46" s="40"/>
      <c r="J46" s="68" t="n">
        <v>97.76</v>
      </c>
      <c r="K46" s="42"/>
      <c r="L46" s="43"/>
      <c r="M46" s="44" t="n">
        <f aca="false">J46+K46</f>
        <v>97.76</v>
      </c>
    </row>
    <row r="47" customFormat="false" ht="36" hidden="false" customHeight="true" outlineLevel="0" collapsed="false">
      <c r="A47" s="53" t="n">
        <v>39</v>
      </c>
      <c r="B47" s="34"/>
      <c r="C47" s="65"/>
      <c r="D47" s="36" t="s">
        <v>46</v>
      </c>
      <c r="E47" s="50" t="n">
        <v>45798</v>
      </c>
      <c r="F47" s="38" t="s">
        <v>31</v>
      </c>
      <c r="G47" s="38" t="s">
        <v>39</v>
      </c>
      <c r="H47" s="67"/>
      <c r="I47" s="40"/>
      <c r="J47" s="68" t="n">
        <v>36.48</v>
      </c>
      <c r="K47" s="42"/>
      <c r="L47" s="43"/>
      <c r="M47" s="44" t="n">
        <f aca="false">J47+K47</f>
        <v>36.48</v>
      </c>
    </row>
    <row r="48" customFormat="false" ht="36" hidden="false" customHeight="true" outlineLevel="0" collapsed="false">
      <c r="A48" s="53" t="n">
        <v>40</v>
      </c>
      <c r="B48" s="34"/>
      <c r="C48" s="65"/>
      <c r="D48" s="36" t="s">
        <v>28</v>
      </c>
      <c r="E48" s="50" t="n">
        <v>45796</v>
      </c>
      <c r="F48" s="38" t="s">
        <v>27</v>
      </c>
      <c r="G48" s="38" t="s">
        <v>18</v>
      </c>
      <c r="H48" s="67"/>
      <c r="I48" s="40"/>
      <c r="J48" s="68" t="n">
        <v>13.04</v>
      </c>
      <c r="K48" s="42" t="n">
        <v>0.91</v>
      </c>
      <c r="L48" s="43"/>
      <c r="M48" s="44" t="n">
        <f aca="false">J48+K48</f>
        <v>13.95</v>
      </c>
    </row>
    <row r="49" customFormat="false" ht="36" hidden="false" customHeight="true" outlineLevel="0" collapsed="false">
      <c r="A49" s="53" t="n">
        <v>41</v>
      </c>
      <c r="B49" s="34"/>
      <c r="C49" s="65"/>
      <c r="D49" s="36" t="s">
        <v>22</v>
      </c>
      <c r="E49" s="50" t="n">
        <v>45794</v>
      </c>
      <c r="F49" s="38" t="s">
        <v>21</v>
      </c>
      <c r="G49" s="38" t="s">
        <v>23</v>
      </c>
      <c r="H49" s="67"/>
      <c r="I49" s="40"/>
      <c r="J49" s="68" t="n">
        <v>47.15</v>
      </c>
      <c r="K49" s="42" t="n">
        <v>3.3</v>
      </c>
      <c r="L49" s="43"/>
      <c r="M49" s="44" t="n">
        <f aca="false">J49+K49</f>
        <v>50.45</v>
      </c>
    </row>
    <row r="50" customFormat="false" ht="36" hidden="false" customHeight="true" outlineLevel="0" collapsed="false">
      <c r="A50" s="53" t="n">
        <v>42</v>
      </c>
      <c r="B50" s="34"/>
      <c r="C50" s="65"/>
      <c r="D50" s="36" t="s">
        <v>48</v>
      </c>
      <c r="E50" s="50" t="n">
        <v>45794</v>
      </c>
      <c r="F50" s="38" t="s">
        <v>47</v>
      </c>
      <c r="G50" s="38" t="s">
        <v>37</v>
      </c>
      <c r="H50" s="67"/>
      <c r="I50" s="40"/>
      <c r="J50" s="68" t="n">
        <v>62.97</v>
      </c>
      <c r="K50" s="42" t="n">
        <v>4.41</v>
      </c>
      <c r="L50" s="43"/>
      <c r="M50" s="44" t="n">
        <f aca="false">J50+K50</f>
        <v>67.38</v>
      </c>
    </row>
    <row r="51" customFormat="false" ht="36" hidden="false" customHeight="true" outlineLevel="0" collapsed="false">
      <c r="A51" s="53" t="n">
        <v>43</v>
      </c>
      <c r="B51" s="34"/>
      <c r="C51" s="65"/>
      <c r="D51" s="36" t="s">
        <v>76</v>
      </c>
      <c r="E51" s="50" t="n">
        <v>45794</v>
      </c>
      <c r="F51" s="38" t="s">
        <v>75</v>
      </c>
      <c r="G51" s="38" t="s">
        <v>45</v>
      </c>
      <c r="H51" s="67"/>
      <c r="I51" s="40"/>
      <c r="J51" s="41" t="n">
        <v>83.58</v>
      </c>
      <c r="K51" s="42" t="n">
        <v>3.93</v>
      </c>
      <c r="L51" s="69"/>
      <c r="M51" s="44" t="n">
        <f aca="false">J51+K51</f>
        <v>87.51</v>
      </c>
    </row>
    <row r="52" customFormat="false" ht="36" hidden="false" customHeight="true" outlineLevel="0" collapsed="false">
      <c r="A52" s="53" t="n">
        <v>44</v>
      </c>
      <c r="B52" s="34"/>
      <c r="C52" s="65"/>
      <c r="D52" s="36" t="s">
        <v>106</v>
      </c>
      <c r="E52" s="50" t="n">
        <v>45792</v>
      </c>
      <c r="F52" s="38" t="s">
        <v>104</v>
      </c>
      <c r="G52" s="38" t="s">
        <v>45</v>
      </c>
      <c r="H52" s="67"/>
      <c r="I52" s="40"/>
      <c r="J52" s="41" t="n">
        <v>197.97</v>
      </c>
      <c r="K52" s="42" t="n">
        <v>13.86</v>
      </c>
      <c r="L52" s="69"/>
      <c r="M52" s="44" t="n">
        <f aca="false">J52+K52</f>
        <v>211.83</v>
      </c>
    </row>
    <row r="53" customFormat="false" ht="36" hidden="false" customHeight="true" outlineLevel="0" collapsed="false">
      <c r="A53" s="53" t="n">
        <v>45</v>
      </c>
      <c r="B53" s="34"/>
      <c r="C53" s="65"/>
      <c r="D53" s="36" t="s">
        <v>13</v>
      </c>
      <c r="E53" s="50" t="n">
        <v>45807</v>
      </c>
      <c r="F53" s="38" t="s">
        <v>11</v>
      </c>
      <c r="G53" s="38" t="s">
        <v>14</v>
      </c>
      <c r="H53" s="67"/>
      <c r="I53" s="40"/>
      <c r="J53" s="41" t="n">
        <v>134.82</v>
      </c>
      <c r="K53" s="42"/>
      <c r="L53" s="69"/>
      <c r="M53" s="44" t="n">
        <f aca="false">J53+K53</f>
        <v>134.82</v>
      </c>
    </row>
    <row r="54" customFormat="false" ht="36" hidden="false" customHeight="true" outlineLevel="0" collapsed="false">
      <c r="A54" s="53" t="n">
        <v>46</v>
      </c>
      <c r="B54" s="34"/>
      <c r="C54" s="65"/>
      <c r="D54" s="36" t="s">
        <v>64</v>
      </c>
      <c r="E54" s="50" t="n">
        <v>45799</v>
      </c>
      <c r="F54" s="38" t="s">
        <v>55</v>
      </c>
      <c r="G54" s="38" t="s">
        <v>65</v>
      </c>
      <c r="H54" s="67"/>
      <c r="I54" s="40"/>
      <c r="J54" s="41" t="n">
        <v>13.49</v>
      </c>
      <c r="K54" s="42" t="n">
        <v>0.94</v>
      </c>
      <c r="L54" s="69"/>
      <c r="M54" s="44" t="n">
        <f aca="false">J54+K54</f>
        <v>14.43</v>
      </c>
    </row>
    <row r="55" customFormat="false" ht="36" hidden="false" customHeight="true" outlineLevel="0" collapsed="false">
      <c r="A55" s="53" t="n">
        <v>47</v>
      </c>
      <c r="B55" s="34"/>
      <c r="C55" s="65"/>
      <c r="D55" s="36" t="s">
        <v>20</v>
      </c>
      <c r="E55" s="50" t="n">
        <v>45809</v>
      </c>
      <c r="F55" s="38" t="s">
        <v>19</v>
      </c>
      <c r="G55" s="38" t="s">
        <v>18</v>
      </c>
      <c r="H55" s="67"/>
      <c r="I55" s="40"/>
      <c r="J55" s="41" t="n">
        <v>41.07</v>
      </c>
      <c r="K55" s="42" t="n">
        <v>3.7</v>
      </c>
      <c r="L55" s="69"/>
      <c r="M55" s="44" t="n">
        <f aca="false">J55+K55</f>
        <v>44.77</v>
      </c>
    </row>
    <row r="56" customFormat="false" ht="36" hidden="false" customHeight="true" outlineLevel="0" collapsed="false">
      <c r="A56" s="53" t="n">
        <v>48</v>
      </c>
      <c r="B56" s="34"/>
      <c r="C56" s="65"/>
      <c r="D56" s="36" t="s">
        <v>102</v>
      </c>
      <c r="E56" s="50" t="n">
        <v>45798</v>
      </c>
      <c r="F56" s="38" t="s">
        <v>101</v>
      </c>
      <c r="G56" s="38" t="s">
        <v>103</v>
      </c>
      <c r="H56" s="67"/>
      <c r="I56" s="40"/>
      <c r="J56" s="41" t="n">
        <v>3.5</v>
      </c>
      <c r="K56" s="42" t="n">
        <v>0.25</v>
      </c>
      <c r="L56" s="69"/>
      <c r="M56" s="44" t="n">
        <f aca="false">J56+K56</f>
        <v>3.75</v>
      </c>
    </row>
    <row r="57" customFormat="false" ht="38.25" hidden="false" customHeight="true" outlineLevel="0" collapsed="false">
      <c r="A57" s="53" t="n">
        <v>49</v>
      </c>
      <c r="B57" s="34"/>
      <c r="C57" s="65"/>
      <c r="D57" s="36" t="s">
        <v>30</v>
      </c>
      <c r="E57" s="50" t="n">
        <v>45798</v>
      </c>
      <c r="F57" s="38" t="s">
        <v>29</v>
      </c>
      <c r="G57" s="38" t="s">
        <v>18</v>
      </c>
      <c r="H57" s="67"/>
      <c r="I57" s="40"/>
      <c r="J57" s="41" t="n">
        <v>38.1</v>
      </c>
      <c r="K57" s="42" t="n">
        <v>3.05</v>
      </c>
      <c r="L57" s="69"/>
      <c r="M57" s="44" t="n">
        <f aca="false">J57+K57</f>
        <v>41.15</v>
      </c>
    </row>
    <row r="58" customFormat="false" ht="39" hidden="false" customHeight="true" outlineLevel="0" collapsed="false">
      <c r="L58" s="70"/>
      <c r="M58" s="71" t="n">
        <f aca="false">SUM(M9:M57)</f>
        <v>10282.09</v>
      </c>
    </row>
    <row r="59" customFormat="false" ht="35.25" hidden="false" customHeight="false" outlineLevel="0" collapsed="false">
      <c r="C59" s="72" t="s">
        <v>129</v>
      </c>
      <c r="D59" s="72"/>
      <c r="G59" s="13" t="s">
        <v>130</v>
      </c>
    </row>
    <row r="60" customFormat="false" ht="35.25" hidden="false" customHeight="false" outlineLevel="0" collapsed="false">
      <c r="C60" s="73" t="s">
        <v>131</v>
      </c>
      <c r="G60" s="73" t="s">
        <v>132</v>
      </c>
    </row>
    <row r="61" customFormat="false" ht="44.25" hidden="false" customHeight="true" outlineLevel="0" collapsed="false">
      <c r="C61" s="74"/>
      <c r="E61" s="75"/>
    </row>
    <row r="62" customFormat="false" ht="35.25" hidden="false" customHeight="false" outlineLevel="0" collapsed="false">
      <c r="C62" s="15"/>
    </row>
  </sheetData>
  <mergeCells count="16">
    <mergeCell ref="C4:K4"/>
    <mergeCell ref="C5:K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C59:D59"/>
  </mergeCells>
  <conditionalFormatting sqref="B23">
    <cfRule type="duplicateValues" priority="2" aboveAverage="0" equalAverage="0" bottom="0" percent="0" rank="0" text="" dxfId="5"/>
  </conditionalFormatting>
  <conditionalFormatting sqref="B17">
    <cfRule type="duplicateValues" priority="3" aboveAverage="0" equalAverage="0" bottom="0" percent="0" rank="0" text="" dxfId="5"/>
  </conditionalFormatting>
  <conditionalFormatting sqref="B11">
    <cfRule type="duplicateValues" priority="4" aboveAverage="0" equalAverage="0" bottom="0" percent="0" rank="0" text="" dxfId="5"/>
  </conditionalFormatting>
  <conditionalFormatting sqref="B10">
    <cfRule type="duplicateValues" priority="5" aboveAverage="0" equalAverage="0" bottom="0" percent="0" rank="0" text="" dxfId="5"/>
  </conditionalFormatting>
  <conditionalFormatting sqref="B9">
    <cfRule type="duplicateValues" priority="6" aboveAverage="0" equalAverage="0" bottom="0" percent="0" rank="0" text="" dxfId="5"/>
  </conditionalFormatting>
  <conditionalFormatting sqref="B20:B22">
    <cfRule type="duplicateValues" priority="7" aboveAverage="0" equalAverage="0" bottom="0" percent="0" rank="0" text="" dxfId="5"/>
  </conditionalFormatting>
  <conditionalFormatting sqref="B18">
    <cfRule type="duplicateValues" priority="8" aboveAverage="0" equalAverage="0" bottom="0" percent="0" rank="0" text="" dxfId="5"/>
  </conditionalFormatting>
  <conditionalFormatting sqref="B16 B19">
    <cfRule type="duplicateValues" priority="9" aboveAverage="0" equalAverage="0" bottom="0" percent="0" rank="0" text="" dxfId="5"/>
  </conditionalFormatting>
  <conditionalFormatting sqref="B15">
    <cfRule type="duplicateValues" priority="10" aboveAverage="0" equalAverage="0" bottom="0" percent="0" rank="0" text="" dxfId="5"/>
  </conditionalFormatting>
  <conditionalFormatting sqref="B12">
    <cfRule type="duplicateValues" priority="11" aboveAverage="0" equalAverage="0" bottom="0" percent="0" rank="0" text="" dxfId="5"/>
    <cfRule type="duplicateValues" priority="12" aboveAverage="0" equalAverage="0" bottom="0" percent="0" rank="0" text="" dxfId="5"/>
  </conditionalFormatting>
  <conditionalFormatting sqref="B14">
    <cfRule type="duplicateValues" priority="13" aboveAverage="0" equalAverage="0" bottom="0" percent="0" rank="0" text="" dxfId="5"/>
  </conditionalFormatting>
  <conditionalFormatting sqref="B13">
    <cfRule type="duplicateValues" priority="14" aboveAverage="0" equalAverage="0" bottom="0" percent="0" rank="0" text="" dxfId="5"/>
  </conditionalFormatting>
  <conditionalFormatting sqref="C36:C57 D9:D57">
    <cfRule type="duplicateValues" priority="15" aboveAverage="0" equalAverage="0" bottom="0" percent="0" rank="0" text="" dxfId="5"/>
  </conditionalFormatting>
  <conditionalFormatting sqref="A9:A57 B12">
    <cfRule type="duplicateValues" priority="16" aboveAverage="0" equalAverage="0" bottom="0" percent="0" rank="0" text="" dxfId="5"/>
  </conditionalFormatting>
  <conditionalFormatting sqref="B24:B57">
    <cfRule type="duplicateValues" priority="17" aboveAverage="0" equalAverage="0" bottom="0" percent="0" rank="0" text="" dxfId="5"/>
  </conditionalFormatting>
  <printOptions headings="false" gridLines="false" gridLinesSet="true" horizontalCentered="true" verticalCentered="false"/>
  <pageMargins left="0" right="0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2023-05-21T00:39:26Z</dcterms:created>
  <dc:creator>Diego Armando Yepes</dc:creator>
  <dc:description/>
  <dc:language>en-US</dc:language>
  <cp:lastModifiedBy>Soporte IT</cp:lastModifiedBy>
  <cp:lastPrinted>2026-09-29T21:21:51Z</cp:lastPrinted>
  <dcterms:modified xsi:type="dcterms:W3CDTF">2026-10-26T17:00:27Z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