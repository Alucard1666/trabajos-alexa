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uadro por tercero" sheetId="1" state="visible" r:id="rId3"/>
    <sheet name="Base" sheetId="2" state="visible" r:id="rId4"/>
  </sheets>
  <definedNames>
    <definedName function="false" hidden="true" localSheetId="0" name="_xlnm._FilterDatabase" vbProcedure="false">'Cuadro por tercero'!$A$4:$H$546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<sst xmlns="http://schemas.openxmlformats.org/spreadsheetml/2006/main" count="5173" uniqueCount="750">
  <si>
    <t xml:space="preserve">Cuadro por tercero — DIAN septiembre 2026 (use el +/- de la izquierda o los botones 1/2 para expandir; filtre por NIT en la fila 4)</t>
  </si>
  <si>
    <t xml:space="preserve">TOTAL GENERAL (suma de todos los terceros)</t>
  </si>
  <si>
    <t xml:space="preserve">NIT</t>
  </si>
  <si>
    <t xml:space="preserve">Tercero</t>
  </si>
  <si>
    <t xml:space="preserve">Documento</t>
  </si>
  <si>
    <t xml:space="preserve">Tipo de documento</t>
  </si>
  <si>
    <t xml:space="preserve">Fecha emisión</t>
  </si>
  <si>
    <t xml:space="preserve">IVA</t>
  </si>
  <si>
    <t xml:space="preserve">Valor (neto)</t>
  </si>
  <si>
    <t xml:space="preserve">Clasificación conciliación</t>
  </si>
  <si>
    <t xml:space="preserve">6137792</t>
  </si>
  <si>
    <t xml:space="preserve">ACEVEDO  JOSE NORBEY</t>
  </si>
  <si>
    <t xml:space="preserve">1 documento(s)</t>
  </si>
  <si>
    <t xml:space="preserve">TOTAL TERCERO</t>
  </si>
  <si>
    <t xml:space="preserve">NDSE1703</t>
  </si>
  <si>
    <t xml:space="preserve">Documento soporte con no obligados</t>
  </si>
  <si>
    <t xml:space="preserve">INFORMACIÓN INSUFICIENTE</t>
  </si>
  <si>
    <t xml:space="preserve">805010086</t>
  </si>
  <si>
    <t xml:space="preserve">ADOCCIDENTE S.A.S.</t>
  </si>
  <si>
    <t xml:space="preserve">FE1043</t>
  </si>
  <si>
    <t xml:space="preserve">Factura electrónica</t>
  </si>
  <si>
    <t xml:space="preserve">890704196</t>
  </si>
  <si>
    <t xml:space="preserve">AEROVIAS DE INTEGRACION REGIONAL S.A.</t>
  </si>
  <si>
    <t xml:space="preserve">5 documento(s)</t>
  </si>
  <si>
    <t xml:space="preserve">EFCC4800912</t>
  </si>
  <si>
    <t xml:space="preserve">Documento equivalente - Transporte aéreo de pasajeros</t>
  </si>
  <si>
    <t xml:space="preserve">PENDIENTE</t>
  </si>
  <si>
    <t xml:space="preserve">SPC44755</t>
  </si>
  <si>
    <t xml:space="preserve">EFCC4858340</t>
  </si>
  <si>
    <t xml:space="preserve">SPC45219</t>
  </si>
  <si>
    <t xml:space="preserve">A3933</t>
  </si>
  <si>
    <t xml:space="preserve">Nota de crédito electrónica</t>
  </si>
  <si>
    <t xml:space="preserve">890100577</t>
  </si>
  <si>
    <t xml:space="preserve">AEROVIAS DEL CONTINENTE AMERICANO, S.A. AVIANCA - COLOMBIA</t>
  </si>
  <si>
    <t xml:space="preserve">TQT26949290</t>
  </si>
  <si>
    <t xml:space="preserve">827000059</t>
  </si>
  <si>
    <t xml:space="preserve">AGENCIA DE ADUANAS SANTIAGO RICO &amp; BAÑOL LTDA. NIVEL 4</t>
  </si>
  <si>
    <t xml:space="preserve">3 documento(s)</t>
  </si>
  <si>
    <t xml:space="preserve">SRFE804</t>
  </si>
  <si>
    <t xml:space="preserve">SRFE813</t>
  </si>
  <si>
    <t xml:space="preserve">VERIFICADO</t>
  </si>
  <si>
    <t xml:space="preserve">SRFE817</t>
  </si>
  <si>
    <t xml:space="preserve">901849101</t>
  </si>
  <si>
    <t xml:space="preserve">ALMACEN LAS GEMELAS SAS</t>
  </si>
  <si>
    <t xml:space="preserve">FE2169</t>
  </si>
  <si>
    <t xml:space="preserve">890900608</t>
  </si>
  <si>
    <t xml:space="preserve">ALMACENES ÉXITO S.A</t>
  </si>
  <si>
    <t xml:space="preserve">RC06172758</t>
  </si>
  <si>
    <t xml:space="preserve">901881638</t>
  </si>
  <si>
    <t xml:space="preserve">ALMAZONE SAS</t>
  </si>
  <si>
    <t xml:space="preserve">ALZ2401</t>
  </si>
  <si>
    <t xml:space="preserve">16928075</t>
  </si>
  <si>
    <t xml:space="preserve">ALMEIDA BACCA EDWARD ALEXANDER</t>
  </si>
  <si>
    <t xml:space="preserve">FE681</t>
  </si>
  <si>
    <t xml:space="preserve">800038947</t>
  </si>
  <si>
    <t xml:space="preserve">ANILLANDO CALI LTDA</t>
  </si>
  <si>
    <t xml:space="preserve">PFS10547</t>
  </si>
  <si>
    <t xml:space="preserve">1010204688</t>
  </si>
  <si>
    <t xml:space="preserve">APONTE CASTILLO CARLOS DANIEL</t>
  </si>
  <si>
    <t xml:space="preserve">422</t>
  </si>
  <si>
    <t xml:space="preserve">802018827</t>
  </si>
  <si>
    <t xml:space="preserve">AQUASISTEMAS DEL CARIBE S.A.S</t>
  </si>
  <si>
    <t xml:space="preserve">FE232</t>
  </si>
  <si>
    <t xml:space="preserve">31411095</t>
  </si>
  <si>
    <t xml:space="preserve">ARIAS  GLORIA PATRICIA</t>
  </si>
  <si>
    <t xml:space="preserve">NDSE1700</t>
  </si>
  <si>
    <t xml:space="preserve">NDSE1708</t>
  </si>
  <si>
    <t xml:space="preserve">NDSE1734</t>
  </si>
  <si>
    <t xml:space="preserve">860506531</t>
  </si>
  <si>
    <t xml:space="preserve">ASESORIAS REPRESENTACIONES ADMINISTRACION Y SERVICIOS ARAS SAS.</t>
  </si>
  <si>
    <t xml:space="preserve">MCBU162585</t>
  </si>
  <si>
    <t xml:space="preserve">79308344</t>
  </si>
  <si>
    <t xml:space="preserve">AZUL RESTAURANT AIRPORT</t>
  </si>
  <si>
    <t xml:space="preserve">PAZ6314</t>
  </si>
  <si>
    <t xml:space="preserve">PAZ6315</t>
  </si>
  <si>
    <t xml:space="preserve">PAZ6316</t>
  </si>
  <si>
    <t xml:space="preserve">901986829</t>
  </si>
  <si>
    <t xml:space="preserve">BAL STUDIO SAS</t>
  </si>
  <si>
    <t xml:space="preserve">FE2458</t>
  </si>
  <si>
    <t xml:space="preserve">800226098</t>
  </si>
  <si>
    <t xml:space="preserve">BBVA SEGUROS COLOMBIA S.A.</t>
  </si>
  <si>
    <t xml:space="preserve">FEAG1134986</t>
  </si>
  <si>
    <t xml:space="preserve">890399000</t>
  </si>
  <si>
    <t xml:space="preserve">BENEMERITO CUERPO DE BOMBEROS VOLUNTARIOS DE CALI</t>
  </si>
  <si>
    <t xml:space="preserve">FK72753</t>
  </si>
  <si>
    <t xml:space="preserve">16752920</t>
  </si>
  <si>
    <t xml:space="preserve">BERMUDEZ RAMIREZ EUCARIO</t>
  </si>
  <si>
    <t xml:space="preserve">NDSE1709</t>
  </si>
  <si>
    <t xml:space="preserve">29951774</t>
  </si>
  <si>
    <t xml:space="preserve">BERNARDA VALENCIA MOYA</t>
  </si>
  <si>
    <t xml:space="preserve">FEBV2769</t>
  </si>
  <si>
    <t xml:space="preserve">7563061</t>
  </si>
  <si>
    <t xml:space="preserve">BERRIO ARIAS JUAN FERNANDO</t>
  </si>
  <si>
    <t xml:space="preserve">NDSE1733</t>
  </si>
  <si>
    <t xml:space="preserve">901281572</t>
  </si>
  <si>
    <t xml:space="preserve">BOLD.CO S.A.S</t>
  </si>
  <si>
    <t xml:space="preserve">FEC8613219</t>
  </si>
  <si>
    <t xml:space="preserve">1113519268</t>
  </si>
  <si>
    <t xml:space="preserve">BUENO ALVAREZ WILLIAM ANDRES</t>
  </si>
  <si>
    <t xml:space="preserve">2 documento(s)</t>
  </si>
  <si>
    <t xml:space="preserve">NDSE1704</t>
  </si>
  <si>
    <t xml:space="preserve">NDSE1705</t>
  </si>
  <si>
    <t xml:space="preserve">73571583</t>
  </si>
  <si>
    <t xml:space="preserve">CABRALES SALGADO ROLANDO ALBERTO</t>
  </si>
  <si>
    <t xml:space="preserve">NDSE1724</t>
  </si>
  <si>
    <t xml:space="preserve">NDSE1725</t>
  </si>
  <si>
    <t xml:space="preserve">NDSE1729</t>
  </si>
  <si>
    <t xml:space="preserve">1144093853</t>
  </si>
  <si>
    <t xml:space="preserve">CALVACHE JARAMILLO LUIS MIGUEL</t>
  </si>
  <si>
    <t xml:space="preserve">NDSE1715</t>
  </si>
  <si>
    <t xml:space="preserve">860026759</t>
  </si>
  <si>
    <t xml:space="preserve">CARTONES AMERICA S.A. CAME</t>
  </si>
  <si>
    <t xml:space="preserve">8200455422</t>
  </si>
  <si>
    <t xml:space="preserve">890321151</t>
  </si>
  <si>
    <t xml:space="preserve">CARVAJAL TECNOLOGIA Y SERVICIOS S.A.S.</t>
  </si>
  <si>
    <t xml:space="preserve">CLOA105291184</t>
  </si>
  <si>
    <t xml:space="preserve">16917650</t>
  </si>
  <si>
    <t xml:space="preserve">CASTANEDA VARGAS JULIAN</t>
  </si>
  <si>
    <t xml:space="preserve">NDSE1736</t>
  </si>
  <si>
    <t xml:space="preserve">66990687</t>
  </si>
  <si>
    <t xml:space="preserve">CATALINA ZUNIGA ARAUJO</t>
  </si>
  <si>
    <t xml:space="preserve">FE17</t>
  </si>
  <si>
    <t xml:space="preserve">FE18</t>
  </si>
  <si>
    <t xml:space="preserve">16460791</t>
  </si>
  <si>
    <t xml:space="preserve">CESAR AUGUSTO GIRALDO HOYOS</t>
  </si>
  <si>
    <t xml:space="preserve">FPDP7016</t>
  </si>
  <si>
    <t xml:space="preserve">94410977</t>
  </si>
  <si>
    <t xml:space="preserve">CHAVEZ ASPRILLA EDWARD ANDRES</t>
  </si>
  <si>
    <t xml:space="preserve">NDSE1713</t>
  </si>
  <si>
    <t xml:space="preserve">1130588761</t>
  </si>
  <si>
    <t xml:space="preserve">CHRISTIAN CAMILO QUEVEDO OCHOA</t>
  </si>
  <si>
    <t xml:space="preserve">ETPC406</t>
  </si>
  <si>
    <t xml:space="preserve">ETPC418</t>
  </si>
  <si>
    <t xml:space="preserve">800202146</t>
  </si>
  <si>
    <t xml:space="preserve">CIMEX COLOMBIA S.A.S</t>
  </si>
  <si>
    <t xml:space="preserve">2FE84768</t>
  </si>
  <si>
    <t xml:space="preserve">2FE85515</t>
  </si>
  <si>
    <t xml:space="preserve">805019003</t>
  </si>
  <si>
    <t xml:space="preserve">CLINICA DEL COLON S A S</t>
  </si>
  <si>
    <t xml:space="preserve">FEPC9504</t>
  </si>
  <si>
    <t xml:space="preserve">890300521</t>
  </si>
  <si>
    <t xml:space="preserve">CLUB COLOMBIA</t>
  </si>
  <si>
    <t xml:space="preserve">FS561133</t>
  </si>
  <si>
    <t xml:space="preserve">890300225</t>
  </si>
  <si>
    <t xml:space="preserve">COEXITO S.A.S.</t>
  </si>
  <si>
    <t xml:space="preserve">129B89379</t>
  </si>
  <si>
    <t xml:space="preserve">129B92054</t>
  </si>
  <si>
    <t xml:space="preserve">901528731</t>
  </si>
  <si>
    <t xml:space="preserve">COLMENA SEGUROS DE VIDA S.A.</t>
  </si>
  <si>
    <t xml:space="preserve">VT25555830</t>
  </si>
  <si>
    <t xml:space="preserve">830122566</t>
  </si>
  <si>
    <t xml:space="preserve">COLOMBIA TELECOMUNICACIONES S.A. E.S.P. BIC</t>
  </si>
  <si>
    <t xml:space="preserve">21 documento(s)</t>
  </si>
  <si>
    <t xml:space="preserve">BEC546906906</t>
  </si>
  <si>
    <t xml:space="preserve">BEC546906983</t>
  </si>
  <si>
    <t xml:space="preserve">BEC546906905</t>
  </si>
  <si>
    <t xml:space="preserve">BEC546906982</t>
  </si>
  <si>
    <t xml:space="preserve">BEC546851212</t>
  </si>
  <si>
    <t xml:space="preserve">BEC546850765</t>
  </si>
  <si>
    <t xml:space="preserve">BEC546850764</t>
  </si>
  <si>
    <t xml:space="preserve">BEC546906901</t>
  </si>
  <si>
    <t xml:space="preserve">BEC546906989</t>
  </si>
  <si>
    <t xml:space="preserve">BEC546851208</t>
  </si>
  <si>
    <t xml:space="preserve">BEC546906987</t>
  </si>
  <si>
    <t xml:space="preserve">BEC546906986</t>
  </si>
  <si>
    <t xml:space="preserve">BEC546849816</t>
  </si>
  <si>
    <t xml:space="preserve">BEC546850762</t>
  </si>
  <si>
    <t xml:space="preserve">BEC546906985</t>
  </si>
  <si>
    <t xml:space="preserve">BEC546906902</t>
  </si>
  <si>
    <t xml:space="preserve">BEC546906984</t>
  </si>
  <si>
    <t xml:space="preserve">BEC546849819</t>
  </si>
  <si>
    <t xml:space="preserve">BEC546906988</t>
  </si>
  <si>
    <t xml:space="preserve">BEV25925571</t>
  </si>
  <si>
    <t xml:space="preserve">BEV25925624</t>
  </si>
  <si>
    <t xml:space="preserve">800185306</t>
  </si>
  <si>
    <t xml:space="preserve">COLVANES S.A.S</t>
  </si>
  <si>
    <t xml:space="preserve">4 documento(s)</t>
  </si>
  <si>
    <t xml:space="preserve">FE02172053</t>
  </si>
  <si>
    <t xml:space="preserve">FE02172101</t>
  </si>
  <si>
    <t xml:space="preserve">FE02172909</t>
  </si>
  <si>
    <t xml:space="preserve">FE02172910</t>
  </si>
  <si>
    <t xml:space="preserve">900175830</t>
  </si>
  <si>
    <t xml:space="preserve">COMBUSTIBLES LIQUIDOS DE COLOMBIA SA ESP</t>
  </si>
  <si>
    <t xml:space="preserve">2YUM22779</t>
  </si>
  <si>
    <t xml:space="preserve">2YUM23349</t>
  </si>
  <si>
    <t xml:space="preserve">800004599</t>
  </si>
  <si>
    <t xml:space="preserve">COMERCIALIZADORA MARDEN LTDA</t>
  </si>
  <si>
    <t xml:space="preserve">PECO410957</t>
  </si>
  <si>
    <t xml:space="preserve">860037013</t>
  </si>
  <si>
    <t xml:space="preserve">COMPAÑÍA MUNDIAL DE SEGUROS S.A.</t>
  </si>
  <si>
    <t xml:space="preserve">014F21554007</t>
  </si>
  <si>
    <t xml:space="preserve">800153993</t>
  </si>
  <si>
    <t xml:space="preserve">COMUNICACION CELULAR S A  COMCEL S A</t>
  </si>
  <si>
    <t xml:space="preserve">3292734891</t>
  </si>
  <si>
    <t xml:space="preserve">800222034</t>
  </si>
  <si>
    <t xml:space="preserve">CONSTRUIR INGENIERIA S.A.S.</t>
  </si>
  <si>
    <t xml:space="preserve">FEH417</t>
  </si>
  <si>
    <t xml:space="preserve">891500277</t>
  </si>
  <si>
    <t xml:space="preserve">COOPERATIVA INTEGRAL DE TAXIS BELALCAZAR</t>
  </si>
  <si>
    <t xml:space="preserve">FTPI650564</t>
  </si>
  <si>
    <t xml:space="preserve">Documento equivalente - Transporte pasajeros terrestre</t>
  </si>
  <si>
    <t xml:space="preserve">FTPO614139</t>
  </si>
  <si>
    <t xml:space="preserve">890904713</t>
  </si>
  <si>
    <t xml:space="preserve">COORDINADORA MERCANTIL S.A.</t>
  </si>
  <si>
    <t xml:space="preserve">D03194001448</t>
  </si>
  <si>
    <t xml:space="preserve">94501120</t>
  </si>
  <si>
    <t xml:space="preserve">COQUEZ GONZALEZ JHON ALEXANDER</t>
  </si>
  <si>
    <t xml:space="preserve">NDSE1714</t>
  </si>
  <si>
    <t xml:space="preserve">900394298</t>
  </si>
  <si>
    <t xml:space="preserve">CORREDOR DEL PACIFICO S.A.S.</t>
  </si>
  <si>
    <t xml:space="preserve">12054711</t>
  </si>
  <si>
    <t xml:space="preserve">1144187764</t>
  </si>
  <si>
    <t xml:space="preserve">CORTES CAMPANA JOSE DAVID</t>
  </si>
  <si>
    <t xml:space="preserve">NDSE1728</t>
  </si>
  <si>
    <t xml:space="preserve">800097185</t>
  </si>
  <si>
    <t xml:space="preserve">CORTULUA FUTBOL CLUB S.A.</t>
  </si>
  <si>
    <t xml:space="preserve">FEDV540</t>
  </si>
  <si>
    <t xml:space="preserve">94527988</t>
  </si>
  <si>
    <t xml:space="preserve">CUEVAS COLORADO WALTER ARNULFO</t>
  </si>
  <si>
    <t xml:space="preserve">1462</t>
  </si>
  <si>
    <t xml:space="preserve">900276962</t>
  </si>
  <si>
    <t xml:space="preserve">D1 S A S</t>
  </si>
  <si>
    <t xml:space="preserve">M3F859913</t>
  </si>
  <si>
    <t xml:space="preserve">M3F859914</t>
  </si>
  <si>
    <t xml:space="preserve">M3F964991</t>
  </si>
  <si>
    <t xml:space="preserve">G5I0261523</t>
  </si>
  <si>
    <t xml:space="preserve">805002135</t>
  </si>
  <si>
    <t xml:space="preserve">DE LA PAVA Y COMPANIA S A S</t>
  </si>
  <si>
    <t xml:space="preserve">NORT57479</t>
  </si>
  <si>
    <t xml:space="preserve">900610518</t>
  </si>
  <si>
    <t xml:space="preserve">DESPEGAR COLOMBIA SAS</t>
  </si>
  <si>
    <t xml:space="preserve">FV10521699</t>
  </si>
  <si>
    <t xml:space="preserve">811009788</t>
  </si>
  <si>
    <t xml:space="preserve">DISTRACOM S.A.</t>
  </si>
  <si>
    <t xml:space="preserve">DST7544954</t>
  </si>
  <si>
    <t xml:space="preserve">800239989</t>
  </si>
  <si>
    <t xml:space="preserve">DISTRIBUIDORA MAYORISTA LIMITADA</t>
  </si>
  <si>
    <t xml:space="preserve">14 documento(s)</t>
  </si>
  <si>
    <t xml:space="preserve">DMFE832</t>
  </si>
  <si>
    <t xml:space="preserve">DMFE833</t>
  </si>
  <si>
    <t xml:space="preserve">DMFE835</t>
  </si>
  <si>
    <t xml:space="preserve">DMFE837</t>
  </si>
  <si>
    <t xml:space="preserve">DMFE838</t>
  </si>
  <si>
    <t xml:space="preserve">DMFE839</t>
  </si>
  <si>
    <t xml:space="preserve">DMFE840</t>
  </si>
  <si>
    <t xml:space="preserve">DMFE841</t>
  </si>
  <si>
    <t xml:space="preserve">DMFE842</t>
  </si>
  <si>
    <t xml:space="preserve">DMFE843</t>
  </si>
  <si>
    <t xml:space="preserve">DMFE844</t>
  </si>
  <si>
    <t xml:space="preserve">DMFE845</t>
  </si>
  <si>
    <t xml:space="preserve">DMFE846</t>
  </si>
  <si>
    <t xml:space="preserve">DMFE847</t>
  </si>
  <si>
    <t xml:space="preserve">800126903</t>
  </si>
  <si>
    <t xml:space="preserve">DROGUERIA ALONSO LTDA</t>
  </si>
  <si>
    <t xml:space="preserve">CENT1165</t>
  </si>
  <si>
    <t xml:space="preserve">900727726</t>
  </si>
  <si>
    <t xml:space="preserve">ECOLDIET SAS</t>
  </si>
  <si>
    <t xml:space="preserve">601</t>
  </si>
  <si>
    <t xml:space="preserve">890323635</t>
  </si>
  <si>
    <t xml:space="preserve">EL COMERCIO ELECTRICO S.A.S.</t>
  </si>
  <si>
    <t xml:space="preserve">NFFN31709</t>
  </si>
  <si>
    <t xml:space="preserve">NFFN31988</t>
  </si>
  <si>
    <t xml:space="preserve">NCEN2097</t>
  </si>
  <si>
    <t xml:space="preserve">NFFN31995</t>
  </si>
  <si>
    <t xml:space="preserve">NFFN32170</t>
  </si>
  <si>
    <t xml:space="preserve">890308111</t>
  </si>
  <si>
    <t xml:space="preserve">EL MOLINO EDUARDO MOLINARI PALACIN S.A.S</t>
  </si>
  <si>
    <t xml:space="preserve">1PAN11527</t>
  </si>
  <si>
    <t xml:space="preserve">1PAN11528</t>
  </si>
  <si>
    <t xml:space="preserve">1006426854</t>
  </si>
  <si>
    <t xml:space="preserve">EL RINCÓN COSTEÑO 1923. CEVICHERIA Y COMIDA DE MAR</t>
  </si>
  <si>
    <t xml:space="preserve">ERCO914</t>
  </si>
  <si>
    <t xml:space="preserve">890399003</t>
  </si>
  <si>
    <t xml:space="preserve">EMPRESAS MUNICIPALES DE CALI E.I.C.E. E.S.P.</t>
  </si>
  <si>
    <t xml:space="preserve">6 documento(s)</t>
  </si>
  <si>
    <t xml:space="preserve">10851988</t>
  </si>
  <si>
    <t xml:space="preserve">10851800</t>
  </si>
  <si>
    <t xml:space="preserve">10852836</t>
  </si>
  <si>
    <t xml:space="preserve">10918170</t>
  </si>
  <si>
    <t xml:space="preserve">18586743</t>
  </si>
  <si>
    <t xml:space="preserve">Documento equivalente - Servicios públicos domiciliarios</t>
  </si>
  <si>
    <t xml:space="preserve">18587193</t>
  </si>
  <si>
    <t xml:space="preserve">900918945</t>
  </si>
  <si>
    <t xml:space="preserve">ESTACION DE SERVICIO EL ESTADIO AB SAS</t>
  </si>
  <si>
    <t xml:space="preserve">EDS54345</t>
  </si>
  <si>
    <t xml:space="preserve">805012966</t>
  </si>
  <si>
    <t xml:space="preserve">ETIMARCAS S.A.S</t>
  </si>
  <si>
    <t xml:space="preserve">FM1614</t>
  </si>
  <si>
    <t xml:space="preserve">FM1615</t>
  </si>
  <si>
    <t xml:space="preserve">900601633</t>
  </si>
  <si>
    <t xml:space="preserve">EXXIS COLOMBIA SAS</t>
  </si>
  <si>
    <t xml:space="preserve">FD3296</t>
  </si>
  <si>
    <t xml:space="preserve">900218767</t>
  </si>
  <si>
    <t xml:space="preserve">FAIMEDIA E.U</t>
  </si>
  <si>
    <t xml:space="preserve">FAI3801</t>
  </si>
  <si>
    <t xml:space="preserve">890303215</t>
  </si>
  <si>
    <t xml:space="preserve">FEDERACIÓN NACIONAL DE COMERCIANTES EMPRESARIOS - FENALCO SECCIONAL VALLE DEL CA</t>
  </si>
  <si>
    <t xml:space="preserve">FCE136164</t>
  </si>
  <si>
    <t xml:space="preserve">FCE136173</t>
  </si>
  <si>
    <t xml:space="preserve">FCE136174</t>
  </si>
  <si>
    <t xml:space="preserve">NCE3248</t>
  </si>
  <si>
    <t xml:space="preserve">31886310</t>
  </si>
  <si>
    <t xml:space="preserve">FERNANDEZ CABAL GLORIA ISABEL</t>
  </si>
  <si>
    <t xml:space="preserve">NDSE1697</t>
  </si>
  <si>
    <t xml:space="preserve">805024690</t>
  </si>
  <si>
    <t xml:space="preserve">FERREUNIVERSAL DEL VALLE SAS</t>
  </si>
  <si>
    <t xml:space="preserve">2FE2744</t>
  </si>
  <si>
    <t xml:space="preserve">901042248</t>
  </si>
  <si>
    <t xml:space="preserve">FERROTORNILLOS ARLEX S.A.S.</t>
  </si>
  <si>
    <t xml:space="preserve">FE27158</t>
  </si>
  <si>
    <t xml:space="preserve">FE27171</t>
  </si>
  <si>
    <t xml:space="preserve">FE27240</t>
  </si>
  <si>
    <t xml:space="preserve">FE27246</t>
  </si>
  <si>
    <t xml:space="preserve">FE27249</t>
  </si>
  <si>
    <t xml:space="preserve">1085947221</t>
  </si>
  <si>
    <t xml:space="preserve">FLOREZ ROJAS MAYRA ALEJANDRA</t>
  </si>
  <si>
    <t xml:space="preserve">FECM126</t>
  </si>
  <si>
    <t xml:space="preserve">900462205</t>
  </si>
  <si>
    <t xml:space="preserve">FUTUROS HERMANOS SOCIEDAD POR ACCIONES SIMPLIFICADA</t>
  </si>
  <si>
    <t xml:space="preserve">FUT98224</t>
  </si>
  <si>
    <t xml:space="preserve">900934851</t>
  </si>
  <si>
    <t xml:space="preserve">GASTRONOMÍA ITALIANA EN COLOMBIA S.A.S</t>
  </si>
  <si>
    <t xml:space="preserve">CSFE279664</t>
  </si>
  <si>
    <t xml:space="preserve">94331874</t>
  </si>
  <si>
    <t xml:space="preserve">GERMAN EDUARDO CONTRERAS OLIVEROS</t>
  </si>
  <si>
    <t xml:space="preserve">GCPE3005</t>
  </si>
  <si>
    <t xml:space="preserve">GCPE3060</t>
  </si>
  <si>
    <t xml:space="preserve">FCPE4211</t>
  </si>
  <si>
    <t xml:space="preserve">31532595</t>
  </si>
  <si>
    <t xml:space="preserve">GLORIA MERCEDES GUZMÁN RODRIGUEZ</t>
  </si>
  <si>
    <t xml:space="preserve">FEGM929</t>
  </si>
  <si>
    <t xml:space="preserve">1144066740</t>
  </si>
  <si>
    <t xml:space="preserve">GOMEZ CAMACHO MARIA DEL MAR</t>
  </si>
  <si>
    <t xml:space="preserve">NDSE1727</t>
  </si>
  <si>
    <t xml:space="preserve">901641292</t>
  </si>
  <si>
    <t xml:space="preserve">GORROS MAGICOS S.A.S.</t>
  </si>
  <si>
    <t xml:space="preserve">FEC20037</t>
  </si>
  <si>
    <t xml:space="preserve">NC2544</t>
  </si>
  <si>
    <t xml:space="preserve">FEC20038</t>
  </si>
  <si>
    <t xml:space="preserve">900316197</t>
  </si>
  <si>
    <t xml:space="preserve">GREEN SAS</t>
  </si>
  <si>
    <t xml:space="preserve">709F250010</t>
  </si>
  <si>
    <t xml:space="preserve">900680284</t>
  </si>
  <si>
    <t xml:space="preserve">GRUPO AZC S.A.S.</t>
  </si>
  <si>
    <t xml:space="preserve">AZ104752</t>
  </si>
  <si>
    <t xml:space="preserve">901177349</t>
  </si>
  <si>
    <t xml:space="preserve">GRUPO GESTIÓN PRODUCTIVA ORGANIZACIONAL S.A.S.</t>
  </si>
  <si>
    <t xml:space="preserve">FA1283</t>
  </si>
  <si>
    <t xml:space="preserve">98395931</t>
  </si>
  <si>
    <t xml:space="preserve">GUERRERO PASCUAZA ANDRES FERNANDO</t>
  </si>
  <si>
    <t xml:space="preserve">NDSE1732</t>
  </si>
  <si>
    <t xml:space="preserve">860039988</t>
  </si>
  <si>
    <t xml:space="preserve">HDI SEGUROS COLOMBIA S.A.</t>
  </si>
  <si>
    <t xml:space="preserve">FPO15013161</t>
  </si>
  <si>
    <t xml:space="preserve">FPO15013237</t>
  </si>
  <si>
    <t xml:space="preserve">NCFP2127294</t>
  </si>
  <si>
    <t xml:space="preserve">NCFP2127296</t>
  </si>
  <si>
    <t xml:space="preserve">FPO15071922</t>
  </si>
  <si>
    <t xml:space="preserve">FPO15090765</t>
  </si>
  <si>
    <t xml:space="preserve">890304099</t>
  </si>
  <si>
    <t xml:space="preserve">HOTELES ESTELAR S.A.</t>
  </si>
  <si>
    <t xml:space="preserve">E022106627</t>
  </si>
  <si>
    <t xml:space="preserve">E022106669</t>
  </si>
  <si>
    <t xml:space="preserve">12978490</t>
  </si>
  <si>
    <t xml:space="preserve">HUSIEN IBRAHIM IYAD</t>
  </si>
  <si>
    <t xml:space="preserve">HDS7959</t>
  </si>
  <si>
    <t xml:space="preserve">HDS7960</t>
  </si>
  <si>
    <t xml:space="preserve">805027722</t>
  </si>
  <si>
    <t xml:space="preserve">IDEAS IMPRESIÓN Y DISEÑO S.A.S.</t>
  </si>
  <si>
    <t xml:space="preserve">FE1603</t>
  </si>
  <si>
    <t xml:space="preserve">FE1602</t>
  </si>
  <si>
    <t xml:space="preserve">FE1608</t>
  </si>
  <si>
    <t xml:space="preserve">FE1610</t>
  </si>
  <si>
    <t xml:space="preserve">FE1613</t>
  </si>
  <si>
    <t xml:space="preserve">901284765</t>
  </si>
  <si>
    <t xml:space="preserve">INGENIERIA ELECTRICA Y METALMECANICA IEM SAS</t>
  </si>
  <si>
    <t xml:space="preserve">FACE1006</t>
  </si>
  <si>
    <t xml:space="preserve">800251569</t>
  </si>
  <si>
    <t xml:space="preserve">INTER RAPIDISIMO S.A</t>
  </si>
  <si>
    <t xml:space="preserve">FE80234502</t>
  </si>
  <si>
    <t xml:space="preserve">FE81608547</t>
  </si>
  <si>
    <t xml:space="preserve">FE81829569</t>
  </si>
  <si>
    <t xml:space="preserve">900930835</t>
  </si>
  <si>
    <t xml:space="preserve">INTERBARQUES ZONA FRANCA SAS</t>
  </si>
  <si>
    <t xml:space="preserve">FEZF6588</t>
  </si>
  <si>
    <t xml:space="preserve">FEZF6589</t>
  </si>
  <si>
    <t xml:space="preserve">900860366</t>
  </si>
  <si>
    <t xml:space="preserve">INVERSIONES SERTB S.A.S</t>
  </si>
  <si>
    <t xml:space="preserve">FE2I642346</t>
  </si>
  <si>
    <t xml:space="preserve">1085928334</t>
  </si>
  <si>
    <t xml:space="preserve">JALED MOHAMAD  SHAYEB SHAYEB</t>
  </si>
  <si>
    <t xml:space="preserve">FETR2773</t>
  </si>
  <si>
    <t xml:space="preserve">FETR2774</t>
  </si>
  <si>
    <t xml:space="preserve">FETR2775</t>
  </si>
  <si>
    <t xml:space="preserve">98398237</t>
  </si>
  <si>
    <t xml:space="preserve">JESUS ABIECER HENAO MORILLO</t>
  </si>
  <si>
    <t xml:space="preserve">FEA13328</t>
  </si>
  <si>
    <t xml:space="preserve">FEA13329</t>
  </si>
  <si>
    <t xml:space="preserve">NC2127</t>
  </si>
  <si>
    <t xml:space="preserve">NDSE1723</t>
  </si>
  <si>
    <t xml:space="preserve">700001614</t>
  </si>
  <si>
    <t xml:space="preserve">JIANG  JIANPING</t>
  </si>
  <si>
    <t xml:space="preserve">NDSE1716</t>
  </si>
  <si>
    <t xml:space="preserve">NDSE1737</t>
  </si>
  <si>
    <t xml:space="preserve">67038405</t>
  </si>
  <si>
    <t xml:space="preserve">JILMA  AGUILAR CORONADO</t>
  </si>
  <si>
    <t xml:space="preserve">HON130</t>
  </si>
  <si>
    <t xml:space="preserve">6645873</t>
  </si>
  <si>
    <t xml:space="preserve">JOHNY EULALIO CABEZAS ORTIZ</t>
  </si>
  <si>
    <t xml:space="preserve">POSF16862</t>
  </si>
  <si>
    <t xml:space="preserve">POSF16953</t>
  </si>
  <si>
    <t xml:space="preserve">POSF17075</t>
  </si>
  <si>
    <t xml:space="preserve">10305973</t>
  </si>
  <si>
    <t xml:space="preserve">JORGE ARMANDO MENESES URBANO</t>
  </si>
  <si>
    <t xml:space="preserve">NC1</t>
  </si>
  <si>
    <t xml:space="preserve">16258486</t>
  </si>
  <si>
    <t xml:space="preserve">JOSE RITTER LOPEZ PEÑA</t>
  </si>
  <si>
    <t xml:space="preserve">FEVR23677</t>
  </si>
  <si>
    <t xml:space="preserve">901531447</t>
  </si>
  <si>
    <t xml:space="preserve">K RAMIREZ SAS</t>
  </si>
  <si>
    <t xml:space="preserve">8 documento(s)</t>
  </si>
  <si>
    <t xml:space="preserve">BZ576934</t>
  </si>
  <si>
    <t xml:space="preserve">AZ348153</t>
  </si>
  <si>
    <t xml:space="preserve">BZ580232</t>
  </si>
  <si>
    <t xml:space="preserve">BZ580904</t>
  </si>
  <si>
    <t xml:space="preserve">BZ583280</t>
  </si>
  <si>
    <t xml:space="preserve">BZ587766</t>
  </si>
  <si>
    <t xml:space="preserve">BZ590593</t>
  </si>
  <si>
    <t xml:space="preserve">BZ591133</t>
  </si>
  <si>
    <t xml:space="preserve">37577634</t>
  </si>
  <si>
    <t xml:space="preserve">KATHERINE NAVARRO CAMPO</t>
  </si>
  <si>
    <t xml:space="preserve">FE196</t>
  </si>
  <si>
    <t xml:space="preserve">NC13</t>
  </si>
  <si>
    <t xml:space="preserve">FE197</t>
  </si>
  <si>
    <t xml:space="preserve">800049104</t>
  </si>
  <si>
    <t xml:space="preserve">LABORATORIO CLINICO COLMEDICOS IPS SAS</t>
  </si>
  <si>
    <t xml:space="preserve">FCE52404</t>
  </si>
  <si>
    <t xml:space="preserve">901152321</t>
  </si>
  <si>
    <t xml:space="preserve">LATINOAMÉRICA HOSTING S.A.S.</t>
  </si>
  <si>
    <t xml:space="preserve">FE79081</t>
  </si>
  <si>
    <t xml:space="preserve">29116346</t>
  </si>
  <si>
    <t xml:space="preserve">LOPEZ INFANTE PAOLA ANDREA</t>
  </si>
  <si>
    <t xml:space="preserve">NDSE1702</t>
  </si>
  <si>
    <t xml:space="preserve">31579867</t>
  </si>
  <si>
    <t xml:space="preserve">LOPEZ TORRES SULAY</t>
  </si>
  <si>
    <t xml:space="preserve">NDSE1696</t>
  </si>
  <si>
    <t xml:space="preserve">16591962</t>
  </si>
  <si>
    <t xml:space="preserve">LUIS FERNANDO MENA SALDARRIAGA</t>
  </si>
  <si>
    <t xml:space="preserve">FE54</t>
  </si>
  <si>
    <t xml:space="preserve">FE55</t>
  </si>
  <si>
    <t xml:space="preserve">FE56</t>
  </si>
  <si>
    <t xml:space="preserve">900059238</t>
  </si>
  <si>
    <t xml:space="preserve">MAKRO SUPERMAYORISTA S.A.S</t>
  </si>
  <si>
    <t xml:space="preserve">13FT116717067</t>
  </si>
  <si>
    <t xml:space="preserve">890801339</t>
  </si>
  <si>
    <t xml:space="preserve">MANISOL S.A.S</t>
  </si>
  <si>
    <t xml:space="preserve">T30653129</t>
  </si>
  <si>
    <t xml:space="preserve">C30630433</t>
  </si>
  <si>
    <t xml:space="preserve">T30653416</t>
  </si>
  <si>
    <t xml:space="preserve">1116236400</t>
  </si>
  <si>
    <t xml:space="preserve">MARTHA LILIANA PINEDA MARTINEZ -</t>
  </si>
  <si>
    <t xml:space="preserve">FE9594</t>
  </si>
  <si>
    <t xml:space="preserve">900491889</t>
  </si>
  <si>
    <t xml:space="preserve">MASSER S A S</t>
  </si>
  <si>
    <t xml:space="preserve">KO53494633</t>
  </si>
  <si>
    <t xml:space="preserve">KO52445476</t>
  </si>
  <si>
    <t xml:space="preserve">900517932</t>
  </si>
  <si>
    <t xml:space="preserve">MEDIVALLE SF SAS</t>
  </si>
  <si>
    <t xml:space="preserve">MVFE96021</t>
  </si>
  <si>
    <t xml:space="preserve">MVFE96024</t>
  </si>
  <si>
    <t xml:space="preserve">16601539</t>
  </si>
  <si>
    <t xml:space="preserve">MENA SALDARRIAGA CARLOS ALFONSO</t>
  </si>
  <si>
    <t xml:space="preserve">NDSE1735</t>
  </si>
  <si>
    <t xml:space="preserve">900061224</t>
  </si>
  <si>
    <t xml:space="preserve">MERCAMIO SA</t>
  </si>
  <si>
    <t xml:space="preserve">4U26641</t>
  </si>
  <si>
    <t xml:space="preserve">900872767</t>
  </si>
  <si>
    <t xml:space="preserve">MIGAN CAPITAL SAS</t>
  </si>
  <si>
    <t xml:space="preserve">13SX275973</t>
  </si>
  <si>
    <t xml:space="preserve">13SX280570</t>
  </si>
  <si>
    <t xml:space="preserve">16897793</t>
  </si>
  <si>
    <t xml:space="preserve">MIGUEL ALEJANDRO CHAVARRO TORRES</t>
  </si>
  <si>
    <t xml:space="preserve">FEM1024</t>
  </si>
  <si>
    <t xml:space="preserve">94044342</t>
  </si>
  <si>
    <t xml:space="preserve">MIGUEL ANGEL CHIMACHANA MARTINEZ</t>
  </si>
  <si>
    <t xml:space="preserve">FE11171</t>
  </si>
  <si>
    <t xml:space="preserve">94431867</t>
  </si>
  <si>
    <t xml:space="preserve">MUNOZ HERRERA EDISON</t>
  </si>
  <si>
    <t xml:space="preserve">NDSE1718</t>
  </si>
  <si>
    <t xml:space="preserve">901321067</t>
  </si>
  <si>
    <t xml:space="preserve">NARVAEZ C SAS</t>
  </si>
  <si>
    <t xml:space="preserve">9 documento(s)</t>
  </si>
  <si>
    <t xml:space="preserve">FEV14492</t>
  </si>
  <si>
    <t xml:space="preserve">FEV14493</t>
  </si>
  <si>
    <t xml:space="preserve">FEV14557</t>
  </si>
  <si>
    <t xml:space="preserve">FEV14558</t>
  </si>
  <si>
    <t xml:space="preserve">FEV14559</t>
  </si>
  <si>
    <t xml:space="preserve">FEV14590</t>
  </si>
  <si>
    <t xml:space="preserve">FEV14591</t>
  </si>
  <si>
    <t xml:space="preserve">FEV14592</t>
  </si>
  <si>
    <t xml:space="preserve">FEV14644</t>
  </si>
  <si>
    <t xml:space="preserve">901635332</t>
  </si>
  <si>
    <t xml:space="preserve">NEXO REDES Y TECNOLOGÍA S.A.S.</t>
  </si>
  <si>
    <t xml:space="preserve">FENX3552</t>
  </si>
  <si>
    <t xml:space="preserve">900156094</t>
  </si>
  <si>
    <t xml:space="preserve">ONCEDIECISIETE S.A.S.</t>
  </si>
  <si>
    <t xml:space="preserve">ON383</t>
  </si>
  <si>
    <t xml:space="preserve">900156095</t>
  </si>
  <si>
    <t xml:space="preserve">OPERADORES DE ESTACIONES DE SERVICIO LTDA.</t>
  </si>
  <si>
    <t xml:space="preserve">EL018029</t>
  </si>
  <si>
    <t xml:space="preserve">EL018092</t>
  </si>
  <si>
    <t xml:space="preserve">CA018544</t>
  </si>
  <si>
    <t xml:space="preserve">900702986</t>
  </si>
  <si>
    <t xml:space="preserve">OPERLOG COLOMBIA SAS</t>
  </si>
  <si>
    <t xml:space="preserve">OP11114</t>
  </si>
  <si>
    <t xml:space="preserve">901676800</t>
  </si>
  <si>
    <t xml:space="preserve">OPG SECOEX SAS</t>
  </si>
  <si>
    <t xml:space="preserve">SX3205</t>
  </si>
  <si>
    <t xml:space="preserve">SX3245</t>
  </si>
  <si>
    <t xml:space="preserve">1130674917</t>
  </si>
  <si>
    <t xml:space="preserve">ORDOÑEZ RODRIGUEZ ALEX FERNANDO</t>
  </si>
  <si>
    <t xml:space="preserve">FVAL1424</t>
  </si>
  <si>
    <t xml:space="preserve">FVAL1481</t>
  </si>
  <si>
    <t xml:space="preserve">811037385</t>
  </si>
  <si>
    <t xml:space="preserve">ORGANIZACION MEDICO ODONTOLOGICA NACIONAL INTEGRADA S.A.</t>
  </si>
  <si>
    <t xml:space="preserve">ECC52144</t>
  </si>
  <si>
    <t xml:space="preserve">ECC52842</t>
  </si>
  <si>
    <t xml:space="preserve">94515540</t>
  </si>
  <si>
    <t xml:space="preserve">OSORIO PEREZ JOHN BAIRO</t>
  </si>
  <si>
    <t xml:space="preserve">NDSE1701</t>
  </si>
  <si>
    <t xml:space="preserve">NDSE1717</t>
  </si>
  <si>
    <t xml:space="preserve">901572994</t>
  </si>
  <si>
    <t xml:space="preserve">OURO CONSULTORIA S.A.S</t>
  </si>
  <si>
    <t xml:space="preserve">OBI364</t>
  </si>
  <si>
    <t xml:space="preserve">11510149</t>
  </si>
  <si>
    <t xml:space="preserve">PAEZ MARTINEZ REMIGIO</t>
  </si>
  <si>
    <t xml:space="preserve">NDSE1720</t>
  </si>
  <si>
    <t xml:space="preserve">901294241</t>
  </si>
  <si>
    <t xml:space="preserve">PAGOS AUTOMATICOS DE COLOMBIA SAS</t>
  </si>
  <si>
    <t xml:space="preserve">25 documento(s)</t>
  </si>
  <si>
    <t xml:space="preserve">FVFN1639253</t>
  </si>
  <si>
    <t xml:space="preserve">FEVH239729</t>
  </si>
  <si>
    <t xml:space="preserve">FEVH240068</t>
  </si>
  <si>
    <t xml:space="preserve">FVEW822860</t>
  </si>
  <si>
    <t xml:space="preserve">FVEW822859</t>
  </si>
  <si>
    <t xml:space="preserve">FEVH240309</t>
  </si>
  <si>
    <t xml:space="preserve">FVEW826196</t>
  </si>
  <si>
    <t xml:space="preserve">FVEW828757</t>
  </si>
  <si>
    <t xml:space="preserve">FEVH241893</t>
  </si>
  <si>
    <t xml:space="preserve">FVEW832598</t>
  </si>
  <si>
    <t xml:space="preserve">FEVH242096</t>
  </si>
  <si>
    <t xml:space="preserve">FEVH242213</t>
  </si>
  <si>
    <t xml:space="preserve">FVEW834255</t>
  </si>
  <si>
    <t xml:space="preserve">FEV113265090</t>
  </si>
  <si>
    <t xml:space="preserve">FVEW839056</t>
  </si>
  <si>
    <t xml:space="preserve">FVEW839573</t>
  </si>
  <si>
    <t xml:space="preserve">FEVH244585</t>
  </si>
  <si>
    <t xml:space="preserve">FEVH245236</t>
  </si>
  <si>
    <t xml:space="preserve">FVEW847707</t>
  </si>
  <si>
    <t xml:space="preserve">FVEW847615</t>
  </si>
  <si>
    <t xml:space="preserve">FVEW849327</t>
  </si>
  <si>
    <t xml:space="preserve">FVEW852238</t>
  </si>
  <si>
    <t xml:space="preserve">FVEW855899</t>
  </si>
  <si>
    <t xml:space="preserve">FVEW857462</t>
  </si>
  <si>
    <t xml:space="preserve">FVEW863746</t>
  </si>
  <si>
    <t xml:space="preserve">901160842</t>
  </si>
  <si>
    <t xml:space="preserve">PAPELERIA UNIVERSAL DISTRIBUIDORA SAS</t>
  </si>
  <si>
    <t xml:space="preserve">1D317239</t>
  </si>
  <si>
    <t xml:space="preserve">1D327275</t>
  </si>
  <si>
    <t xml:space="preserve">1D327276</t>
  </si>
  <si>
    <t xml:space="preserve">1D327277</t>
  </si>
  <si>
    <t xml:space="preserve">1D327278</t>
  </si>
  <si>
    <t xml:space="preserve">1D327279</t>
  </si>
  <si>
    <t xml:space="preserve">38241287</t>
  </si>
  <si>
    <t xml:space="preserve">PERALTA PERALTA OLGA DORIS</t>
  </si>
  <si>
    <t xml:space="preserve">FONC237</t>
  </si>
  <si>
    <t xml:space="preserve">79507659</t>
  </si>
  <si>
    <t xml:space="preserve">PEREZ LOAIZA ALVARO HUMBERTO</t>
  </si>
  <si>
    <t xml:space="preserve">NDSE1711</t>
  </si>
  <si>
    <t xml:space="preserve">45515698</t>
  </si>
  <si>
    <t xml:space="preserve">PEREZ MALLARINO MABEL</t>
  </si>
  <si>
    <t xml:space="preserve">NDSE1699</t>
  </si>
  <si>
    <t xml:space="preserve">NDSE1731</t>
  </si>
  <si>
    <t xml:space="preserve">1004959929</t>
  </si>
  <si>
    <t xml:space="preserve">PEREZ TELLEZ SUSANA</t>
  </si>
  <si>
    <t xml:space="preserve">NDSE1721</t>
  </si>
  <si>
    <t xml:space="preserve">1143842889</t>
  </si>
  <si>
    <t xml:space="preserve">PEÑALOZA DULCEY CAROLINA</t>
  </si>
  <si>
    <t xml:space="preserve">NDSE1698</t>
  </si>
  <si>
    <t xml:space="preserve">NDSE1730</t>
  </si>
  <si>
    <t xml:space="preserve">805005846</t>
  </si>
  <si>
    <t xml:space="preserve">PKF CABRERA INTERNACIONAL S.A. B.I.C</t>
  </si>
  <si>
    <t xml:space="preserve">FCAB8643</t>
  </si>
  <si>
    <t xml:space="preserve">901166056</t>
  </si>
  <si>
    <t xml:space="preserve">PLANEAR INVERSIONES SAS</t>
  </si>
  <si>
    <t xml:space="preserve">P1Y402707</t>
  </si>
  <si>
    <t xml:space="preserve">P2Y72417</t>
  </si>
  <si>
    <t xml:space="preserve">6466301</t>
  </si>
  <si>
    <t xml:space="preserve">PNS HEALTH  HECTOR FABIO MARIN MIRANDA</t>
  </si>
  <si>
    <t xml:space="preserve">FE26</t>
  </si>
  <si>
    <t xml:space="preserve">37003541</t>
  </si>
  <si>
    <t xml:space="preserve">PORTILLA CASTILLO ANA JUDITH</t>
  </si>
  <si>
    <t xml:space="preserve">NDSE1719</t>
  </si>
  <si>
    <t xml:space="preserve">NDSE1722</t>
  </si>
  <si>
    <t xml:space="preserve">900196585</t>
  </si>
  <si>
    <t xml:space="preserve">PROMADERAS ANDRADE S.A.S.</t>
  </si>
  <si>
    <t xml:space="preserve">FE1369</t>
  </si>
  <si>
    <t xml:space="preserve">901951356</t>
  </si>
  <si>
    <t xml:space="preserve">PROSEGTEC SAS</t>
  </si>
  <si>
    <t xml:space="preserve">PST8875</t>
  </si>
  <si>
    <t xml:space="preserve">900183423</t>
  </si>
  <si>
    <t xml:space="preserve">QUALITY GROUP SERVICES SAS</t>
  </si>
  <si>
    <t xml:space="preserve">FEV42522</t>
  </si>
  <si>
    <t xml:space="preserve">14590630</t>
  </si>
  <si>
    <t xml:space="preserve">QUINTERO LOPEZ JORGE ANDRES</t>
  </si>
  <si>
    <t xml:space="preserve">NDSE1712</t>
  </si>
  <si>
    <t xml:space="preserve">NDSE1726</t>
  </si>
  <si>
    <t xml:space="preserve">901231302</t>
  </si>
  <si>
    <t xml:space="preserve">RIVERA MONTOYA SAS</t>
  </si>
  <si>
    <t xml:space="preserve">FA45510</t>
  </si>
  <si>
    <t xml:space="preserve">901686515</t>
  </si>
  <si>
    <t xml:space="preserve">SALERNITANO SAS</t>
  </si>
  <si>
    <t xml:space="preserve">FS19605</t>
  </si>
  <si>
    <t xml:space="preserve">FS19751</t>
  </si>
  <si>
    <t xml:space="preserve">FS19753</t>
  </si>
  <si>
    <t xml:space="preserve">805023380</t>
  </si>
  <si>
    <t xml:space="preserve">SALUD SEMILLAS SAS</t>
  </si>
  <si>
    <t xml:space="preserve">SSFE432</t>
  </si>
  <si>
    <t xml:space="preserve">67010198</t>
  </si>
  <si>
    <t xml:space="preserve">SANDRA PATRICIA GUAYARA RIOS</t>
  </si>
  <si>
    <t xml:space="preserve">FE6804</t>
  </si>
  <si>
    <t xml:space="preserve">901186632</t>
  </si>
  <si>
    <t xml:space="preserve">SARANTO S.A.S</t>
  </si>
  <si>
    <t xml:space="preserve">FE1I592968</t>
  </si>
  <si>
    <t xml:space="preserve">FE1I597879</t>
  </si>
  <si>
    <t xml:space="preserve">890312749</t>
  </si>
  <si>
    <t xml:space="preserve">SEGURIDAD ATLAS LTDA.</t>
  </si>
  <si>
    <t xml:space="preserve">NACL637346</t>
  </si>
  <si>
    <t xml:space="preserve">900472949</t>
  </si>
  <si>
    <t xml:space="preserve">SEGURIDAD INDUSTRIAL Y MEDICA S.A.S</t>
  </si>
  <si>
    <t xml:space="preserve">FEVS32711</t>
  </si>
  <si>
    <t xml:space="preserve">890903790</t>
  </si>
  <si>
    <t xml:space="preserve">SEGUROS DE VIDA  SURAMERICANA S.A</t>
  </si>
  <si>
    <t xml:space="preserve">20833727276</t>
  </si>
  <si>
    <t xml:space="preserve">890903407</t>
  </si>
  <si>
    <t xml:space="preserve">SEGUROS GENERALES SURAMERICANA S.A</t>
  </si>
  <si>
    <t xml:space="preserve">10304525305</t>
  </si>
  <si>
    <t xml:space="preserve">901142152</t>
  </si>
  <si>
    <t xml:space="preserve">SERVICENTRO PLAZA BOLIVAR SAS</t>
  </si>
  <si>
    <t xml:space="preserve">FE1638045</t>
  </si>
  <si>
    <t xml:space="preserve">FE1655503</t>
  </si>
  <si>
    <t xml:space="preserve">FE1669088</t>
  </si>
  <si>
    <t xml:space="preserve">FE1683834</t>
  </si>
  <si>
    <t xml:space="preserve">830048145</t>
  </si>
  <si>
    <t xml:space="preserve">SIIGO S.A.S</t>
  </si>
  <si>
    <t xml:space="preserve">952044498</t>
  </si>
  <si>
    <t xml:space="preserve">1061716861</t>
  </si>
  <si>
    <t xml:space="preserve">SILVA PITO YESIKA TATIANA</t>
  </si>
  <si>
    <t xml:space="preserve">HFRP284</t>
  </si>
  <si>
    <t xml:space="preserve">900694853</t>
  </si>
  <si>
    <t xml:space="preserve">SINERGIA Y TECNOLOGIA SAS</t>
  </si>
  <si>
    <t xml:space="preserve">HI4009</t>
  </si>
  <si>
    <t xml:space="preserve">890319193</t>
  </si>
  <si>
    <t xml:space="preserve">SISTEMAS DE INFORMACION EMPRESARIAL S.A.S.</t>
  </si>
  <si>
    <t xml:space="preserve">01IE183283</t>
  </si>
  <si>
    <t xml:space="preserve">01IE183289</t>
  </si>
  <si>
    <t xml:space="preserve">01IE184568</t>
  </si>
  <si>
    <t xml:space="preserve">800084048</t>
  </si>
  <si>
    <t xml:space="preserve">SOCIEDAD PORTUARIA TERMINAL DE CONTENEDORES DE BUENAVENTURA S.A.</t>
  </si>
  <si>
    <t xml:space="preserve">13112086</t>
  </si>
  <si>
    <t xml:space="preserve">13112087</t>
  </si>
  <si>
    <t xml:space="preserve">3220501</t>
  </si>
  <si>
    <t xml:space="preserve">800242106</t>
  </si>
  <si>
    <t xml:space="preserve">SODIMAC COLOMBIA S.A.</t>
  </si>
  <si>
    <t xml:space="preserve">19 documento(s)</t>
  </si>
  <si>
    <t xml:space="preserve">3108100421446</t>
  </si>
  <si>
    <t xml:space="preserve">3108100423035</t>
  </si>
  <si>
    <t xml:space="preserve">3107100389852</t>
  </si>
  <si>
    <t xml:space="preserve">NC4924461</t>
  </si>
  <si>
    <t xml:space="preserve">3116100285460</t>
  </si>
  <si>
    <t xml:space="preserve">3112100408731</t>
  </si>
  <si>
    <t xml:space="preserve">NC4924349</t>
  </si>
  <si>
    <t xml:space="preserve">3117100267318</t>
  </si>
  <si>
    <t xml:space="preserve">3110100471717</t>
  </si>
  <si>
    <t xml:space="preserve">3112100408730</t>
  </si>
  <si>
    <t xml:space="preserve">3117100267723</t>
  </si>
  <si>
    <t xml:space="preserve">3109100479657</t>
  </si>
  <si>
    <t xml:space="preserve">3104100346123</t>
  </si>
  <si>
    <t xml:space="preserve">NC4959647</t>
  </si>
  <si>
    <t xml:space="preserve">3111100546406</t>
  </si>
  <si>
    <t xml:space="preserve">3112100410535</t>
  </si>
  <si>
    <t xml:space="preserve">3104100347337</t>
  </si>
  <si>
    <t xml:space="preserve">3110100474613</t>
  </si>
  <si>
    <t xml:space="preserve">3111100548249</t>
  </si>
  <si>
    <t xml:space="preserve">901176966</t>
  </si>
  <si>
    <t xml:space="preserve">SOLUCIONES SOSTENIBLES DE COLOMBIA SAS</t>
  </si>
  <si>
    <t xml:space="preserve">SCFE5</t>
  </si>
  <si>
    <t xml:space="preserve">SCFE6</t>
  </si>
  <si>
    <t xml:space="preserve">890911898</t>
  </si>
  <si>
    <t xml:space="preserve">STOP S.A.S</t>
  </si>
  <si>
    <t xml:space="preserve">37567688</t>
  </si>
  <si>
    <t xml:space="preserve">80807615</t>
  </si>
  <si>
    <t xml:space="preserve">SUAREZ CASTRO ANDRES FRANCISCO</t>
  </si>
  <si>
    <t xml:space="preserve">NDSE1710</t>
  </si>
  <si>
    <t xml:space="preserve">900943243</t>
  </si>
  <si>
    <t xml:space="preserve">SURAMERICA COMERCIAL S.A.S</t>
  </si>
  <si>
    <t xml:space="preserve">F0012059313</t>
  </si>
  <si>
    <t xml:space="preserve">F0532011439</t>
  </si>
  <si>
    <t xml:space="preserve">860016640</t>
  </si>
  <si>
    <t xml:space="preserve">TCC SAS</t>
  </si>
  <si>
    <t xml:space="preserve">C0031011008</t>
  </si>
  <si>
    <t xml:space="preserve">C0031011375</t>
  </si>
  <si>
    <t xml:space="preserve">901149951</t>
  </si>
  <si>
    <t xml:space="preserve">TECNOLOGIA INFORMATICA Y COMUNICACIONES SAS</t>
  </si>
  <si>
    <t xml:space="preserve">FE132724</t>
  </si>
  <si>
    <t xml:space="preserve">FE132988</t>
  </si>
  <si>
    <t xml:space="preserve">FE134508</t>
  </si>
  <si>
    <t xml:space="preserve">890301067</t>
  </si>
  <si>
    <t xml:space="preserve">TRANSPORTADORA LA PRENSA DEL VALLE S.A.S</t>
  </si>
  <si>
    <t xml:space="preserve">FED160074</t>
  </si>
  <si>
    <t xml:space="preserve">FED160859</t>
  </si>
  <si>
    <t xml:space="preserve">FED161667</t>
  </si>
  <si>
    <t xml:space="preserve">FED162566</t>
  </si>
  <si>
    <t xml:space="preserve">900718771</t>
  </si>
  <si>
    <t xml:space="preserve">TRES RIOS S.A.S</t>
  </si>
  <si>
    <t xml:space="preserve">E433517</t>
  </si>
  <si>
    <t xml:space="preserve">1113688126</t>
  </si>
  <si>
    <t xml:space="preserve">VALENTINA YEPES ABADIA</t>
  </si>
  <si>
    <t xml:space="preserve">FE69</t>
  </si>
  <si>
    <t xml:space="preserve">16915764</t>
  </si>
  <si>
    <t xml:space="preserve">VELASCO MUÑOZ WILLIAM JOSE</t>
  </si>
  <si>
    <t xml:space="preserve">FE4550</t>
  </si>
  <si>
    <t xml:space="preserve">FE4553</t>
  </si>
  <si>
    <t xml:space="preserve">901583473</t>
  </si>
  <si>
    <t xml:space="preserve">VICMAR MULTISERVICIOS S.A.S</t>
  </si>
  <si>
    <t xml:space="preserve">VICM589</t>
  </si>
  <si>
    <t xml:space="preserve">1006038039</t>
  </si>
  <si>
    <t xml:space="preserve">VUKONICH GARCIA MATEO</t>
  </si>
  <si>
    <t xml:space="preserve">NDSE1706</t>
  </si>
  <si>
    <t xml:space="preserve">NDSE1707</t>
  </si>
  <si>
    <t xml:space="preserve">901944570</t>
  </si>
  <si>
    <t xml:space="preserve">ZIGMA ECOOM SAS</t>
  </si>
  <si>
    <t xml:space="preserve">FEZ1763</t>
  </si>
  <si>
    <t xml:space="preserve">Grupo</t>
  </si>
  <si>
    <t xml:space="preserve">Total DIAN</t>
  </si>
  <si>
    <t xml:space="preserve">Estado DIAN</t>
  </si>
  <si>
    <t xml:space="preserve">Emitido</t>
  </si>
  <si>
    <t xml:space="preserve">Aprobado con notificación</t>
  </si>
  <si>
    <t xml:space="preserve">Recibido</t>
  </si>
  <si>
    <t xml:space="preserve">Aprobado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</si>
</sst>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;[RED]\-#,##0.00"/>
    <numFmt numFmtId="166" formatCode="dd/mm/yyyy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BaseDIAN" displayName="BaseDIAN" ref="A1:K374" headerRowCount="1" totalsRowCount="0" totalsRowShown="0">
  <autoFilter ref="A1:K374"/>
  <tableColumns count="11">
    <tableColumn id="1" name="NIT"/>
    <tableColumn id="2" name="Tercero"/>
    <tableColumn id="3" name="Documento"/>
    <tableColumn id="4" name="Tipo de documento"/>
    <tableColumn id="5" name="Grupo"/>
    <tableColumn id="6" name="Fecha emisión"/>
    <tableColumn id="7" name="IVA"/>
    <tableColumn id="8" name="Total DIAN"/>
    <tableColumn id="9" name="Valor (neto)"/>
    <tableColumn id="10" name="Estado DIAN"/>
    <tableColumn id="11" name="Clasificación conciliación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H5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14"/>
    <col collapsed="false" customWidth="true" hidden="false" outlineLevel="0" max="2" min="2" style="0" width="46"/>
    <col collapsed="false" customWidth="true" hidden="false" outlineLevel="0" max="3" min="3" style="0" width="22"/>
    <col collapsed="false" customWidth="true" hidden="false" outlineLevel="0" max="4" min="4" style="0" width="44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18"/>
    <col collapsed="false" customWidth="true" hidden="false" outlineLevel="0" max="8" min="8" style="0" width="26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B2" s="2" t="s">
        <v>1</v>
      </c>
      <c r="G2" s="3" t="n">
        <f aca="false">SUMIF(D5:D10000,"TOTAL TERCERO",G5:G10000)</f>
        <v>913612273.5289</v>
      </c>
    </row>
    <row r="4" customFormat="false" ht="26.8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false" outlineLevel="0" collapsed="false">
      <c r="A5" s="5" t="s">
        <v>10</v>
      </c>
      <c r="B5" s="5" t="s">
        <v>11</v>
      </c>
      <c r="C5" s="5" t="s">
        <v>12</v>
      </c>
      <c r="D5" s="5" t="s">
        <v>13</v>
      </c>
      <c r="E5" s="5"/>
      <c r="F5" s="6" t="n">
        <f aca="false">SUMIFS(Base!$G:$G,Base!$A:$A,$A5)</f>
        <v>0</v>
      </c>
      <c r="G5" s="6" t="n">
        <f aca="false">SUMIFS(Base!$I:$I,Base!$A:$A,$A5)</f>
        <v>289000</v>
      </c>
      <c r="H5" s="5"/>
    </row>
    <row r="6" customFormat="false" ht="15" hidden="true" customHeight="false" outlineLevel="1" collapsed="false">
      <c r="A6" s="7" t="s">
        <v>10</v>
      </c>
      <c r="B6" s="7" t="s">
        <v>11</v>
      </c>
      <c r="C6" s="7" t="s">
        <v>14</v>
      </c>
      <c r="D6" s="7" t="s">
        <v>15</v>
      </c>
      <c r="E6" s="8" t="n">
        <v>46273</v>
      </c>
      <c r="F6" s="9" t="n">
        <v>0</v>
      </c>
      <c r="G6" s="9" t="n">
        <v>289000</v>
      </c>
      <c r="H6" s="7" t="s">
        <v>16</v>
      </c>
    </row>
    <row r="7" customFormat="false" ht="15" hidden="false" customHeight="false" outlineLevel="0" collapsed="false">
      <c r="A7" s="5" t="s">
        <v>17</v>
      </c>
      <c r="B7" s="5" t="s">
        <v>18</v>
      </c>
      <c r="C7" s="5" t="s">
        <v>12</v>
      </c>
      <c r="D7" s="5" t="s">
        <v>13</v>
      </c>
      <c r="E7" s="5"/>
      <c r="F7" s="6" t="n">
        <f aca="false">SUMIFS(Base!$G:$G,Base!$A:$A,$A7)</f>
        <v>2726120</v>
      </c>
      <c r="G7" s="6" t="n">
        <f aca="false">SUMIFS(Base!$I:$I,Base!$A:$A,$A7)</f>
        <v>17074120</v>
      </c>
      <c r="H7" s="5"/>
    </row>
    <row r="8" customFormat="false" ht="15" hidden="true" customHeight="false" outlineLevel="1" collapsed="false">
      <c r="A8" s="7" t="s">
        <v>17</v>
      </c>
      <c r="B8" s="7" t="s">
        <v>18</v>
      </c>
      <c r="C8" s="7" t="s">
        <v>19</v>
      </c>
      <c r="D8" s="7" t="s">
        <v>20</v>
      </c>
      <c r="E8" s="8" t="n">
        <v>46266</v>
      </c>
      <c r="F8" s="9" t="n">
        <v>2726120</v>
      </c>
      <c r="G8" s="9" t="n">
        <v>17074120</v>
      </c>
      <c r="H8" s="7" t="s">
        <v>16</v>
      </c>
    </row>
    <row r="9" customFormat="false" ht="15" hidden="false" customHeight="false" outlineLevel="0" collapsed="false">
      <c r="A9" s="5" t="s">
        <v>21</v>
      </c>
      <c r="B9" s="5" t="s">
        <v>22</v>
      </c>
      <c r="C9" s="5" t="s">
        <v>23</v>
      </c>
      <c r="D9" s="5" t="s">
        <v>13</v>
      </c>
      <c r="E9" s="5"/>
      <c r="F9" s="6" t="n">
        <f aca="false">SUMIFS(Base!$G:$G,Base!$A:$A,$A9)</f>
        <v>588490</v>
      </c>
      <c r="G9" s="6" t="n">
        <f aca="false">SUMIFS(Base!$I:$I,Base!$A:$A,$A9)</f>
        <v>21032437</v>
      </c>
      <c r="H9" s="5"/>
    </row>
    <row r="10" customFormat="false" ht="15" hidden="true" customHeight="false" outlineLevel="1" collapsed="false">
      <c r="A10" s="7" t="s">
        <v>21</v>
      </c>
      <c r="B10" s="7" t="s">
        <v>22</v>
      </c>
      <c r="C10" s="7" t="s">
        <v>24</v>
      </c>
      <c r="D10" s="7" t="s">
        <v>25</v>
      </c>
      <c r="E10" s="8" t="n">
        <v>46273</v>
      </c>
      <c r="F10" s="9" t="n">
        <v>521750</v>
      </c>
      <c r="G10" s="9" t="n">
        <v>3317339</v>
      </c>
      <c r="H10" s="7" t="s">
        <v>26</v>
      </c>
    </row>
    <row r="11" customFormat="false" ht="15" hidden="true" customHeight="false" outlineLevel="1" collapsed="false">
      <c r="A11" s="7" t="s">
        <v>21</v>
      </c>
      <c r="B11" s="7" t="s">
        <v>22</v>
      </c>
      <c r="C11" s="7" t="s">
        <v>27</v>
      </c>
      <c r="D11" s="7" t="s">
        <v>20</v>
      </c>
      <c r="E11" s="8" t="n">
        <v>46280</v>
      </c>
      <c r="F11" s="9" t="n">
        <v>0</v>
      </c>
      <c r="G11" s="9" t="n">
        <v>13701380</v>
      </c>
      <c r="H11" s="7" t="s">
        <v>16</v>
      </c>
    </row>
    <row r="12" customFormat="false" ht="15" hidden="true" customHeight="false" outlineLevel="1" collapsed="false">
      <c r="A12" s="7" t="s">
        <v>21</v>
      </c>
      <c r="B12" s="7" t="s">
        <v>22</v>
      </c>
      <c r="C12" s="7" t="s">
        <v>28</v>
      </c>
      <c r="D12" s="7" t="s">
        <v>25</v>
      </c>
      <c r="E12" s="8" t="n">
        <v>46281</v>
      </c>
      <c r="F12" s="9" t="n">
        <v>66740</v>
      </c>
      <c r="G12" s="9" t="n">
        <v>417940</v>
      </c>
      <c r="H12" s="7" t="s">
        <v>26</v>
      </c>
    </row>
    <row r="13" customFormat="false" ht="15" hidden="true" customHeight="false" outlineLevel="1" collapsed="false">
      <c r="A13" s="7" t="s">
        <v>21</v>
      </c>
      <c r="B13" s="7" t="s">
        <v>22</v>
      </c>
      <c r="C13" s="7" t="s">
        <v>29</v>
      </c>
      <c r="D13" s="7" t="s">
        <v>20</v>
      </c>
      <c r="E13" s="8" t="n">
        <v>46295</v>
      </c>
      <c r="F13" s="9" t="n">
        <v>0</v>
      </c>
      <c r="G13" s="9" t="n">
        <v>4535050</v>
      </c>
      <c r="H13" s="7" t="s">
        <v>16</v>
      </c>
    </row>
    <row r="14" customFormat="false" ht="15" hidden="true" customHeight="false" outlineLevel="1" collapsed="false">
      <c r="A14" s="7" t="s">
        <v>21</v>
      </c>
      <c r="B14" s="7" t="s">
        <v>22</v>
      </c>
      <c r="C14" s="7" t="s">
        <v>30</v>
      </c>
      <c r="D14" s="7" t="s">
        <v>31</v>
      </c>
      <c r="E14" s="8" t="n">
        <v>46295</v>
      </c>
      <c r="F14" s="9" t="n">
        <v>0</v>
      </c>
      <c r="G14" s="9" t="n">
        <v>-939272</v>
      </c>
      <c r="H14" s="7" t="s">
        <v>16</v>
      </c>
    </row>
    <row r="15" customFormat="false" ht="15" hidden="false" customHeight="false" outlineLevel="0" collapsed="false">
      <c r="A15" s="5" t="s">
        <v>32</v>
      </c>
      <c r="B15" s="5" t="s">
        <v>33</v>
      </c>
      <c r="C15" s="5" t="s">
        <v>12</v>
      </c>
      <c r="D15" s="5" t="s">
        <v>13</v>
      </c>
      <c r="E15" s="5"/>
      <c r="F15" s="6" t="n">
        <f aca="false">SUMIFS(Base!$G:$G,Base!$A:$A,$A15)</f>
        <v>84360</v>
      </c>
      <c r="G15" s="6" t="n">
        <f aca="false">SUMIFS(Base!$I:$I,Base!$A:$A,$A15)</f>
        <v>553160</v>
      </c>
      <c r="H15" s="5"/>
    </row>
    <row r="16" customFormat="false" ht="15" hidden="true" customHeight="false" outlineLevel="1" collapsed="false">
      <c r="A16" s="7" t="s">
        <v>32</v>
      </c>
      <c r="B16" s="7" t="s">
        <v>33</v>
      </c>
      <c r="C16" s="7" t="s">
        <v>34</v>
      </c>
      <c r="D16" s="7" t="s">
        <v>20</v>
      </c>
      <c r="E16" s="8" t="n">
        <v>46275</v>
      </c>
      <c r="F16" s="9" t="n">
        <v>84360</v>
      </c>
      <c r="G16" s="9" t="n">
        <v>553160</v>
      </c>
      <c r="H16" s="7" t="s">
        <v>16</v>
      </c>
    </row>
    <row r="17" customFormat="false" ht="15" hidden="false" customHeight="false" outlineLevel="0" collapsed="false">
      <c r="A17" s="5" t="s">
        <v>35</v>
      </c>
      <c r="B17" s="5" t="s">
        <v>36</v>
      </c>
      <c r="C17" s="5" t="s">
        <v>37</v>
      </c>
      <c r="D17" s="5" t="s">
        <v>13</v>
      </c>
      <c r="E17" s="5"/>
      <c r="F17" s="6" t="n">
        <f aca="false">SUMIFS(Base!$G:$G,Base!$A:$A,$A17)</f>
        <v>0</v>
      </c>
      <c r="G17" s="6" t="n">
        <f aca="false">SUMIFS(Base!$I:$I,Base!$A:$A,$A17)</f>
        <v>4050000</v>
      </c>
      <c r="H17" s="5"/>
    </row>
    <row r="18" customFormat="false" ht="15" hidden="true" customHeight="false" outlineLevel="1" collapsed="false">
      <c r="A18" s="7" t="s">
        <v>35</v>
      </c>
      <c r="B18" s="7" t="s">
        <v>36</v>
      </c>
      <c r="C18" s="7" t="s">
        <v>38</v>
      </c>
      <c r="D18" s="7" t="s">
        <v>20</v>
      </c>
      <c r="E18" s="8" t="n">
        <v>46275</v>
      </c>
      <c r="F18" s="9" t="n">
        <v>0</v>
      </c>
      <c r="G18" s="9" t="n">
        <v>450000</v>
      </c>
      <c r="H18" s="7" t="s">
        <v>16</v>
      </c>
    </row>
    <row r="19" customFormat="false" ht="15" hidden="true" customHeight="false" outlineLevel="1" collapsed="false">
      <c r="A19" s="7" t="s">
        <v>35</v>
      </c>
      <c r="B19" s="7" t="s">
        <v>36</v>
      </c>
      <c r="C19" s="7" t="s">
        <v>39</v>
      </c>
      <c r="D19" s="7" t="s">
        <v>20</v>
      </c>
      <c r="E19" s="8" t="n">
        <v>46295</v>
      </c>
      <c r="F19" s="9" t="n">
        <v>0</v>
      </c>
      <c r="G19" s="9" t="n">
        <v>3150000</v>
      </c>
      <c r="H19" s="7" t="s">
        <v>40</v>
      </c>
    </row>
    <row r="20" customFormat="false" ht="15" hidden="true" customHeight="false" outlineLevel="1" collapsed="false">
      <c r="A20" s="7" t="s">
        <v>35</v>
      </c>
      <c r="B20" s="7" t="s">
        <v>36</v>
      </c>
      <c r="C20" s="7" t="s">
        <v>41</v>
      </c>
      <c r="D20" s="7" t="s">
        <v>20</v>
      </c>
      <c r="E20" s="8" t="n">
        <v>46295</v>
      </c>
      <c r="F20" s="9" t="n">
        <v>0</v>
      </c>
      <c r="G20" s="9" t="n">
        <v>450000</v>
      </c>
      <c r="H20" s="7" t="s">
        <v>26</v>
      </c>
    </row>
    <row r="21" customFormat="false" ht="15" hidden="false" customHeight="false" outlineLevel="0" collapsed="false">
      <c r="A21" s="5" t="s">
        <v>42</v>
      </c>
      <c r="B21" s="5" t="s">
        <v>43</v>
      </c>
      <c r="C21" s="5" t="s">
        <v>12</v>
      </c>
      <c r="D21" s="5" t="s">
        <v>13</v>
      </c>
      <c r="E21" s="5"/>
      <c r="F21" s="6" t="n">
        <f aca="false">SUMIFS(Base!$G:$G,Base!$A:$A,$A21)</f>
        <v>126453.78</v>
      </c>
      <c r="G21" s="6" t="n">
        <f aca="false">SUMIFS(Base!$I:$I,Base!$A:$A,$A21)</f>
        <v>792000.02</v>
      </c>
      <c r="H21" s="5"/>
    </row>
    <row r="22" customFormat="false" ht="15" hidden="true" customHeight="false" outlineLevel="1" collapsed="false">
      <c r="A22" s="7" t="s">
        <v>42</v>
      </c>
      <c r="B22" s="7" t="s">
        <v>43</v>
      </c>
      <c r="C22" s="7" t="s">
        <v>44</v>
      </c>
      <c r="D22" s="7" t="s">
        <v>20</v>
      </c>
      <c r="E22" s="8" t="n">
        <v>46282</v>
      </c>
      <c r="F22" s="9" t="n">
        <v>126453.78</v>
      </c>
      <c r="G22" s="9" t="n">
        <v>792000.02</v>
      </c>
      <c r="H22" s="7" t="s">
        <v>26</v>
      </c>
    </row>
    <row r="23" customFormat="false" ht="15" hidden="false" customHeight="false" outlineLevel="0" collapsed="false">
      <c r="A23" s="5" t="s">
        <v>45</v>
      </c>
      <c r="B23" s="5" t="s">
        <v>46</v>
      </c>
      <c r="C23" s="5" t="s">
        <v>12</v>
      </c>
      <c r="D23" s="5" t="s">
        <v>13</v>
      </c>
      <c r="E23" s="5"/>
      <c r="F23" s="6" t="n">
        <f aca="false">SUMIFS(Base!$G:$G,Base!$A:$A,$A23)</f>
        <v>5920.34</v>
      </c>
      <c r="G23" s="6" t="n">
        <f aca="false">SUMIFS(Base!$I:$I,Base!$A:$A,$A23)</f>
        <v>37080</v>
      </c>
      <c r="H23" s="5"/>
    </row>
    <row r="24" customFormat="false" ht="15" hidden="true" customHeight="false" outlineLevel="1" collapsed="false">
      <c r="A24" s="7" t="s">
        <v>45</v>
      </c>
      <c r="B24" s="7" t="s">
        <v>46</v>
      </c>
      <c r="C24" s="7" t="s">
        <v>47</v>
      </c>
      <c r="D24" s="7" t="s">
        <v>20</v>
      </c>
      <c r="E24" s="8" t="n">
        <v>46288</v>
      </c>
      <c r="F24" s="9" t="n">
        <v>5920.34</v>
      </c>
      <c r="G24" s="9" t="n">
        <v>37080</v>
      </c>
      <c r="H24" s="7" t="s">
        <v>16</v>
      </c>
    </row>
    <row r="25" customFormat="false" ht="15" hidden="false" customHeight="false" outlineLevel="0" collapsed="false">
      <c r="A25" s="5" t="s">
        <v>48</v>
      </c>
      <c r="B25" s="5" t="s">
        <v>49</v>
      </c>
      <c r="C25" s="5" t="s">
        <v>12</v>
      </c>
      <c r="D25" s="5" t="s">
        <v>13</v>
      </c>
      <c r="E25" s="5"/>
      <c r="F25" s="6" t="n">
        <f aca="false">SUMIFS(Base!$G:$G,Base!$A:$A,$A25)</f>
        <v>0</v>
      </c>
      <c r="G25" s="6" t="n">
        <f aca="false">SUMIFS(Base!$I:$I,Base!$A:$A,$A25)</f>
        <v>1850000</v>
      </c>
      <c r="H25" s="5"/>
    </row>
    <row r="26" customFormat="false" ht="15" hidden="true" customHeight="false" outlineLevel="1" collapsed="false">
      <c r="A26" s="7" t="s">
        <v>48</v>
      </c>
      <c r="B26" s="7" t="s">
        <v>49</v>
      </c>
      <c r="C26" s="7" t="s">
        <v>50</v>
      </c>
      <c r="D26" s="7" t="s">
        <v>20</v>
      </c>
      <c r="E26" s="8" t="n">
        <v>46273</v>
      </c>
      <c r="F26" s="9" t="n">
        <v>0</v>
      </c>
      <c r="G26" s="9" t="n">
        <v>1850000</v>
      </c>
      <c r="H26" s="7" t="s">
        <v>40</v>
      </c>
    </row>
    <row r="27" customFormat="false" ht="15" hidden="false" customHeight="false" outlineLevel="0" collapsed="false">
      <c r="A27" s="5" t="s">
        <v>51</v>
      </c>
      <c r="B27" s="5" t="s">
        <v>52</v>
      </c>
      <c r="C27" s="5" t="s">
        <v>12</v>
      </c>
      <c r="D27" s="5" t="s">
        <v>13</v>
      </c>
      <c r="E27" s="5"/>
      <c r="F27" s="6" t="n">
        <f aca="false">SUMIFS(Base!$G:$G,Base!$A:$A,$A27)</f>
        <v>96115.3</v>
      </c>
      <c r="G27" s="6" t="n">
        <f aca="false">SUMIFS(Base!$I:$I,Base!$A:$A,$A27)</f>
        <v>601985.3</v>
      </c>
      <c r="H27" s="5"/>
    </row>
    <row r="28" customFormat="false" ht="15" hidden="true" customHeight="false" outlineLevel="1" collapsed="false">
      <c r="A28" s="7" t="s">
        <v>51</v>
      </c>
      <c r="B28" s="7" t="s">
        <v>52</v>
      </c>
      <c r="C28" s="7" t="s">
        <v>53</v>
      </c>
      <c r="D28" s="7" t="s">
        <v>20</v>
      </c>
      <c r="E28" s="8" t="n">
        <v>46295</v>
      </c>
      <c r="F28" s="9" t="n">
        <v>96115.3</v>
      </c>
      <c r="G28" s="9" t="n">
        <v>601985.3</v>
      </c>
      <c r="H28" s="7" t="s">
        <v>26</v>
      </c>
    </row>
    <row r="29" customFormat="false" ht="15" hidden="false" customHeight="false" outlineLevel="0" collapsed="false">
      <c r="A29" s="5" t="s">
        <v>54</v>
      </c>
      <c r="B29" s="5" t="s">
        <v>55</v>
      </c>
      <c r="C29" s="5" t="s">
        <v>12</v>
      </c>
      <c r="D29" s="5" t="s">
        <v>13</v>
      </c>
      <c r="E29" s="5"/>
      <c r="F29" s="6" t="n">
        <f aca="false">SUMIFS(Base!$G:$G,Base!$A:$A,$A29)</f>
        <v>22177.31</v>
      </c>
      <c r="G29" s="6" t="n">
        <f aca="false">SUMIFS(Base!$I:$I,Base!$A:$A,$A29)</f>
        <v>138900</v>
      </c>
      <c r="H29" s="5"/>
    </row>
    <row r="30" customFormat="false" ht="15" hidden="true" customHeight="false" outlineLevel="1" collapsed="false">
      <c r="A30" s="7" t="s">
        <v>54</v>
      </c>
      <c r="B30" s="7" t="s">
        <v>55</v>
      </c>
      <c r="C30" s="7" t="s">
        <v>56</v>
      </c>
      <c r="D30" s="7" t="s">
        <v>20</v>
      </c>
      <c r="E30" s="8" t="n">
        <v>46269</v>
      </c>
      <c r="F30" s="9" t="n">
        <v>22177.31</v>
      </c>
      <c r="G30" s="9" t="n">
        <v>138900</v>
      </c>
      <c r="H30" s="7" t="s">
        <v>16</v>
      </c>
    </row>
    <row r="31" customFormat="false" ht="15" hidden="false" customHeight="false" outlineLevel="0" collapsed="false">
      <c r="A31" s="5" t="s">
        <v>57</v>
      </c>
      <c r="B31" s="5" t="s">
        <v>58</v>
      </c>
      <c r="C31" s="5" t="s">
        <v>12</v>
      </c>
      <c r="D31" s="5" t="s">
        <v>13</v>
      </c>
      <c r="E31" s="5"/>
      <c r="F31" s="6" t="n">
        <f aca="false">SUMIFS(Base!$G:$G,Base!$A:$A,$A31)</f>
        <v>1111500</v>
      </c>
      <c r="G31" s="6" t="n">
        <f aca="false">SUMIFS(Base!$I:$I,Base!$A:$A,$A31)</f>
        <v>6961500</v>
      </c>
      <c r="H31" s="5"/>
    </row>
    <row r="32" customFormat="false" ht="15" hidden="true" customHeight="false" outlineLevel="1" collapsed="false">
      <c r="A32" s="7" t="s">
        <v>57</v>
      </c>
      <c r="B32" s="7" t="s">
        <v>58</v>
      </c>
      <c r="C32" s="7" t="s">
        <v>59</v>
      </c>
      <c r="D32" s="7" t="s">
        <v>20</v>
      </c>
      <c r="E32" s="8" t="n">
        <v>46276</v>
      </c>
      <c r="F32" s="9" t="n">
        <v>1111500</v>
      </c>
      <c r="G32" s="9" t="n">
        <v>6961500</v>
      </c>
      <c r="H32" s="7" t="s">
        <v>26</v>
      </c>
    </row>
    <row r="33" customFormat="false" ht="15" hidden="false" customHeight="false" outlineLevel="0" collapsed="false">
      <c r="A33" s="5" t="s">
        <v>60</v>
      </c>
      <c r="B33" s="5" t="s">
        <v>61</v>
      </c>
      <c r="C33" s="5" t="s">
        <v>12</v>
      </c>
      <c r="D33" s="5" t="s">
        <v>13</v>
      </c>
      <c r="E33" s="5"/>
      <c r="F33" s="6" t="n">
        <f aca="false">SUMIFS(Base!$G:$G,Base!$A:$A,$A33)</f>
        <v>0</v>
      </c>
      <c r="G33" s="6" t="n">
        <f aca="false">SUMIFS(Base!$I:$I,Base!$A:$A,$A33)</f>
        <v>561300</v>
      </c>
      <c r="H33" s="5"/>
    </row>
    <row r="34" customFormat="false" ht="15" hidden="true" customHeight="false" outlineLevel="1" collapsed="false">
      <c r="A34" s="7" t="s">
        <v>60</v>
      </c>
      <c r="B34" s="7" t="s">
        <v>61</v>
      </c>
      <c r="C34" s="7" t="s">
        <v>62</v>
      </c>
      <c r="D34" s="7" t="s">
        <v>20</v>
      </c>
      <c r="E34" s="8" t="n">
        <v>46289</v>
      </c>
      <c r="F34" s="9" t="n">
        <v>0</v>
      </c>
      <c r="G34" s="9" t="n">
        <v>561300</v>
      </c>
      <c r="H34" s="7" t="s">
        <v>16</v>
      </c>
    </row>
    <row r="35" customFormat="false" ht="15" hidden="false" customHeight="false" outlineLevel="0" collapsed="false">
      <c r="A35" s="5" t="s">
        <v>63</v>
      </c>
      <c r="B35" s="5" t="s">
        <v>64</v>
      </c>
      <c r="C35" s="5" t="s">
        <v>37</v>
      </c>
      <c r="D35" s="5" t="s">
        <v>13</v>
      </c>
      <c r="E35" s="5"/>
      <c r="F35" s="6" t="n">
        <f aca="false">SUMIFS(Base!$G:$G,Base!$A:$A,$A35)</f>
        <v>0</v>
      </c>
      <c r="G35" s="6" t="n">
        <f aca="false">SUMIFS(Base!$I:$I,Base!$A:$A,$A35)</f>
        <v>5256500</v>
      </c>
      <c r="H35" s="5"/>
    </row>
    <row r="36" customFormat="false" ht="15" hidden="true" customHeight="false" outlineLevel="1" collapsed="false">
      <c r="A36" s="7" t="s">
        <v>63</v>
      </c>
      <c r="B36" s="7" t="s">
        <v>64</v>
      </c>
      <c r="C36" s="7" t="s">
        <v>65</v>
      </c>
      <c r="D36" s="7" t="s">
        <v>15</v>
      </c>
      <c r="E36" s="8" t="n">
        <v>46269</v>
      </c>
      <c r="F36" s="9" t="n">
        <v>0</v>
      </c>
      <c r="G36" s="9" t="n">
        <v>1620000</v>
      </c>
      <c r="H36" s="7" t="s">
        <v>16</v>
      </c>
    </row>
    <row r="37" customFormat="false" ht="15" hidden="true" customHeight="false" outlineLevel="1" collapsed="false">
      <c r="A37" s="7" t="s">
        <v>63</v>
      </c>
      <c r="B37" s="7" t="s">
        <v>64</v>
      </c>
      <c r="C37" s="7" t="s">
        <v>66</v>
      </c>
      <c r="D37" s="7" t="s">
        <v>15</v>
      </c>
      <c r="E37" s="8" t="n">
        <v>46275</v>
      </c>
      <c r="F37" s="9" t="n">
        <v>0</v>
      </c>
      <c r="G37" s="9" t="n">
        <v>3000000</v>
      </c>
      <c r="H37" s="7" t="s">
        <v>16</v>
      </c>
    </row>
    <row r="38" customFormat="false" ht="15" hidden="true" customHeight="false" outlineLevel="1" collapsed="false">
      <c r="A38" s="7" t="s">
        <v>63</v>
      </c>
      <c r="B38" s="7" t="s">
        <v>64</v>
      </c>
      <c r="C38" s="7" t="s">
        <v>67</v>
      </c>
      <c r="D38" s="7" t="s">
        <v>15</v>
      </c>
      <c r="E38" s="8" t="n">
        <v>46294</v>
      </c>
      <c r="F38" s="9" t="n">
        <v>0</v>
      </c>
      <c r="G38" s="9" t="n">
        <v>636500</v>
      </c>
      <c r="H38" s="7" t="s">
        <v>16</v>
      </c>
    </row>
    <row r="39" customFormat="false" ht="15" hidden="false" customHeight="false" outlineLevel="0" collapsed="false">
      <c r="A39" s="5" t="s">
        <v>68</v>
      </c>
      <c r="B39" s="5" t="s">
        <v>69</v>
      </c>
      <c r="C39" s="5" t="s">
        <v>12</v>
      </c>
      <c r="D39" s="5" t="s">
        <v>13</v>
      </c>
      <c r="E39" s="5"/>
      <c r="F39" s="6" t="n">
        <f aca="false">SUMIFS(Base!$G:$G,Base!$A:$A,$A39)</f>
        <v>0</v>
      </c>
      <c r="G39" s="6" t="n">
        <f aca="false">SUMIFS(Base!$I:$I,Base!$A:$A,$A39)</f>
        <v>275000</v>
      </c>
      <c r="H39" s="5"/>
    </row>
    <row r="40" customFormat="false" ht="15" hidden="true" customHeight="false" outlineLevel="1" collapsed="false">
      <c r="A40" s="7" t="s">
        <v>68</v>
      </c>
      <c r="B40" s="7" t="s">
        <v>69</v>
      </c>
      <c r="C40" s="7" t="s">
        <v>70</v>
      </c>
      <c r="D40" s="7" t="s">
        <v>20</v>
      </c>
      <c r="E40" s="8" t="n">
        <v>46266</v>
      </c>
      <c r="F40" s="9" t="n">
        <v>0</v>
      </c>
      <c r="G40" s="9" t="n">
        <v>275000</v>
      </c>
      <c r="H40" s="7" t="s">
        <v>40</v>
      </c>
    </row>
    <row r="41" customFormat="false" ht="15" hidden="false" customHeight="false" outlineLevel="0" collapsed="false">
      <c r="A41" s="5" t="s">
        <v>71</v>
      </c>
      <c r="B41" s="5" t="s">
        <v>72</v>
      </c>
      <c r="C41" s="5" t="s">
        <v>37</v>
      </c>
      <c r="D41" s="5" t="s">
        <v>13</v>
      </c>
      <c r="E41" s="5"/>
      <c r="F41" s="6" t="n">
        <f aca="false">SUMIFS(Base!$G:$G,Base!$A:$A,$A41)</f>
        <v>0</v>
      </c>
      <c r="G41" s="6" t="n">
        <f aca="false">SUMIFS(Base!$I:$I,Base!$A:$A,$A41)</f>
        <v>60000</v>
      </c>
      <c r="H41" s="5"/>
    </row>
    <row r="42" customFormat="false" ht="15" hidden="true" customHeight="false" outlineLevel="1" collapsed="false">
      <c r="A42" s="7" t="s">
        <v>71</v>
      </c>
      <c r="B42" s="7" t="s">
        <v>72</v>
      </c>
      <c r="C42" s="7" t="s">
        <v>73</v>
      </c>
      <c r="D42" s="7" t="s">
        <v>20</v>
      </c>
      <c r="E42" s="8" t="n">
        <v>46276</v>
      </c>
      <c r="F42" s="9" t="n">
        <v>0</v>
      </c>
      <c r="G42" s="9" t="n">
        <v>24000</v>
      </c>
      <c r="H42" s="7" t="s">
        <v>16</v>
      </c>
    </row>
    <row r="43" customFormat="false" ht="15" hidden="true" customHeight="false" outlineLevel="1" collapsed="false">
      <c r="A43" s="7" t="s">
        <v>71</v>
      </c>
      <c r="B43" s="7" t="s">
        <v>72</v>
      </c>
      <c r="C43" s="7" t="s">
        <v>74</v>
      </c>
      <c r="D43" s="7" t="s">
        <v>20</v>
      </c>
      <c r="E43" s="8" t="n">
        <v>46276</v>
      </c>
      <c r="F43" s="9" t="n">
        <v>0</v>
      </c>
      <c r="G43" s="9" t="n">
        <v>26000</v>
      </c>
      <c r="H43" s="7" t="s">
        <v>16</v>
      </c>
    </row>
    <row r="44" customFormat="false" ht="15" hidden="true" customHeight="false" outlineLevel="1" collapsed="false">
      <c r="A44" s="7" t="s">
        <v>71</v>
      </c>
      <c r="B44" s="7" t="s">
        <v>72</v>
      </c>
      <c r="C44" s="7" t="s">
        <v>75</v>
      </c>
      <c r="D44" s="7" t="s">
        <v>20</v>
      </c>
      <c r="E44" s="8" t="n">
        <v>46276</v>
      </c>
      <c r="F44" s="9" t="n">
        <v>0</v>
      </c>
      <c r="G44" s="9" t="n">
        <v>10000</v>
      </c>
      <c r="H44" s="7" t="s">
        <v>26</v>
      </c>
    </row>
    <row r="45" customFormat="false" ht="15" hidden="false" customHeight="false" outlineLevel="0" collapsed="false">
      <c r="A45" s="5" t="s">
        <v>76</v>
      </c>
      <c r="B45" s="5" t="s">
        <v>77</v>
      </c>
      <c r="C45" s="5" t="s">
        <v>12</v>
      </c>
      <c r="D45" s="5" t="s">
        <v>13</v>
      </c>
      <c r="E45" s="5"/>
      <c r="F45" s="6" t="n">
        <f aca="false">SUMIFS(Base!$G:$G,Base!$A:$A,$A45)</f>
        <v>323000</v>
      </c>
      <c r="G45" s="6" t="n">
        <f aca="false">SUMIFS(Base!$I:$I,Base!$A:$A,$A45)</f>
        <v>2023000</v>
      </c>
      <c r="H45" s="5"/>
    </row>
    <row r="46" customFormat="false" ht="15" hidden="true" customHeight="false" outlineLevel="1" collapsed="false">
      <c r="A46" s="7" t="s">
        <v>76</v>
      </c>
      <c r="B46" s="7" t="s">
        <v>77</v>
      </c>
      <c r="C46" s="7" t="s">
        <v>78</v>
      </c>
      <c r="D46" s="7" t="s">
        <v>20</v>
      </c>
      <c r="E46" s="8" t="n">
        <v>46287</v>
      </c>
      <c r="F46" s="9" t="n">
        <v>323000</v>
      </c>
      <c r="G46" s="9" t="n">
        <v>2023000</v>
      </c>
      <c r="H46" s="7" t="s">
        <v>16</v>
      </c>
    </row>
    <row r="47" customFormat="false" ht="15" hidden="false" customHeight="false" outlineLevel="0" collapsed="false">
      <c r="A47" s="5" t="s">
        <v>79</v>
      </c>
      <c r="B47" s="5" t="s">
        <v>80</v>
      </c>
      <c r="C47" s="5" t="s">
        <v>12</v>
      </c>
      <c r="D47" s="5" t="s">
        <v>13</v>
      </c>
      <c r="E47" s="5"/>
      <c r="F47" s="6" t="n">
        <f aca="false">SUMIFS(Base!$G:$G,Base!$A:$A,$A47)</f>
        <v>28478</v>
      </c>
      <c r="G47" s="6" t="n">
        <f aca="false">SUMIFS(Base!$I:$I,Base!$A:$A,$A47)</f>
        <v>178364</v>
      </c>
      <c r="H47" s="5"/>
    </row>
    <row r="48" customFormat="false" ht="15" hidden="true" customHeight="false" outlineLevel="1" collapsed="false">
      <c r="A48" s="7" t="s">
        <v>79</v>
      </c>
      <c r="B48" s="7" t="s">
        <v>80</v>
      </c>
      <c r="C48" s="7" t="s">
        <v>81</v>
      </c>
      <c r="D48" s="7" t="s">
        <v>20</v>
      </c>
      <c r="E48" s="8" t="n">
        <v>46269</v>
      </c>
      <c r="F48" s="9" t="n">
        <v>28478</v>
      </c>
      <c r="G48" s="9" t="n">
        <v>178364</v>
      </c>
      <c r="H48" s="7" t="s">
        <v>16</v>
      </c>
    </row>
    <row r="49" customFormat="false" ht="15" hidden="false" customHeight="false" outlineLevel="0" collapsed="false">
      <c r="A49" s="5" t="s">
        <v>82</v>
      </c>
      <c r="B49" s="5" t="s">
        <v>83</v>
      </c>
      <c r="C49" s="5" t="s">
        <v>12</v>
      </c>
      <c r="D49" s="5" t="s">
        <v>13</v>
      </c>
      <c r="E49" s="5"/>
      <c r="F49" s="6" t="n">
        <f aca="false">SUMIFS(Base!$G:$G,Base!$A:$A,$A49)</f>
        <v>150562</v>
      </c>
      <c r="G49" s="6" t="n">
        <f aca="false">SUMIFS(Base!$I:$I,Base!$A:$A,$A49)</f>
        <v>942994</v>
      </c>
      <c r="H49" s="5"/>
    </row>
    <row r="50" customFormat="false" ht="15" hidden="true" customHeight="false" outlineLevel="1" collapsed="false">
      <c r="A50" s="7" t="s">
        <v>82</v>
      </c>
      <c r="B50" s="7" t="s">
        <v>83</v>
      </c>
      <c r="C50" s="7" t="s">
        <v>84</v>
      </c>
      <c r="D50" s="7" t="s">
        <v>20</v>
      </c>
      <c r="E50" s="8" t="n">
        <v>46287</v>
      </c>
      <c r="F50" s="9" t="n">
        <v>150562</v>
      </c>
      <c r="G50" s="9" t="n">
        <v>942994</v>
      </c>
      <c r="H50" s="7" t="s">
        <v>16</v>
      </c>
    </row>
    <row r="51" customFormat="false" ht="15" hidden="false" customHeight="false" outlineLevel="0" collapsed="false">
      <c r="A51" s="5" t="s">
        <v>85</v>
      </c>
      <c r="B51" s="5" t="s">
        <v>86</v>
      </c>
      <c r="C51" s="5" t="s">
        <v>12</v>
      </c>
      <c r="D51" s="5" t="s">
        <v>13</v>
      </c>
      <c r="E51" s="5"/>
      <c r="F51" s="6" t="n">
        <f aca="false">SUMIFS(Base!$G:$G,Base!$A:$A,$A51)</f>
        <v>0</v>
      </c>
      <c r="G51" s="6" t="n">
        <f aca="false">SUMIFS(Base!$I:$I,Base!$A:$A,$A51)</f>
        <v>11480000</v>
      </c>
      <c r="H51" s="5"/>
    </row>
    <row r="52" customFormat="false" ht="15" hidden="true" customHeight="false" outlineLevel="1" collapsed="false">
      <c r="A52" s="7" t="s">
        <v>85</v>
      </c>
      <c r="B52" s="7" t="s">
        <v>86</v>
      </c>
      <c r="C52" s="7" t="s">
        <v>87</v>
      </c>
      <c r="D52" s="7" t="s">
        <v>15</v>
      </c>
      <c r="E52" s="8" t="n">
        <v>46279</v>
      </c>
      <c r="F52" s="9" t="n">
        <v>0</v>
      </c>
      <c r="G52" s="9" t="n">
        <v>11480000</v>
      </c>
      <c r="H52" s="7" t="s">
        <v>16</v>
      </c>
    </row>
    <row r="53" customFormat="false" ht="15" hidden="false" customHeight="false" outlineLevel="0" collapsed="false">
      <c r="A53" s="5" t="s">
        <v>88</v>
      </c>
      <c r="B53" s="5" t="s">
        <v>89</v>
      </c>
      <c r="C53" s="5" t="s">
        <v>12</v>
      </c>
      <c r="D53" s="5" t="s">
        <v>13</v>
      </c>
      <c r="E53" s="5"/>
      <c r="F53" s="6" t="n">
        <f aca="false">SUMIFS(Base!$G:$G,Base!$A:$A,$A53)</f>
        <v>0</v>
      </c>
      <c r="G53" s="6" t="n">
        <f aca="false">SUMIFS(Base!$I:$I,Base!$A:$A,$A53)</f>
        <v>20000</v>
      </c>
      <c r="H53" s="5"/>
    </row>
    <row r="54" customFormat="false" ht="15" hidden="true" customHeight="false" outlineLevel="1" collapsed="false">
      <c r="A54" s="7" t="s">
        <v>88</v>
      </c>
      <c r="B54" s="7" t="s">
        <v>89</v>
      </c>
      <c r="C54" s="7" t="s">
        <v>90</v>
      </c>
      <c r="D54" s="7" t="s">
        <v>20</v>
      </c>
      <c r="E54" s="8" t="n">
        <v>46287</v>
      </c>
      <c r="F54" s="9" t="n">
        <v>0</v>
      </c>
      <c r="G54" s="9" t="n">
        <v>20000</v>
      </c>
      <c r="H54" s="7" t="s">
        <v>16</v>
      </c>
    </row>
    <row r="55" customFormat="false" ht="15" hidden="false" customHeight="false" outlineLevel="0" collapsed="false">
      <c r="A55" s="5" t="s">
        <v>91</v>
      </c>
      <c r="B55" s="5" t="s">
        <v>92</v>
      </c>
      <c r="C55" s="5" t="s">
        <v>12</v>
      </c>
      <c r="D55" s="5" t="s">
        <v>13</v>
      </c>
      <c r="E55" s="5"/>
      <c r="F55" s="6" t="n">
        <f aca="false">SUMIFS(Base!$G:$G,Base!$A:$A,$A55)</f>
        <v>0</v>
      </c>
      <c r="G55" s="6" t="n">
        <f aca="false">SUMIFS(Base!$I:$I,Base!$A:$A,$A55)</f>
        <v>145000</v>
      </c>
      <c r="H55" s="5"/>
    </row>
    <row r="56" customFormat="false" ht="15" hidden="true" customHeight="false" outlineLevel="1" collapsed="false">
      <c r="A56" s="7" t="s">
        <v>91</v>
      </c>
      <c r="B56" s="7" t="s">
        <v>92</v>
      </c>
      <c r="C56" s="7" t="s">
        <v>93</v>
      </c>
      <c r="D56" s="7" t="s">
        <v>15</v>
      </c>
      <c r="E56" s="8" t="n">
        <v>46294</v>
      </c>
      <c r="F56" s="9" t="n">
        <v>0</v>
      </c>
      <c r="G56" s="9" t="n">
        <v>145000</v>
      </c>
      <c r="H56" s="7" t="s">
        <v>16</v>
      </c>
    </row>
    <row r="57" customFormat="false" ht="15" hidden="false" customHeight="false" outlineLevel="0" collapsed="false">
      <c r="A57" s="5" t="s">
        <v>94</v>
      </c>
      <c r="B57" s="5" t="s">
        <v>95</v>
      </c>
      <c r="C57" s="5" t="s">
        <v>12</v>
      </c>
      <c r="D57" s="5" t="s">
        <v>13</v>
      </c>
      <c r="E57" s="5"/>
      <c r="F57" s="6" t="n">
        <f aca="false">SUMIFS(Base!$G:$G,Base!$A:$A,$A57)</f>
        <v>16581.73</v>
      </c>
      <c r="G57" s="6" t="n">
        <f aca="false">SUMIFS(Base!$I:$I,Base!$A:$A,$A57)</f>
        <v>137076.57</v>
      </c>
      <c r="H57" s="5"/>
    </row>
    <row r="58" customFormat="false" ht="15" hidden="true" customHeight="false" outlineLevel="1" collapsed="false">
      <c r="A58" s="7" t="s">
        <v>94</v>
      </c>
      <c r="B58" s="7" t="s">
        <v>95</v>
      </c>
      <c r="C58" s="7" t="s">
        <v>96</v>
      </c>
      <c r="D58" s="7" t="s">
        <v>20</v>
      </c>
      <c r="E58" s="8" t="n">
        <v>46273</v>
      </c>
      <c r="F58" s="9" t="n">
        <v>16581.73</v>
      </c>
      <c r="G58" s="9" t="n">
        <v>137076.57</v>
      </c>
      <c r="H58" s="7" t="s">
        <v>26</v>
      </c>
    </row>
    <row r="59" customFormat="false" ht="15" hidden="false" customHeight="false" outlineLevel="0" collapsed="false">
      <c r="A59" s="5" t="s">
        <v>97</v>
      </c>
      <c r="B59" s="5" t="s">
        <v>98</v>
      </c>
      <c r="C59" s="5" t="s">
        <v>99</v>
      </c>
      <c r="D59" s="5" t="s">
        <v>13</v>
      </c>
      <c r="E59" s="5"/>
      <c r="F59" s="6" t="n">
        <f aca="false">SUMIFS(Base!$G:$G,Base!$A:$A,$A59)</f>
        <v>0</v>
      </c>
      <c r="G59" s="6" t="n">
        <f aca="false">SUMIFS(Base!$I:$I,Base!$A:$A,$A59)</f>
        <v>3462560</v>
      </c>
      <c r="H59" s="5"/>
    </row>
    <row r="60" customFormat="false" ht="15" hidden="true" customHeight="false" outlineLevel="1" collapsed="false">
      <c r="A60" s="7" t="s">
        <v>97</v>
      </c>
      <c r="B60" s="7" t="s">
        <v>98</v>
      </c>
      <c r="C60" s="7" t="s">
        <v>100</v>
      </c>
      <c r="D60" s="7" t="s">
        <v>15</v>
      </c>
      <c r="E60" s="8" t="n">
        <v>46274</v>
      </c>
      <c r="F60" s="9" t="n">
        <v>0</v>
      </c>
      <c r="G60" s="9" t="n">
        <v>1730560</v>
      </c>
      <c r="H60" s="7" t="s">
        <v>16</v>
      </c>
    </row>
    <row r="61" customFormat="false" ht="15" hidden="true" customHeight="false" outlineLevel="1" collapsed="false">
      <c r="A61" s="7" t="s">
        <v>97</v>
      </c>
      <c r="B61" s="7" t="s">
        <v>98</v>
      </c>
      <c r="C61" s="7" t="s">
        <v>101</v>
      </c>
      <c r="D61" s="7" t="s">
        <v>15</v>
      </c>
      <c r="E61" s="8" t="n">
        <v>46274</v>
      </c>
      <c r="F61" s="9" t="n">
        <v>0</v>
      </c>
      <c r="G61" s="9" t="n">
        <v>1732000</v>
      </c>
      <c r="H61" s="7" t="s">
        <v>16</v>
      </c>
    </row>
    <row r="62" customFormat="false" ht="15" hidden="false" customHeight="false" outlineLevel="0" collapsed="false">
      <c r="A62" s="5" t="s">
        <v>102</v>
      </c>
      <c r="B62" s="5" t="s">
        <v>103</v>
      </c>
      <c r="C62" s="5" t="s">
        <v>37</v>
      </c>
      <c r="D62" s="5" t="s">
        <v>13</v>
      </c>
      <c r="E62" s="5"/>
      <c r="F62" s="6" t="n">
        <f aca="false">SUMIFS(Base!$G:$G,Base!$A:$A,$A62)</f>
        <v>0</v>
      </c>
      <c r="G62" s="6" t="n">
        <f aca="false">SUMIFS(Base!$I:$I,Base!$A:$A,$A62)</f>
        <v>514000</v>
      </c>
      <c r="H62" s="5"/>
    </row>
    <row r="63" customFormat="false" ht="15" hidden="true" customHeight="false" outlineLevel="1" collapsed="false">
      <c r="A63" s="7" t="s">
        <v>102</v>
      </c>
      <c r="B63" s="7" t="s">
        <v>103</v>
      </c>
      <c r="C63" s="7" t="s">
        <v>104</v>
      </c>
      <c r="D63" s="7" t="s">
        <v>15</v>
      </c>
      <c r="E63" s="8" t="n">
        <v>46289</v>
      </c>
      <c r="F63" s="9" t="n">
        <v>0</v>
      </c>
      <c r="G63" s="9" t="n">
        <v>79000</v>
      </c>
      <c r="H63" s="7" t="s">
        <v>16</v>
      </c>
    </row>
    <row r="64" customFormat="false" ht="15" hidden="true" customHeight="false" outlineLevel="1" collapsed="false">
      <c r="A64" s="7" t="s">
        <v>102</v>
      </c>
      <c r="B64" s="7" t="s">
        <v>103</v>
      </c>
      <c r="C64" s="7" t="s">
        <v>105</v>
      </c>
      <c r="D64" s="7" t="s">
        <v>15</v>
      </c>
      <c r="E64" s="8" t="n">
        <v>46289</v>
      </c>
      <c r="F64" s="9" t="n">
        <v>0</v>
      </c>
      <c r="G64" s="9" t="n">
        <v>119000</v>
      </c>
      <c r="H64" s="7" t="s">
        <v>16</v>
      </c>
    </row>
    <row r="65" customFormat="false" ht="15" hidden="true" customHeight="false" outlineLevel="1" collapsed="false">
      <c r="A65" s="7" t="s">
        <v>102</v>
      </c>
      <c r="B65" s="7" t="s">
        <v>103</v>
      </c>
      <c r="C65" s="7" t="s">
        <v>106</v>
      </c>
      <c r="D65" s="7" t="s">
        <v>15</v>
      </c>
      <c r="E65" s="8" t="n">
        <v>46293</v>
      </c>
      <c r="F65" s="9" t="n">
        <v>0</v>
      </c>
      <c r="G65" s="9" t="n">
        <v>316000</v>
      </c>
      <c r="H65" s="7" t="s">
        <v>16</v>
      </c>
    </row>
    <row r="66" customFormat="false" ht="15" hidden="false" customHeight="false" outlineLevel="0" collapsed="false">
      <c r="A66" s="5" t="s">
        <v>107</v>
      </c>
      <c r="B66" s="5" t="s">
        <v>108</v>
      </c>
      <c r="C66" s="5" t="s">
        <v>12</v>
      </c>
      <c r="D66" s="5" t="s">
        <v>13</v>
      </c>
      <c r="E66" s="5"/>
      <c r="F66" s="6" t="n">
        <f aca="false">SUMIFS(Base!$G:$G,Base!$A:$A,$A66)</f>
        <v>0</v>
      </c>
      <c r="G66" s="6" t="n">
        <f aca="false">SUMIFS(Base!$I:$I,Base!$A:$A,$A66)</f>
        <v>2400</v>
      </c>
      <c r="H66" s="5"/>
    </row>
    <row r="67" customFormat="false" ht="15" hidden="true" customHeight="false" outlineLevel="1" collapsed="false">
      <c r="A67" s="7" t="s">
        <v>107</v>
      </c>
      <c r="B67" s="7" t="s">
        <v>108</v>
      </c>
      <c r="C67" s="7" t="s">
        <v>109</v>
      </c>
      <c r="D67" s="7" t="s">
        <v>15</v>
      </c>
      <c r="E67" s="8" t="n">
        <v>46279</v>
      </c>
      <c r="F67" s="9" t="n">
        <v>0</v>
      </c>
      <c r="G67" s="9" t="n">
        <v>2400</v>
      </c>
      <c r="H67" s="7" t="s">
        <v>16</v>
      </c>
    </row>
    <row r="68" customFormat="false" ht="15" hidden="false" customHeight="false" outlineLevel="0" collapsed="false">
      <c r="A68" s="5" t="s">
        <v>110</v>
      </c>
      <c r="B68" s="5" t="s">
        <v>111</v>
      </c>
      <c r="C68" s="5" t="s">
        <v>12</v>
      </c>
      <c r="D68" s="5" t="s">
        <v>13</v>
      </c>
      <c r="E68" s="5"/>
      <c r="F68" s="6" t="n">
        <f aca="false">SUMIFS(Base!$G:$G,Base!$A:$A,$A68)</f>
        <v>1117512</v>
      </c>
      <c r="G68" s="6" t="n">
        <f aca="false">SUMIFS(Base!$I:$I,Base!$A:$A,$A68)</f>
        <v>6999152</v>
      </c>
      <c r="H68" s="5"/>
    </row>
    <row r="69" customFormat="false" ht="15" hidden="true" customHeight="false" outlineLevel="1" collapsed="false">
      <c r="A69" s="7" t="s">
        <v>110</v>
      </c>
      <c r="B69" s="7" t="s">
        <v>111</v>
      </c>
      <c r="C69" s="7" t="s">
        <v>112</v>
      </c>
      <c r="D69" s="7" t="s">
        <v>20</v>
      </c>
      <c r="E69" s="8" t="n">
        <v>46268</v>
      </c>
      <c r="F69" s="9" t="n">
        <v>1117512</v>
      </c>
      <c r="G69" s="9" t="n">
        <v>6999152</v>
      </c>
      <c r="H69" s="7" t="s">
        <v>16</v>
      </c>
    </row>
    <row r="70" customFormat="false" ht="15" hidden="false" customHeight="false" outlineLevel="0" collapsed="false">
      <c r="A70" s="5" t="s">
        <v>113</v>
      </c>
      <c r="B70" s="5" t="s">
        <v>114</v>
      </c>
      <c r="C70" s="5" t="s">
        <v>12</v>
      </c>
      <c r="D70" s="5" t="s">
        <v>13</v>
      </c>
      <c r="E70" s="5"/>
      <c r="F70" s="6" t="n">
        <f aca="false">SUMIFS(Base!$G:$G,Base!$A:$A,$A70)</f>
        <v>22823.94</v>
      </c>
      <c r="G70" s="6" t="n">
        <f aca="false">SUMIFS(Base!$I:$I,Base!$A:$A,$A70)</f>
        <v>142949.94</v>
      </c>
      <c r="H70" s="5"/>
    </row>
    <row r="71" customFormat="false" ht="15" hidden="true" customHeight="false" outlineLevel="1" collapsed="false">
      <c r="A71" s="7" t="s">
        <v>113</v>
      </c>
      <c r="B71" s="7" t="s">
        <v>114</v>
      </c>
      <c r="C71" s="7" t="s">
        <v>115</v>
      </c>
      <c r="D71" s="7" t="s">
        <v>20</v>
      </c>
      <c r="E71" s="8" t="n">
        <v>46267</v>
      </c>
      <c r="F71" s="9" t="n">
        <v>22823.94</v>
      </c>
      <c r="G71" s="9" t="n">
        <v>142949.94</v>
      </c>
      <c r="H71" s="7" t="s">
        <v>26</v>
      </c>
    </row>
    <row r="72" customFormat="false" ht="15" hidden="false" customHeight="false" outlineLevel="0" collapsed="false">
      <c r="A72" s="5" t="s">
        <v>116</v>
      </c>
      <c r="B72" s="5" t="s">
        <v>117</v>
      </c>
      <c r="C72" s="5" t="s">
        <v>12</v>
      </c>
      <c r="D72" s="5" t="s">
        <v>13</v>
      </c>
      <c r="E72" s="5"/>
      <c r="F72" s="6" t="n">
        <f aca="false">SUMIFS(Base!$G:$G,Base!$A:$A,$A72)</f>
        <v>0</v>
      </c>
      <c r="G72" s="6" t="n">
        <f aca="false">SUMIFS(Base!$I:$I,Base!$A:$A,$A72)</f>
        <v>133000</v>
      </c>
      <c r="H72" s="5"/>
    </row>
    <row r="73" customFormat="false" ht="15" hidden="true" customHeight="false" outlineLevel="1" collapsed="false">
      <c r="A73" s="7" t="s">
        <v>116</v>
      </c>
      <c r="B73" s="7" t="s">
        <v>117</v>
      </c>
      <c r="C73" s="7" t="s">
        <v>118</v>
      </c>
      <c r="D73" s="7" t="s">
        <v>15</v>
      </c>
      <c r="E73" s="8" t="n">
        <v>46295</v>
      </c>
      <c r="F73" s="9" t="n">
        <v>0</v>
      </c>
      <c r="G73" s="9" t="n">
        <v>133000</v>
      </c>
      <c r="H73" s="7" t="s">
        <v>16</v>
      </c>
    </row>
    <row r="74" customFormat="false" ht="15" hidden="false" customHeight="false" outlineLevel="0" collapsed="false">
      <c r="A74" s="5" t="s">
        <v>119</v>
      </c>
      <c r="B74" s="5" t="s">
        <v>120</v>
      </c>
      <c r="C74" s="5" t="s">
        <v>99</v>
      </c>
      <c r="D74" s="5" t="s">
        <v>13</v>
      </c>
      <c r="E74" s="5"/>
      <c r="F74" s="6" t="n">
        <f aca="false">SUMIFS(Base!$G:$G,Base!$A:$A,$A74)</f>
        <v>3420000</v>
      </c>
      <c r="G74" s="6" t="n">
        <f aca="false">SUMIFS(Base!$I:$I,Base!$A:$A,$A74)</f>
        <v>21420000</v>
      </c>
      <c r="H74" s="5"/>
    </row>
    <row r="75" customFormat="false" ht="15" hidden="true" customHeight="false" outlineLevel="1" collapsed="false">
      <c r="A75" s="7" t="s">
        <v>119</v>
      </c>
      <c r="B75" s="7" t="s">
        <v>120</v>
      </c>
      <c r="C75" s="7" t="s">
        <v>121</v>
      </c>
      <c r="D75" s="7" t="s">
        <v>20</v>
      </c>
      <c r="E75" s="8" t="n">
        <v>46268</v>
      </c>
      <c r="F75" s="9" t="n">
        <v>1710000</v>
      </c>
      <c r="G75" s="9" t="n">
        <v>10710000</v>
      </c>
      <c r="H75" s="7" t="s">
        <v>16</v>
      </c>
    </row>
    <row r="76" customFormat="false" ht="15" hidden="true" customHeight="false" outlineLevel="1" collapsed="false">
      <c r="A76" s="7" t="s">
        <v>119</v>
      </c>
      <c r="B76" s="7" t="s">
        <v>120</v>
      </c>
      <c r="C76" s="7" t="s">
        <v>122</v>
      </c>
      <c r="D76" s="7" t="s">
        <v>20</v>
      </c>
      <c r="E76" s="8" t="n">
        <v>46295</v>
      </c>
      <c r="F76" s="9" t="n">
        <v>1710000</v>
      </c>
      <c r="G76" s="9" t="n">
        <v>10710000</v>
      </c>
      <c r="H76" s="7" t="s">
        <v>16</v>
      </c>
    </row>
    <row r="77" customFormat="false" ht="15" hidden="false" customHeight="false" outlineLevel="0" collapsed="false">
      <c r="A77" s="5" t="s">
        <v>123</v>
      </c>
      <c r="B77" s="5" t="s">
        <v>124</v>
      </c>
      <c r="C77" s="5" t="s">
        <v>12</v>
      </c>
      <c r="D77" s="5" t="s">
        <v>13</v>
      </c>
      <c r="E77" s="5"/>
      <c r="F77" s="6" t="n">
        <f aca="false">SUMIFS(Base!$G:$G,Base!$A:$A,$A77)</f>
        <v>5428.55</v>
      </c>
      <c r="G77" s="6" t="n">
        <f aca="false">SUMIFS(Base!$I:$I,Base!$A:$A,$A77)</f>
        <v>34000</v>
      </c>
      <c r="H77" s="5"/>
    </row>
    <row r="78" customFormat="false" ht="15" hidden="true" customHeight="false" outlineLevel="1" collapsed="false">
      <c r="A78" s="7" t="s">
        <v>123</v>
      </c>
      <c r="B78" s="7" t="s">
        <v>124</v>
      </c>
      <c r="C78" s="7" t="s">
        <v>125</v>
      </c>
      <c r="D78" s="7" t="s">
        <v>20</v>
      </c>
      <c r="E78" s="8" t="n">
        <v>46287</v>
      </c>
      <c r="F78" s="9" t="n">
        <v>5428.55</v>
      </c>
      <c r="G78" s="9" t="n">
        <v>34000</v>
      </c>
      <c r="H78" s="7" t="s">
        <v>26</v>
      </c>
    </row>
    <row r="79" customFormat="false" ht="15" hidden="false" customHeight="false" outlineLevel="0" collapsed="false">
      <c r="A79" s="5" t="s">
        <v>126</v>
      </c>
      <c r="B79" s="5" t="s">
        <v>127</v>
      </c>
      <c r="C79" s="5" t="s">
        <v>12</v>
      </c>
      <c r="D79" s="5" t="s">
        <v>13</v>
      </c>
      <c r="E79" s="5"/>
      <c r="F79" s="6" t="n">
        <f aca="false">SUMIFS(Base!$G:$G,Base!$A:$A,$A79)</f>
        <v>0</v>
      </c>
      <c r="G79" s="6" t="n">
        <f aca="false">SUMIFS(Base!$I:$I,Base!$A:$A,$A79)</f>
        <v>450000</v>
      </c>
      <c r="H79" s="5"/>
    </row>
    <row r="80" customFormat="false" ht="15" hidden="true" customHeight="false" outlineLevel="1" collapsed="false">
      <c r="A80" s="7" t="s">
        <v>126</v>
      </c>
      <c r="B80" s="7" t="s">
        <v>127</v>
      </c>
      <c r="C80" s="7" t="s">
        <v>128</v>
      </c>
      <c r="D80" s="7" t="s">
        <v>15</v>
      </c>
      <c r="E80" s="8" t="n">
        <v>46279</v>
      </c>
      <c r="F80" s="9" t="n">
        <v>0</v>
      </c>
      <c r="G80" s="9" t="n">
        <v>450000</v>
      </c>
      <c r="H80" s="7" t="s">
        <v>16</v>
      </c>
    </row>
    <row r="81" customFormat="false" ht="15" hidden="false" customHeight="false" outlineLevel="0" collapsed="false">
      <c r="A81" s="5" t="s">
        <v>129</v>
      </c>
      <c r="B81" s="5" t="s">
        <v>130</v>
      </c>
      <c r="C81" s="5" t="s">
        <v>99</v>
      </c>
      <c r="D81" s="5" t="s">
        <v>13</v>
      </c>
      <c r="E81" s="5"/>
      <c r="F81" s="6" t="n">
        <f aca="false">SUMIFS(Base!$G:$G,Base!$A:$A,$A81)</f>
        <v>0</v>
      </c>
      <c r="G81" s="6" t="n">
        <f aca="false">SUMIFS(Base!$I:$I,Base!$A:$A,$A81)</f>
        <v>51000</v>
      </c>
      <c r="H81" s="5"/>
    </row>
    <row r="82" customFormat="false" ht="15" hidden="true" customHeight="false" outlineLevel="1" collapsed="false">
      <c r="A82" s="7" t="s">
        <v>129</v>
      </c>
      <c r="B82" s="7" t="s">
        <v>130</v>
      </c>
      <c r="C82" s="7" t="s">
        <v>131</v>
      </c>
      <c r="D82" s="7" t="s">
        <v>20</v>
      </c>
      <c r="E82" s="8" t="n">
        <v>46270</v>
      </c>
      <c r="F82" s="9" t="n">
        <v>0</v>
      </c>
      <c r="G82" s="9" t="n">
        <v>28000</v>
      </c>
      <c r="H82" s="7" t="s">
        <v>26</v>
      </c>
    </row>
    <row r="83" customFormat="false" ht="15" hidden="true" customHeight="false" outlineLevel="1" collapsed="false">
      <c r="A83" s="7" t="s">
        <v>129</v>
      </c>
      <c r="B83" s="7" t="s">
        <v>130</v>
      </c>
      <c r="C83" s="7" t="s">
        <v>132</v>
      </c>
      <c r="D83" s="7" t="s">
        <v>20</v>
      </c>
      <c r="E83" s="8" t="n">
        <v>46284</v>
      </c>
      <c r="F83" s="9" t="n">
        <v>0</v>
      </c>
      <c r="G83" s="9" t="n">
        <v>23000</v>
      </c>
      <c r="H83" s="7" t="s">
        <v>26</v>
      </c>
    </row>
    <row r="84" customFormat="false" ht="15" hidden="false" customHeight="false" outlineLevel="0" collapsed="false">
      <c r="A84" s="5" t="s">
        <v>133</v>
      </c>
      <c r="B84" s="5" t="s">
        <v>134</v>
      </c>
      <c r="C84" s="5" t="s">
        <v>99</v>
      </c>
      <c r="D84" s="5" t="s">
        <v>13</v>
      </c>
      <c r="E84" s="5"/>
      <c r="F84" s="6" t="n">
        <f aca="false">SUMIFS(Base!$G:$G,Base!$A:$A,$A84)</f>
        <v>4789.9</v>
      </c>
      <c r="G84" s="6" t="n">
        <f aca="false">SUMIFS(Base!$I:$I,Base!$A:$A,$A84)</f>
        <v>88999.9</v>
      </c>
      <c r="H84" s="5"/>
    </row>
    <row r="85" customFormat="false" ht="15" hidden="true" customHeight="false" outlineLevel="1" collapsed="false">
      <c r="A85" s="7" t="s">
        <v>133</v>
      </c>
      <c r="B85" s="7" t="s">
        <v>134</v>
      </c>
      <c r="C85" s="7" t="s">
        <v>135</v>
      </c>
      <c r="D85" s="7" t="s">
        <v>20</v>
      </c>
      <c r="E85" s="8" t="n">
        <v>46273</v>
      </c>
      <c r="F85" s="9" t="n">
        <v>0</v>
      </c>
      <c r="G85" s="9" t="n">
        <v>28000</v>
      </c>
      <c r="H85" s="7" t="s">
        <v>16</v>
      </c>
    </row>
    <row r="86" customFormat="false" ht="15" hidden="true" customHeight="false" outlineLevel="1" collapsed="false">
      <c r="A86" s="7" t="s">
        <v>133</v>
      </c>
      <c r="B86" s="7" t="s">
        <v>134</v>
      </c>
      <c r="C86" s="7" t="s">
        <v>136</v>
      </c>
      <c r="D86" s="7" t="s">
        <v>20</v>
      </c>
      <c r="E86" s="8" t="n">
        <v>46282</v>
      </c>
      <c r="F86" s="9" t="n">
        <v>4789.9</v>
      </c>
      <c r="G86" s="9" t="n">
        <v>60999.9</v>
      </c>
      <c r="H86" s="7" t="s">
        <v>26</v>
      </c>
    </row>
    <row r="87" customFormat="false" ht="15" hidden="false" customHeight="false" outlineLevel="0" collapsed="false">
      <c r="A87" s="5" t="s">
        <v>137</v>
      </c>
      <c r="B87" s="5" t="s">
        <v>138</v>
      </c>
      <c r="C87" s="5" t="s">
        <v>12</v>
      </c>
      <c r="D87" s="5" t="s">
        <v>13</v>
      </c>
      <c r="E87" s="5"/>
      <c r="F87" s="6" t="n">
        <f aca="false">SUMIFS(Base!$G:$G,Base!$A:$A,$A87)</f>
        <v>66739.5</v>
      </c>
      <c r="G87" s="6" t="n">
        <f aca="false">SUMIFS(Base!$I:$I,Base!$A:$A,$A87)</f>
        <v>418000</v>
      </c>
      <c r="H87" s="5"/>
    </row>
    <row r="88" customFormat="false" ht="15" hidden="true" customHeight="false" outlineLevel="1" collapsed="false">
      <c r="A88" s="7" t="s">
        <v>137</v>
      </c>
      <c r="B88" s="7" t="s">
        <v>138</v>
      </c>
      <c r="C88" s="7" t="s">
        <v>139</v>
      </c>
      <c r="D88" s="7" t="s">
        <v>20</v>
      </c>
      <c r="E88" s="8" t="n">
        <v>46276</v>
      </c>
      <c r="F88" s="9" t="n">
        <v>66739.5</v>
      </c>
      <c r="G88" s="9" t="n">
        <v>418000</v>
      </c>
      <c r="H88" s="7" t="s">
        <v>26</v>
      </c>
    </row>
    <row r="89" customFormat="false" ht="15" hidden="false" customHeight="false" outlineLevel="0" collapsed="false">
      <c r="A89" s="5" t="s">
        <v>140</v>
      </c>
      <c r="B89" s="5" t="s">
        <v>141</v>
      </c>
      <c r="C89" s="5" t="s">
        <v>12</v>
      </c>
      <c r="D89" s="5" t="s">
        <v>13</v>
      </c>
      <c r="E89" s="5"/>
      <c r="F89" s="6" t="n">
        <f aca="false">SUMIFS(Base!$G:$G,Base!$A:$A,$A89)</f>
        <v>0</v>
      </c>
      <c r="G89" s="6" t="n">
        <f aca="false">SUMIFS(Base!$I:$I,Base!$A:$A,$A89)</f>
        <v>310000</v>
      </c>
      <c r="H89" s="5"/>
    </row>
    <row r="90" customFormat="false" ht="15" hidden="true" customHeight="false" outlineLevel="1" collapsed="false">
      <c r="A90" s="7" t="s">
        <v>140</v>
      </c>
      <c r="B90" s="7" t="s">
        <v>141</v>
      </c>
      <c r="C90" s="7" t="s">
        <v>142</v>
      </c>
      <c r="D90" s="7" t="s">
        <v>20</v>
      </c>
      <c r="E90" s="8" t="n">
        <v>46266</v>
      </c>
      <c r="F90" s="9" t="n">
        <v>0</v>
      </c>
      <c r="G90" s="9" t="n">
        <v>310000</v>
      </c>
      <c r="H90" s="7" t="s">
        <v>40</v>
      </c>
    </row>
    <row r="91" customFormat="false" ht="15" hidden="false" customHeight="false" outlineLevel="0" collapsed="false">
      <c r="A91" s="5" t="s">
        <v>143</v>
      </c>
      <c r="B91" s="5" t="s">
        <v>144</v>
      </c>
      <c r="C91" s="5" t="s">
        <v>99</v>
      </c>
      <c r="D91" s="5" t="s">
        <v>13</v>
      </c>
      <c r="E91" s="5"/>
      <c r="F91" s="6" t="n">
        <f aca="false">SUMIFS(Base!$G:$G,Base!$A:$A,$A91)</f>
        <v>0</v>
      </c>
      <c r="G91" s="6" t="n">
        <f aca="false">SUMIFS(Base!$I:$I,Base!$A:$A,$A91)</f>
        <v>25000</v>
      </c>
      <c r="H91" s="5"/>
    </row>
    <row r="92" customFormat="false" ht="15" hidden="true" customHeight="false" outlineLevel="1" collapsed="false">
      <c r="A92" s="7" t="s">
        <v>143</v>
      </c>
      <c r="B92" s="7" t="s">
        <v>144</v>
      </c>
      <c r="C92" s="7" t="s">
        <v>145</v>
      </c>
      <c r="D92" s="7" t="s">
        <v>20</v>
      </c>
      <c r="E92" s="8" t="n">
        <v>46272</v>
      </c>
      <c r="F92" s="9" t="n">
        <v>0</v>
      </c>
      <c r="G92" s="9" t="n">
        <v>15000</v>
      </c>
      <c r="H92" s="7" t="s">
        <v>26</v>
      </c>
    </row>
    <row r="93" customFormat="false" ht="15" hidden="true" customHeight="false" outlineLevel="1" collapsed="false">
      <c r="A93" s="7" t="s">
        <v>143</v>
      </c>
      <c r="B93" s="7" t="s">
        <v>144</v>
      </c>
      <c r="C93" s="7" t="s">
        <v>146</v>
      </c>
      <c r="D93" s="7" t="s">
        <v>20</v>
      </c>
      <c r="E93" s="8" t="n">
        <v>46293</v>
      </c>
      <c r="F93" s="9" t="n">
        <v>0</v>
      </c>
      <c r="G93" s="9" t="n">
        <v>10000</v>
      </c>
      <c r="H93" s="7" t="s">
        <v>26</v>
      </c>
    </row>
    <row r="94" customFormat="false" ht="15" hidden="false" customHeight="false" outlineLevel="0" collapsed="false">
      <c r="A94" s="5" t="s">
        <v>147</v>
      </c>
      <c r="B94" s="5" t="s">
        <v>148</v>
      </c>
      <c r="C94" s="5" t="s">
        <v>12</v>
      </c>
      <c r="D94" s="5" t="s">
        <v>13</v>
      </c>
      <c r="E94" s="5"/>
      <c r="F94" s="6" t="n">
        <f aca="false">SUMIFS(Base!$G:$G,Base!$A:$A,$A94)</f>
        <v>59809.17</v>
      </c>
      <c r="G94" s="6" t="n">
        <f aca="false">SUMIFS(Base!$I:$I,Base!$A:$A,$A94)</f>
        <v>374594.27</v>
      </c>
      <c r="H94" s="5"/>
    </row>
    <row r="95" customFormat="false" ht="15" hidden="true" customHeight="false" outlineLevel="1" collapsed="false">
      <c r="A95" s="7" t="s">
        <v>147</v>
      </c>
      <c r="B95" s="7" t="s">
        <v>148</v>
      </c>
      <c r="C95" s="7" t="s">
        <v>149</v>
      </c>
      <c r="D95" s="7" t="s">
        <v>20</v>
      </c>
      <c r="E95" s="8" t="n">
        <v>46276</v>
      </c>
      <c r="F95" s="9" t="n">
        <v>59809.17</v>
      </c>
      <c r="G95" s="9" t="n">
        <v>374594.27</v>
      </c>
      <c r="H95" s="7" t="s">
        <v>26</v>
      </c>
    </row>
    <row r="96" customFormat="false" ht="15" hidden="false" customHeight="false" outlineLevel="0" collapsed="false">
      <c r="A96" s="5" t="s">
        <v>150</v>
      </c>
      <c r="B96" s="5" t="s">
        <v>151</v>
      </c>
      <c r="C96" s="5" t="s">
        <v>152</v>
      </c>
      <c r="D96" s="5" t="s">
        <v>13</v>
      </c>
      <c r="E96" s="5"/>
      <c r="F96" s="6" t="n">
        <f aca="false">SUMIFS(Base!$G:$G,Base!$A:$A,$A96)</f>
        <v>116377</v>
      </c>
      <c r="G96" s="6" t="n">
        <f aca="false">SUMIFS(Base!$I:$I,Base!$A:$A,$A96)</f>
        <v>731159</v>
      </c>
      <c r="H96" s="5"/>
    </row>
    <row r="97" customFormat="false" ht="15" hidden="true" customHeight="false" outlineLevel="1" collapsed="false">
      <c r="A97" s="7" t="s">
        <v>150</v>
      </c>
      <c r="B97" s="7" t="s">
        <v>151</v>
      </c>
      <c r="C97" s="7" t="s">
        <v>153</v>
      </c>
      <c r="D97" s="7" t="s">
        <v>20</v>
      </c>
      <c r="E97" s="8" t="n">
        <v>46276</v>
      </c>
      <c r="F97" s="9" t="n">
        <v>1916</v>
      </c>
      <c r="G97" s="9" t="n">
        <v>12000</v>
      </c>
      <c r="H97" s="7" t="s">
        <v>16</v>
      </c>
    </row>
    <row r="98" customFormat="false" ht="15" hidden="true" customHeight="false" outlineLevel="1" collapsed="false">
      <c r="A98" s="7" t="s">
        <v>150</v>
      </c>
      <c r="B98" s="7" t="s">
        <v>151</v>
      </c>
      <c r="C98" s="7" t="s">
        <v>154</v>
      </c>
      <c r="D98" s="7" t="s">
        <v>20</v>
      </c>
      <c r="E98" s="8" t="n">
        <v>46276</v>
      </c>
      <c r="F98" s="9" t="n">
        <v>7151</v>
      </c>
      <c r="G98" s="9" t="n">
        <v>44875</v>
      </c>
      <c r="H98" s="7" t="s">
        <v>16</v>
      </c>
    </row>
    <row r="99" customFormat="false" ht="15" hidden="true" customHeight="false" outlineLevel="1" collapsed="false">
      <c r="A99" s="7" t="s">
        <v>150</v>
      </c>
      <c r="B99" s="7" t="s">
        <v>151</v>
      </c>
      <c r="C99" s="7" t="s">
        <v>155</v>
      </c>
      <c r="D99" s="7" t="s">
        <v>20</v>
      </c>
      <c r="E99" s="8" t="n">
        <v>46276</v>
      </c>
      <c r="F99" s="9" t="n">
        <v>7151</v>
      </c>
      <c r="G99" s="9" t="n">
        <v>44875</v>
      </c>
      <c r="H99" s="7" t="s">
        <v>16</v>
      </c>
    </row>
    <row r="100" customFormat="false" ht="15" hidden="true" customHeight="false" outlineLevel="1" collapsed="false">
      <c r="A100" s="7" t="s">
        <v>150</v>
      </c>
      <c r="B100" s="7" t="s">
        <v>151</v>
      </c>
      <c r="C100" s="7" t="s">
        <v>156</v>
      </c>
      <c r="D100" s="7" t="s">
        <v>20</v>
      </c>
      <c r="E100" s="8" t="n">
        <v>46276</v>
      </c>
      <c r="F100" s="9" t="n">
        <v>8489</v>
      </c>
      <c r="G100" s="9" t="n">
        <v>53293</v>
      </c>
      <c r="H100" s="7" t="s">
        <v>16</v>
      </c>
    </row>
    <row r="101" customFormat="false" ht="15" hidden="true" customHeight="false" outlineLevel="1" collapsed="false">
      <c r="A101" s="7" t="s">
        <v>150</v>
      </c>
      <c r="B101" s="7" t="s">
        <v>151</v>
      </c>
      <c r="C101" s="7" t="s">
        <v>157</v>
      </c>
      <c r="D101" s="7" t="s">
        <v>20</v>
      </c>
      <c r="E101" s="8" t="n">
        <v>46276</v>
      </c>
      <c r="F101" s="9" t="n">
        <v>3498</v>
      </c>
      <c r="G101" s="9" t="n">
        <v>21995</v>
      </c>
      <c r="H101" s="7" t="s">
        <v>16</v>
      </c>
    </row>
    <row r="102" customFormat="false" ht="15" hidden="true" customHeight="false" outlineLevel="1" collapsed="false">
      <c r="A102" s="7" t="s">
        <v>150</v>
      </c>
      <c r="B102" s="7" t="s">
        <v>151</v>
      </c>
      <c r="C102" s="7" t="s">
        <v>158</v>
      </c>
      <c r="D102" s="7" t="s">
        <v>20</v>
      </c>
      <c r="E102" s="8" t="n">
        <v>46276</v>
      </c>
      <c r="F102" s="9" t="n">
        <v>10580</v>
      </c>
      <c r="G102" s="9" t="n">
        <v>66348</v>
      </c>
      <c r="H102" s="7" t="s">
        <v>16</v>
      </c>
    </row>
    <row r="103" customFormat="false" ht="15" hidden="true" customHeight="false" outlineLevel="1" collapsed="false">
      <c r="A103" s="7" t="s">
        <v>150</v>
      </c>
      <c r="B103" s="7" t="s">
        <v>151</v>
      </c>
      <c r="C103" s="7" t="s">
        <v>159</v>
      </c>
      <c r="D103" s="7" t="s">
        <v>20</v>
      </c>
      <c r="E103" s="8" t="n">
        <v>46276</v>
      </c>
      <c r="F103" s="9" t="n">
        <v>3498</v>
      </c>
      <c r="G103" s="9" t="n">
        <v>21995</v>
      </c>
      <c r="H103" s="7" t="s">
        <v>16</v>
      </c>
    </row>
    <row r="104" customFormat="false" ht="15" hidden="true" customHeight="false" outlineLevel="1" collapsed="false">
      <c r="A104" s="7" t="s">
        <v>150</v>
      </c>
      <c r="B104" s="7" t="s">
        <v>151</v>
      </c>
      <c r="C104" s="7" t="s">
        <v>160</v>
      </c>
      <c r="D104" s="7" t="s">
        <v>20</v>
      </c>
      <c r="E104" s="8" t="n">
        <v>46276</v>
      </c>
      <c r="F104" s="9" t="n">
        <v>10501</v>
      </c>
      <c r="G104" s="9" t="n">
        <v>65852</v>
      </c>
      <c r="H104" s="7" t="s">
        <v>16</v>
      </c>
    </row>
    <row r="105" customFormat="false" ht="15" hidden="true" customHeight="false" outlineLevel="1" collapsed="false">
      <c r="A105" s="7" t="s">
        <v>150</v>
      </c>
      <c r="B105" s="7" t="s">
        <v>151</v>
      </c>
      <c r="C105" s="7" t="s">
        <v>161</v>
      </c>
      <c r="D105" s="7" t="s">
        <v>20</v>
      </c>
      <c r="E105" s="8" t="n">
        <v>46276</v>
      </c>
      <c r="F105" s="9" t="n">
        <v>7151</v>
      </c>
      <c r="G105" s="9" t="n">
        <v>44875</v>
      </c>
      <c r="H105" s="7" t="s">
        <v>16</v>
      </c>
    </row>
    <row r="106" customFormat="false" ht="15" hidden="true" customHeight="false" outlineLevel="1" collapsed="false">
      <c r="A106" s="7" t="s">
        <v>150</v>
      </c>
      <c r="B106" s="7" t="s">
        <v>151</v>
      </c>
      <c r="C106" s="7" t="s">
        <v>162</v>
      </c>
      <c r="D106" s="7" t="s">
        <v>20</v>
      </c>
      <c r="E106" s="8" t="n">
        <v>46276</v>
      </c>
      <c r="F106" s="9" t="n">
        <v>1756</v>
      </c>
      <c r="G106" s="9" t="n">
        <v>10996</v>
      </c>
      <c r="H106" s="7" t="s">
        <v>16</v>
      </c>
    </row>
    <row r="107" customFormat="false" ht="15" hidden="true" customHeight="false" outlineLevel="1" collapsed="false">
      <c r="A107" s="7" t="s">
        <v>150</v>
      </c>
      <c r="B107" s="7" t="s">
        <v>151</v>
      </c>
      <c r="C107" s="7" t="s">
        <v>163</v>
      </c>
      <c r="D107" s="7" t="s">
        <v>20</v>
      </c>
      <c r="E107" s="8" t="n">
        <v>46276</v>
      </c>
      <c r="F107" s="9" t="n">
        <v>14899</v>
      </c>
      <c r="G107" s="9" t="n">
        <v>94261</v>
      </c>
      <c r="H107" s="7" t="s">
        <v>16</v>
      </c>
    </row>
    <row r="108" customFormat="false" ht="15" hidden="true" customHeight="false" outlineLevel="1" collapsed="false">
      <c r="A108" s="7" t="s">
        <v>150</v>
      </c>
      <c r="B108" s="7" t="s">
        <v>151</v>
      </c>
      <c r="C108" s="7" t="s">
        <v>164</v>
      </c>
      <c r="D108" s="7" t="s">
        <v>20</v>
      </c>
      <c r="E108" s="8" t="n">
        <v>46276</v>
      </c>
      <c r="F108" s="9" t="n">
        <v>3498</v>
      </c>
      <c r="G108" s="9" t="n">
        <v>21995</v>
      </c>
      <c r="H108" s="7" t="s">
        <v>16</v>
      </c>
    </row>
    <row r="109" customFormat="false" ht="15" hidden="true" customHeight="false" outlineLevel="1" collapsed="false">
      <c r="A109" s="7" t="s">
        <v>150</v>
      </c>
      <c r="B109" s="7" t="s">
        <v>151</v>
      </c>
      <c r="C109" s="7" t="s">
        <v>165</v>
      </c>
      <c r="D109" s="7" t="s">
        <v>20</v>
      </c>
      <c r="E109" s="8" t="n">
        <v>46276</v>
      </c>
      <c r="F109" s="9" t="n">
        <v>3498</v>
      </c>
      <c r="G109" s="9" t="n">
        <v>21995</v>
      </c>
      <c r="H109" s="7" t="s">
        <v>16</v>
      </c>
    </row>
    <row r="110" customFormat="false" ht="15" hidden="true" customHeight="false" outlineLevel="1" collapsed="false">
      <c r="A110" s="7" t="s">
        <v>150</v>
      </c>
      <c r="B110" s="7" t="s">
        <v>151</v>
      </c>
      <c r="C110" s="7" t="s">
        <v>166</v>
      </c>
      <c r="D110" s="7" t="s">
        <v>20</v>
      </c>
      <c r="E110" s="8" t="n">
        <v>46276</v>
      </c>
      <c r="F110" s="9" t="n">
        <v>7151</v>
      </c>
      <c r="G110" s="9" t="n">
        <v>44875</v>
      </c>
      <c r="H110" s="7" t="s">
        <v>16</v>
      </c>
    </row>
    <row r="111" customFormat="false" ht="15" hidden="true" customHeight="false" outlineLevel="1" collapsed="false">
      <c r="A111" s="7" t="s">
        <v>150</v>
      </c>
      <c r="B111" s="7" t="s">
        <v>151</v>
      </c>
      <c r="C111" s="7" t="s">
        <v>167</v>
      </c>
      <c r="D111" s="7" t="s">
        <v>20</v>
      </c>
      <c r="E111" s="8" t="n">
        <v>46276</v>
      </c>
      <c r="F111" s="9" t="n">
        <v>10580</v>
      </c>
      <c r="G111" s="9" t="n">
        <v>66348</v>
      </c>
      <c r="H111" s="7" t="s">
        <v>16</v>
      </c>
    </row>
    <row r="112" customFormat="false" ht="15" hidden="true" customHeight="false" outlineLevel="1" collapsed="false">
      <c r="A112" s="7" t="s">
        <v>150</v>
      </c>
      <c r="B112" s="7" t="s">
        <v>151</v>
      </c>
      <c r="C112" s="7" t="s">
        <v>168</v>
      </c>
      <c r="D112" s="7" t="s">
        <v>20</v>
      </c>
      <c r="E112" s="8" t="n">
        <v>46276</v>
      </c>
      <c r="F112" s="9" t="n">
        <v>3498</v>
      </c>
      <c r="G112" s="9" t="n">
        <v>21995</v>
      </c>
      <c r="H112" s="7" t="s">
        <v>16</v>
      </c>
    </row>
    <row r="113" customFormat="false" ht="15" hidden="true" customHeight="false" outlineLevel="1" collapsed="false">
      <c r="A113" s="7" t="s">
        <v>150</v>
      </c>
      <c r="B113" s="7" t="s">
        <v>151</v>
      </c>
      <c r="C113" s="7" t="s">
        <v>169</v>
      </c>
      <c r="D113" s="7" t="s">
        <v>20</v>
      </c>
      <c r="E113" s="8" t="n">
        <v>46276</v>
      </c>
      <c r="F113" s="9" t="n">
        <v>3498</v>
      </c>
      <c r="G113" s="9" t="n">
        <v>21995</v>
      </c>
      <c r="H113" s="7" t="s">
        <v>16</v>
      </c>
    </row>
    <row r="114" customFormat="false" ht="15" hidden="true" customHeight="false" outlineLevel="1" collapsed="false">
      <c r="A114" s="7" t="s">
        <v>150</v>
      </c>
      <c r="B114" s="7" t="s">
        <v>151</v>
      </c>
      <c r="C114" s="7" t="s">
        <v>170</v>
      </c>
      <c r="D114" s="7" t="s">
        <v>20</v>
      </c>
      <c r="E114" s="8" t="n">
        <v>46276</v>
      </c>
      <c r="F114" s="9" t="n">
        <v>1756</v>
      </c>
      <c r="G114" s="9" t="n">
        <v>10996</v>
      </c>
      <c r="H114" s="7" t="s">
        <v>16</v>
      </c>
    </row>
    <row r="115" customFormat="false" ht="15" hidden="true" customHeight="false" outlineLevel="1" collapsed="false">
      <c r="A115" s="7" t="s">
        <v>150</v>
      </c>
      <c r="B115" s="7" t="s">
        <v>151</v>
      </c>
      <c r="C115" s="7" t="s">
        <v>171</v>
      </c>
      <c r="D115" s="7" t="s">
        <v>20</v>
      </c>
      <c r="E115" s="8" t="n">
        <v>46276</v>
      </c>
      <c r="F115" s="9" t="n">
        <v>3498</v>
      </c>
      <c r="G115" s="9" t="n">
        <v>21995</v>
      </c>
      <c r="H115" s="7" t="s">
        <v>16</v>
      </c>
    </row>
    <row r="116" customFormat="false" ht="15" hidden="true" customHeight="false" outlineLevel="1" collapsed="false">
      <c r="A116" s="7" t="s">
        <v>150</v>
      </c>
      <c r="B116" s="7" t="s">
        <v>151</v>
      </c>
      <c r="C116" s="7" t="s">
        <v>172</v>
      </c>
      <c r="D116" s="7" t="s">
        <v>20</v>
      </c>
      <c r="E116" s="8" t="n">
        <v>46287</v>
      </c>
      <c r="F116" s="9" t="n">
        <v>1405</v>
      </c>
      <c r="G116" s="9" t="n">
        <v>8800</v>
      </c>
      <c r="H116" s="7" t="s">
        <v>26</v>
      </c>
    </row>
    <row r="117" customFormat="false" ht="15" hidden="true" customHeight="false" outlineLevel="1" collapsed="false">
      <c r="A117" s="7" t="s">
        <v>150</v>
      </c>
      <c r="B117" s="7" t="s">
        <v>151</v>
      </c>
      <c r="C117" s="7" t="s">
        <v>173</v>
      </c>
      <c r="D117" s="7" t="s">
        <v>20</v>
      </c>
      <c r="E117" s="8" t="n">
        <v>46287</v>
      </c>
      <c r="F117" s="9" t="n">
        <v>1405</v>
      </c>
      <c r="G117" s="9" t="n">
        <v>8800</v>
      </c>
      <c r="H117" s="7" t="s">
        <v>26</v>
      </c>
    </row>
    <row r="118" customFormat="false" ht="15" hidden="false" customHeight="false" outlineLevel="0" collapsed="false">
      <c r="A118" s="5" t="s">
        <v>174</v>
      </c>
      <c r="B118" s="5" t="s">
        <v>175</v>
      </c>
      <c r="C118" s="5" t="s">
        <v>176</v>
      </c>
      <c r="D118" s="5" t="s">
        <v>13</v>
      </c>
      <c r="E118" s="5"/>
      <c r="F118" s="6" t="n">
        <f aca="false">SUMIFS(Base!$G:$G,Base!$A:$A,$A118)</f>
        <v>0</v>
      </c>
      <c r="G118" s="6" t="n">
        <f aca="false">SUMIFS(Base!$I:$I,Base!$A:$A,$A118)</f>
        <v>18526829</v>
      </c>
      <c r="H118" s="5"/>
    </row>
    <row r="119" customFormat="false" ht="15" hidden="true" customHeight="false" outlineLevel="1" collapsed="false">
      <c r="A119" s="7" t="s">
        <v>174</v>
      </c>
      <c r="B119" s="7" t="s">
        <v>175</v>
      </c>
      <c r="C119" s="7" t="s">
        <v>177</v>
      </c>
      <c r="D119" s="7" t="s">
        <v>20</v>
      </c>
      <c r="E119" s="8" t="n">
        <v>46280</v>
      </c>
      <c r="F119" s="9" t="n">
        <v>0</v>
      </c>
      <c r="G119" s="9" t="n">
        <v>843093</v>
      </c>
      <c r="H119" s="7" t="s">
        <v>16</v>
      </c>
    </row>
    <row r="120" customFormat="false" ht="15" hidden="true" customHeight="false" outlineLevel="1" collapsed="false">
      <c r="A120" s="7" t="s">
        <v>174</v>
      </c>
      <c r="B120" s="7" t="s">
        <v>175</v>
      </c>
      <c r="C120" s="7" t="s">
        <v>178</v>
      </c>
      <c r="D120" s="7" t="s">
        <v>20</v>
      </c>
      <c r="E120" s="8" t="n">
        <v>46280</v>
      </c>
      <c r="F120" s="9" t="n">
        <v>0</v>
      </c>
      <c r="G120" s="9" t="n">
        <v>8375367</v>
      </c>
      <c r="H120" s="7" t="s">
        <v>16</v>
      </c>
    </row>
    <row r="121" customFormat="false" ht="15" hidden="true" customHeight="false" outlineLevel="1" collapsed="false">
      <c r="A121" s="7" t="s">
        <v>174</v>
      </c>
      <c r="B121" s="7" t="s">
        <v>175</v>
      </c>
      <c r="C121" s="7" t="s">
        <v>179</v>
      </c>
      <c r="D121" s="7" t="s">
        <v>20</v>
      </c>
      <c r="E121" s="8" t="n">
        <v>46295</v>
      </c>
      <c r="F121" s="9" t="n">
        <v>0</v>
      </c>
      <c r="G121" s="9" t="n">
        <v>584463</v>
      </c>
      <c r="H121" s="7" t="s">
        <v>16</v>
      </c>
    </row>
    <row r="122" customFormat="false" ht="15" hidden="true" customHeight="false" outlineLevel="1" collapsed="false">
      <c r="A122" s="7" t="s">
        <v>174</v>
      </c>
      <c r="B122" s="7" t="s">
        <v>175</v>
      </c>
      <c r="C122" s="7" t="s">
        <v>180</v>
      </c>
      <c r="D122" s="7" t="s">
        <v>20</v>
      </c>
      <c r="E122" s="8" t="n">
        <v>46295</v>
      </c>
      <c r="F122" s="9" t="n">
        <v>0</v>
      </c>
      <c r="G122" s="9" t="n">
        <v>8723906</v>
      </c>
      <c r="H122" s="7" t="s">
        <v>16</v>
      </c>
    </row>
    <row r="123" customFormat="false" ht="15" hidden="false" customHeight="false" outlineLevel="0" collapsed="false">
      <c r="A123" s="5" t="s">
        <v>181</v>
      </c>
      <c r="B123" s="5" t="s">
        <v>182</v>
      </c>
      <c r="C123" s="5" t="s">
        <v>99</v>
      </c>
      <c r="D123" s="5" t="s">
        <v>13</v>
      </c>
      <c r="E123" s="5"/>
      <c r="F123" s="6" t="n">
        <f aca="false">SUMIFS(Base!$G:$G,Base!$A:$A,$A123)</f>
        <v>0</v>
      </c>
      <c r="G123" s="6" t="n">
        <f aca="false">SUMIFS(Base!$I:$I,Base!$A:$A,$A123)</f>
        <v>195800</v>
      </c>
      <c r="H123" s="5"/>
    </row>
    <row r="124" customFormat="false" ht="15" hidden="true" customHeight="false" outlineLevel="1" collapsed="false">
      <c r="A124" s="7" t="s">
        <v>181</v>
      </c>
      <c r="B124" s="7" t="s">
        <v>182</v>
      </c>
      <c r="C124" s="7" t="s">
        <v>183</v>
      </c>
      <c r="D124" s="7" t="s">
        <v>20</v>
      </c>
      <c r="E124" s="8" t="n">
        <v>46268</v>
      </c>
      <c r="F124" s="9" t="n">
        <v>0</v>
      </c>
      <c r="G124" s="9" t="n">
        <v>96900</v>
      </c>
      <c r="H124" s="7" t="s">
        <v>16</v>
      </c>
    </row>
    <row r="125" customFormat="false" ht="15" hidden="true" customHeight="false" outlineLevel="1" collapsed="false">
      <c r="A125" s="7" t="s">
        <v>181</v>
      </c>
      <c r="B125" s="7" t="s">
        <v>182</v>
      </c>
      <c r="C125" s="7" t="s">
        <v>184</v>
      </c>
      <c r="D125" s="7" t="s">
        <v>20</v>
      </c>
      <c r="E125" s="8" t="n">
        <v>46281</v>
      </c>
      <c r="F125" s="9" t="n">
        <v>0</v>
      </c>
      <c r="G125" s="9" t="n">
        <v>98900</v>
      </c>
      <c r="H125" s="7" t="s">
        <v>16</v>
      </c>
    </row>
    <row r="126" customFormat="false" ht="15" hidden="false" customHeight="false" outlineLevel="0" collapsed="false">
      <c r="A126" s="5" t="s">
        <v>185</v>
      </c>
      <c r="B126" s="5" t="s">
        <v>186</v>
      </c>
      <c r="C126" s="5" t="s">
        <v>12</v>
      </c>
      <c r="D126" s="5" t="s">
        <v>13</v>
      </c>
      <c r="E126" s="5"/>
      <c r="F126" s="6" t="n">
        <f aca="false">SUMIFS(Base!$G:$G,Base!$A:$A,$A126)</f>
        <v>4374.75</v>
      </c>
      <c r="G126" s="6" t="n">
        <f aca="false">SUMIFS(Base!$I:$I,Base!$A:$A,$A126)</f>
        <v>27399.75</v>
      </c>
      <c r="H126" s="5"/>
    </row>
    <row r="127" customFormat="false" ht="15" hidden="true" customHeight="false" outlineLevel="1" collapsed="false">
      <c r="A127" s="7" t="s">
        <v>185</v>
      </c>
      <c r="B127" s="7" t="s">
        <v>186</v>
      </c>
      <c r="C127" s="7" t="s">
        <v>187</v>
      </c>
      <c r="D127" s="7" t="s">
        <v>20</v>
      </c>
      <c r="E127" s="8" t="n">
        <v>46284</v>
      </c>
      <c r="F127" s="9" t="n">
        <v>4374.75</v>
      </c>
      <c r="G127" s="9" t="n">
        <v>27399.75</v>
      </c>
      <c r="H127" s="7" t="s">
        <v>26</v>
      </c>
    </row>
    <row r="128" customFormat="false" ht="15" hidden="false" customHeight="false" outlineLevel="0" collapsed="false">
      <c r="A128" s="5" t="s">
        <v>188</v>
      </c>
      <c r="B128" s="5" t="s">
        <v>189</v>
      </c>
      <c r="C128" s="5" t="s">
        <v>12</v>
      </c>
      <c r="D128" s="5" t="s">
        <v>13</v>
      </c>
      <c r="E128" s="5"/>
      <c r="F128" s="6" t="n">
        <f aca="false">SUMIFS(Base!$G:$G,Base!$A:$A,$A128)</f>
        <v>0</v>
      </c>
      <c r="G128" s="6" t="n">
        <f aca="false">SUMIFS(Base!$I:$I,Base!$A:$A,$A128)</f>
        <v>946600</v>
      </c>
      <c r="H128" s="5"/>
    </row>
    <row r="129" customFormat="false" ht="15" hidden="true" customHeight="false" outlineLevel="1" collapsed="false">
      <c r="A129" s="7" t="s">
        <v>188</v>
      </c>
      <c r="B129" s="7" t="s">
        <v>189</v>
      </c>
      <c r="C129" s="7" t="s">
        <v>190</v>
      </c>
      <c r="D129" s="7" t="s">
        <v>20</v>
      </c>
      <c r="E129" s="8" t="n">
        <v>46280</v>
      </c>
      <c r="F129" s="9" t="n">
        <v>0</v>
      </c>
      <c r="G129" s="9" t="n">
        <v>946600</v>
      </c>
      <c r="H129" s="7" t="s">
        <v>26</v>
      </c>
    </row>
    <row r="130" customFormat="false" ht="15" hidden="false" customHeight="false" outlineLevel="0" collapsed="false">
      <c r="A130" s="5" t="s">
        <v>191</v>
      </c>
      <c r="B130" s="5" t="s">
        <v>192</v>
      </c>
      <c r="C130" s="5" t="s">
        <v>12</v>
      </c>
      <c r="D130" s="5" t="s">
        <v>13</v>
      </c>
      <c r="E130" s="5"/>
      <c r="F130" s="6" t="n">
        <f aca="false">SUMIFS(Base!$G:$G,Base!$A:$A,$A130)</f>
        <v>81726.63</v>
      </c>
      <c r="G130" s="6" t="n">
        <f aca="false">SUMIFS(Base!$I:$I,Base!$A:$A,$A130)</f>
        <v>511867</v>
      </c>
      <c r="H130" s="5"/>
    </row>
    <row r="131" customFormat="false" ht="15" hidden="true" customHeight="false" outlineLevel="1" collapsed="false">
      <c r="A131" s="7" t="s">
        <v>191</v>
      </c>
      <c r="B131" s="7" t="s">
        <v>192</v>
      </c>
      <c r="C131" s="7" t="s">
        <v>193</v>
      </c>
      <c r="D131" s="7" t="s">
        <v>20</v>
      </c>
      <c r="E131" s="8" t="n">
        <v>46266</v>
      </c>
      <c r="F131" s="9" t="n">
        <v>81726.63</v>
      </c>
      <c r="G131" s="9" t="n">
        <v>511867</v>
      </c>
      <c r="H131" s="7" t="s">
        <v>16</v>
      </c>
    </row>
    <row r="132" customFormat="false" ht="15" hidden="false" customHeight="false" outlineLevel="0" collapsed="false">
      <c r="A132" s="5" t="s">
        <v>194</v>
      </c>
      <c r="B132" s="5" t="s">
        <v>195</v>
      </c>
      <c r="C132" s="5" t="s">
        <v>12</v>
      </c>
      <c r="D132" s="5" t="s">
        <v>13</v>
      </c>
      <c r="E132" s="5"/>
      <c r="F132" s="6" t="n">
        <f aca="false">SUMIFS(Base!$G:$G,Base!$A:$A,$A132)</f>
        <v>1520000</v>
      </c>
      <c r="G132" s="6" t="n">
        <f aca="false">SUMIFS(Base!$I:$I,Base!$A:$A,$A132)</f>
        <v>9520000</v>
      </c>
      <c r="H132" s="5"/>
    </row>
    <row r="133" customFormat="false" ht="15" hidden="true" customHeight="false" outlineLevel="1" collapsed="false">
      <c r="A133" s="7" t="s">
        <v>194</v>
      </c>
      <c r="B133" s="7" t="s">
        <v>195</v>
      </c>
      <c r="C133" s="7" t="s">
        <v>196</v>
      </c>
      <c r="D133" s="7" t="s">
        <v>20</v>
      </c>
      <c r="E133" s="8" t="n">
        <v>46294</v>
      </c>
      <c r="F133" s="9" t="n">
        <v>1520000</v>
      </c>
      <c r="G133" s="9" t="n">
        <v>9520000</v>
      </c>
      <c r="H133" s="7" t="s">
        <v>16</v>
      </c>
    </row>
    <row r="134" customFormat="false" ht="15" hidden="false" customHeight="false" outlineLevel="0" collapsed="false">
      <c r="A134" s="5" t="s">
        <v>197</v>
      </c>
      <c r="B134" s="5" t="s">
        <v>198</v>
      </c>
      <c r="C134" s="5" t="s">
        <v>99</v>
      </c>
      <c r="D134" s="5" t="s">
        <v>13</v>
      </c>
      <c r="E134" s="5"/>
      <c r="F134" s="6" t="n">
        <f aca="false">SUMIFS(Base!$G:$G,Base!$A:$A,$A134)</f>
        <v>0</v>
      </c>
      <c r="G134" s="6" t="n">
        <f aca="false">SUMIFS(Base!$I:$I,Base!$A:$A,$A134)</f>
        <v>39500</v>
      </c>
      <c r="H134" s="5"/>
    </row>
    <row r="135" customFormat="false" ht="15" hidden="true" customHeight="false" outlineLevel="1" collapsed="false">
      <c r="A135" s="7" t="s">
        <v>197</v>
      </c>
      <c r="B135" s="7" t="s">
        <v>198</v>
      </c>
      <c r="C135" s="7" t="s">
        <v>199</v>
      </c>
      <c r="D135" s="7" t="s">
        <v>200</v>
      </c>
      <c r="E135" s="8" t="n">
        <v>46287</v>
      </c>
      <c r="F135" s="9" t="n">
        <v>0</v>
      </c>
      <c r="G135" s="9" t="n">
        <v>6500</v>
      </c>
      <c r="H135" s="7" t="s">
        <v>26</v>
      </c>
    </row>
    <row r="136" customFormat="false" ht="15" hidden="true" customHeight="false" outlineLevel="1" collapsed="false">
      <c r="A136" s="7" t="s">
        <v>197</v>
      </c>
      <c r="B136" s="7" t="s">
        <v>198</v>
      </c>
      <c r="C136" s="7" t="s">
        <v>201</v>
      </c>
      <c r="D136" s="7" t="s">
        <v>200</v>
      </c>
      <c r="E136" s="8" t="n">
        <v>46289</v>
      </c>
      <c r="F136" s="9" t="n">
        <v>0</v>
      </c>
      <c r="G136" s="9" t="n">
        <v>33000</v>
      </c>
      <c r="H136" s="7" t="s">
        <v>26</v>
      </c>
    </row>
    <row r="137" customFormat="false" ht="15" hidden="false" customHeight="false" outlineLevel="0" collapsed="false">
      <c r="A137" s="5" t="s">
        <v>202</v>
      </c>
      <c r="B137" s="5" t="s">
        <v>203</v>
      </c>
      <c r="C137" s="5" t="s">
        <v>12</v>
      </c>
      <c r="D137" s="5" t="s">
        <v>13</v>
      </c>
      <c r="E137" s="5"/>
      <c r="F137" s="6" t="n">
        <f aca="false">SUMIFS(Base!$G:$G,Base!$A:$A,$A137)</f>
        <v>0</v>
      </c>
      <c r="G137" s="6" t="n">
        <f aca="false">SUMIFS(Base!$I:$I,Base!$A:$A,$A137)</f>
        <v>65830</v>
      </c>
      <c r="H137" s="5"/>
    </row>
    <row r="138" customFormat="false" ht="15" hidden="true" customHeight="false" outlineLevel="1" collapsed="false">
      <c r="A138" s="7" t="s">
        <v>202</v>
      </c>
      <c r="B138" s="7" t="s">
        <v>203</v>
      </c>
      <c r="C138" s="7" t="s">
        <v>204</v>
      </c>
      <c r="D138" s="7" t="s">
        <v>20</v>
      </c>
      <c r="E138" s="8" t="n">
        <v>46281</v>
      </c>
      <c r="F138" s="9" t="n">
        <v>0</v>
      </c>
      <c r="G138" s="9" t="n">
        <v>65830</v>
      </c>
      <c r="H138" s="7" t="s">
        <v>16</v>
      </c>
    </row>
    <row r="139" customFormat="false" ht="15" hidden="false" customHeight="false" outlineLevel="0" collapsed="false">
      <c r="A139" s="5" t="s">
        <v>205</v>
      </c>
      <c r="B139" s="5" t="s">
        <v>206</v>
      </c>
      <c r="C139" s="5" t="s">
        <v>12</v>
      </c>
      <c r="D139" s="5" t="s">
        <v>13</v>
      </c>
      <c r="E139" s="5"/>
      <c r="F139" s="6" t="n">
        <f aca="false">SUMIFS(Base!$G:$G,Base!$A:$A,$A139)</f>
        <v>0</v>
      </c>
      <c r="G139" s="6" t="n">
        <f aca="false">SUMIFS(Base!$I:$I,Base!$A:$A,$A139)</f>
        <v>80000</v>
      </c>
      <c r="H139" s="5"/>
    </row>
    <row r="140" customFormat="false" ht="15" hidden="true" customHeight="false" outlineLevel="1" collapsed="false">
      <c r="A140" s="7" t="s">
        <v>205</v>
      </c>
      <c r="B140" s="7" t="s">
        <v>206</v>
      </c>
      <c r="C140" s="7" t="s">
        <v>207</v>
      </c>
      <c r="D140" s="7" t="s">
        <v>15</v>
      </c>
      <c r="E140" s="8" t="n">
        <v>46279</v>
      </c>
      <c r="F140" s="9" t="n">
        <v>0</v>
      </c>
      <c r="G140" s="9" t="n">
        <v>80000</v>
      </c>
      <c r="H140" s="7" t="s">
        <v>16</v>
      </c>
    </row>
    <row r="141" customFormat="false" ht="15" hidden="false" customHeight="false" outlineLevel="0" collapsed="false">
      <c r="A141" s="5" t="s">
        <v>208</v>
      </c>
      <c r="B141" s="5" t="s">
        <v>209</v>
      </c>
      <c r="C141" s="5" t="s">
        <v>12</v>
      </c>
      <c r="D141" s="5" t="s">
        <v>13</v>
      </c>
      <c r="E141" s="5"/>
      <c r="F141" s="6" t="n">
        <f aca="false">SUMIFS(Base!$G:$G,Base!$A:$A,$A141)</f>
        <v>0</v>
      </c>
      <c r="G141" s="6" t="n">
        <f aca="false">SUMIFS(Base!$I:$I,Base!$A:$A,$A141)</f>
        <v>42000</v>
      </c>
      <c r="H141" s="5"/>
    </row>
    <row r="142" customFormat="false" ht="15" hidden="true" customHeight="false" outlineLevel="1" collapsed="false">
      <c r="A142" s="7" t="s">
        <v>208</v>
      </c>
      <c r="B142" s="7" t="s">
        <v>209</v>
      </c>
      <c r="C142" s="7" t="s">
        <v>210</v>
      </c>
      <c r="D142" s="7" t="s">
        <v>200</v>
      </c>
      <c r="E142" s="8" t="n">
        <v>46288</v>
      </c>
      <c r="F142" s="9" t="n">
        <v>0</v>
      </c>
      <c r="G142" s="9" t="n">
        <v>42000</v>
      </c>
      <c r="H142" s="7" t="s">
        <v>26</v>
      </c>
    </row>
    <row r="143" customFormat="false" ht="15" hidden="false" customHeight="false" outlineLevel="0" collapsed="false">
      <c r="A143" s="5" t="s">
        <v>211</v>
      </c>
      <c r="B143" s="5" t="s">
        <v>212</v>
      </c>
      <c r="C143" s="5" t="s">
        <v>12</v>
      </c>
      <c r="D143" s="5" t="s">
        <v>13</v>
      </c>
      <c r="E143" s="5"/>
      <c r="F143" s="6" t="n">
        <f aca="false">SUMIFS(Base!$G:$G,Base!$A:$A,$A143)</f>
        <v>0</v>
      </c>
      <c r="G143" s="6" t="n">
        <f aca="false">SUMIFS(Base!$I:$I,Base!$A:$A,$A143)</f>
        <v>600000</v>
      </c>
      <c r="H143" s="5"/>
    </row>
    <row r="144" customFormat="false" ht="15" hidden="true" customHeight="false" outlineLevel="1" collapsed="false">
      <c r="A144" s="7" t="s">
        <v>211</v>
      </c>
      <c r="B144" s="7" t="s">
        <v>212</v>
      </c>
      <c r="C144" s="7" t="s">
        <v>213</v>
      </c>
      <c r="D144" s="7" t="s">
        <v>15</v>
      </c>
      <c r="E144" s="8" t="n">
        <v>46293</v>
      </c>
      <c r="F144" s="9" t="n">
        <v>0</v>
      </c>
      <c r="G144" s="9" t="n">
        <v>600000</v>
      </c>
      <c r="H144" s="7" t="s">
        <v>16</v>
      </c>
    </row>
    <row r="145" customFormat="false" ht="15" hidden="false" customHeight="false" outlineLevel="0" collapsed="false">
      <c r="A145" s="5" t="s">
        <v>214</v>
      </c>
      <c r="B145" s="5" t="s">
        <v>215</v>
      </c>
      <c r="C145" s="5" t="s">
        <v>12</v>
      </c>
      <c r="D145" s="5" t="s">
        <v>13</v>
      </c>
      <c r="E145" s="5"/>
      <c r="F145" s="6" t="n">
        <f aca="false">SUMIFS(Base!$G:$G,Base!$A:$A,$A145)</f>
        <v>1861150</v>
      </c>
      <c r="G145" s="6" t="n">
        <f aca="false">SUMIFS(Base!$I:$I,Base!$A:$A,$A145)</f>
        <v>11656675</v>
      </c>
      <c r="H145" s="5"/>
    </row>
    <row r="146" customFormat="false" ht="15" hidden="true" customHeight="false" outlineLevel="1" collapsed="false">
      <c r="A146" s="7" t="s">
        <v>214</v>
      </c>
      <c r="B146" s="7" t="s">
        <v>215</v>
      </c>
      <c r="C146" s="7" t="s">
        <v>216</v>
      </c>
      <c r="D146" s="7" t="s">
        <v>20</v>
      </c>
      <c r="E146" s="8" t="n">
        <v>46290</v>
      </c>
      <c r="F146" s="9" t="n">
        <v>1861150</v>
      </c>
      <c r="G146" s="9" t="n">
        <v>11656675</v>
      </c>
      <c r="H146" s="7" t="s">
        <v>16</v>
      </c>
    </row>
    <row r="147" customFormat="false" ht="15" hidden="false" customHeight="false" outlineLevel="0" collapsed="false">
      <c r="A147" s="5" t="s">
        <v>217</v>
      </c>
      <c r="B147" s="5" t="s">
        <v>218</v>
      </c>
      <c r="C147" s="5" t="s">
        <v>12</v>
      </c>
      <c r="D147" s="5" t="s">
        <v>13</v>
      </c>
      <c r="E147" s="5"/>
      <c r="F147" s="6" t="n">
        <f aca="false">SUMIFS(Base!$G:$G,Base!$A:$A,$A147)</f>
        <v>0</v>
      </c>
      <c r="G147" s="6" t="n">
        <f aca="false">SUMIFS(Base!$I:$I,Base!$A:$A,$A147)</f>
        <v>250000</v>
      </c>
      <c r="H147" s="5"/>
    </row>
    <row r="148" customFormat="false" ht="15" hidden="true" customHeight="false" outlineLevel="1" collapsed="false">
      <c r="A148" s="7" t="s">
        <v>217</v>
      </c>
      <c r="B148" s="7" t="s">
        <v>218</v>
      </c>
      <c r="C148" s="7" t="s">
        <v>219</v>
      </c>
      <c r="D148" s="7" t="s">
        <v>20</v>
      </c>
      <c r="E148" s="8" t="n">
        <v>46266</v>
      </c>
      <c r="F148" s="9" t="n">
        <v>0</v>
      </c>
      <c r="G148" s="9" t="n">
        <v>250000</v>
      </c>
      <c r="H148" s="7" t="s">
        <v>16</v>
      </c>
    </row>
    <row r="149" customFormat="false" ht="15" hidden="false" customHeight="false" outlineLevel="0" collapsed="false">
      <c r="A149" s="5" t="s">
        <v>220</v>
      </c>
      <c r="B149" s="5" t="s">
        <v>221</v>
      </c>
      <c r="C149" s="5" t="s">
        <v>176</v>
      </c>
      <c r="D149" s="5" t="s">
        <v>13</v>
      </c>
      <c r="E149" s="5"/>
      <c r="F149" s="6" t="n">
        <f aca="false">SUMIFS(Base!$G:$G,Base!$A:$A,$A149)</f>
        <v>5181.09</v>
      </c>
      <c r="G149" s="6" t="n">
        <f aca="false">SUMIFS(Base!$I:$I,Base!$A:$A,$A149)</f>
        <v>38329.99</v>
      </c>
      <c r="H149" s="5"/>
    </row>
    <row r="150" customFormat="false" ht="15" hidden="true" customHeight="false" outlineLevel="1" collapsed="false">
      <c r="A150" s="7" t="s">
        <v>220</v>
      </c>
      <c r="B150" s="7" t="s">
        <v>221</v>
      </c>
      <c r="C150" s="7" t="s">
        <v>222</v>
      </c>
      <c r="D150" s="7" t="s">
        <v>20</v>
      </c>
      <c r="E150" s="8" t="n">
        <v>46272</v>
      </c>
      <c r="F150" s="9" t="n">
        <v>542.86</v>
      </c>
      <c r="G150" s="9" t="n">
        <v>5380</v>
      </c>
      <c r="H150" s="7" t="s">
        <v>16</v>
      </c>
    </row>
    <row r="151" customFormat="false" ht="15" hidden="true" customHeight="false" outlineLevel="1" collapsed="false">
      <c r="A151" s="7" t="s">
        <v>220</v>
      </c>
      <c r="B151" s="7" t="s">
        <v>221</v>
      </c>
      <c r="C151" s="7" t="s">
        <v>223</v>
      </c>
      <c r="D151" s="7" t="s">
        <v>20</v>
      </c>
      <c r="E151" s="8" t="n">
        <v>46272</v>
      </c>
      <c r="F151" s="9" t="n">
        <v>0</v>
      </c>
      <c r="G151" s="9" t="n">
        <v>1950</v>
      </c>
      <c r="H151" s="7" t="s">
        <v>26</v>
      </c>
    </row>
    <row r="152" customFormat="false" ht="15" hidden="true" customHeight="false" outlineLevel="1" collapsed="false">
      <c r="A152" s="7" t="s">
        <v>220</v>
      </c>
      <c r="B152" s="7" t="s">
        <v>221</v>
      </c>
      <c r="C152" s="7" t="s">
        <v>224</v>
      </c>
      <c r="D152" s="7" t="s">
        <v>20</v>
      </c>
      <c r="E152" s="8" t="n">
        <v>46273</v>
      </c>
      <c r="F152" s="9" t="n">
        <v>0</v>
      </c>
      <c r="G152" s="9" t="n">
        <v>1950</v>
      </c>
      <c r="H152" s="7" t="s">
        <v>26</v>
      </c>
    </row>
    <row r="153" customFormat="false" ht="15" hidden="true" customHeight="false" outlineLevel="1" collapsed="false">
      <c r="A153" s="7" t="s">
        <v>220</v>
      </c>
      <c r="B153" s="7" t="s">
        <v>221</v>
      </c>
      <c r="C153" s="7" t="s">
        <v>225</v>
      </c>
      <c r="D153" s="7" t="s">
        <v>20</v>
      </c>
      <c r="E153" s="8" t="n">
        <v>46290</v>
      </c>
      <c r="F153" s="9" t="n">
        <v>4638.23</v>
      </c>
      <c r="G153" s="9" t="n">
        <v>29049.99</v>
      </c>
      <c r="H153" s="7" t="s">
        <v>26</v>
      </c>
    </row>
    <row r="154" customFormat="false" ht="15" hidden="false" customHeight="false" outlineLevel="0" collapsed="false">
      <c r="A154" s="5" t="s">
        <v>226</v>
      </c>
      <c r="B154" s="5" t="s">
        <v>227</v>
      </c>
      <c r="C154" s="5" t="s">
        <v>12</v>
      </c>
      <c r="D154" s="5" t="s">
        <v>13</v>
      </c>
      <c r="E154" s="5"/>
      <c r="F154" s="6" t="n">
        <f aca="false">SUMIFS(Base!$G:$G,Base!$A:$A,$A154)</f>
        <v>718</v>
      </c>
      <c r="G154" s="6" t="n">
        <f aca="false">SUMIFS(Base!$I:$I,Base!$A:$A,$A154)</f>
        <v>4500</v>
      </c>
      <c r="H154" s="5"/>
    </row>
    <row r="155" customFormat="false" ht="15" hidden="true" customHeight="false" outlineLevel="1" collapsed="false">
      <c r="A155" s="7" t="s">
        <v>226</v>
      </c>
      <c r="B155" s="7" t="s">
        <v>227</v>
      </c>
      <c r="C155" s="7" t="s">
        <v>228</v>
      </c>
      <c r="D155" s="7" t="s">
        <v>20</v>
      </c>
      <c r="E155" s="8" t="n">
        <v>46272</v>
      </c>
      <c r="F155" s="9" t="n">
        <v>718</v>
      </c>
      <c r="G155" s="9" t="n">
        <v>4500</v>
      </c>
      <c r="H155" s="7" t="s">
        <v>26</v>
      </c>
    </row>
    <row r="156" customFormat="false" ht="15" hidden="false" customHeight="false" outlineLevel="0" collapsed="false">
      <c r="A156" s="5" t="s">
        <v>229</v>
      </c>
      <c r="B156" s="5" t="s">
        <v>230</v>
      </c>
      <c r="C156" s="5" t="s">
        <v>12</v>
      </c>
      <c r="D156" s="5" t="s">
        <v>13</v>
      </c>
      <c r="E156" s="5"/>
      <c r="F156" s="6" t="n">
        <f aca="false">SUMIFS(Base!$G:$G,Base!$A:$A,$A156)</f>
        <v>130872</v>
      </c>
      <c r="G156" s="6" t="n">
        <f aca="false">SUMIFS(Base!$I:$I,Base!$A:$A,$A156)</f>
        <v>844372</v>
      </c>
      <c r="H156" s="5"/>
    </row>
    <row r="157" customFormat="false" ht="15" hidden="true" customHeight="false" outlineLevel="1" collapsed="false">
      <c r="A157" s="7" t="s">
        <v>229</v>
      </c>
      <c r="B157" s="7" t="s">
        <v>230</v>
      </c>
      <c r="C157" s="7" t="s">
        <v>231</v>
      </c>
      <c r="D157" s="7" t="s">
        <v>20</v>
      </c>
      <c r="E157" s="8" t="n">
        <v>46289</v>
      </c>
      <c r="F157" s="9" t="n">
        <v>130872</v>
      </c>
      <c r="G157" s="9" t="n">
        <v>844372</v>
      </c>
      <c r="H157" s="7" t="s">
        <v>26</v>
      </c>
    </row>
    <row r="158" customFormat="false" ht="15" hidden="false" customHeight="false" outlineLevel="0" collapsed="false">
      <c r="A158" s="5" t="s">
        <v>232</v>
      </c>
      <c r="B158" s="5" t="s">
        <v>233</v>
      </c>
      <c r="C158" s="5" t="s">
        <v>12</v>
      </c>
      <c r="D158" s="5" t="s">
        <v>13</v>
      </c>
      <c r="E158" s="5"/>
      <c r="F158" s="6" t="n">
        <f aca="false">SUMIFS(Base!$G:$G,Base!$A:$A,$A158)</f>
        <v>0</v>
      </c>
      <c r="G158" s="6" t="n">
        <f aca="false">SUMIFS(Base!$I:$I,Base!$A:$A,$A158)</f>
        <v>12000</v>
      </c>
      <c r="H158" s="5"/>
    </row>
    <row r="159" customFormat="false" ht="15" hidden="true" customHeight="false" outlineLevel="1" collapsed="false">
      <c r="A159" s="7" t="s">
        <v>232</v>
      </c>
      <c r="B159" s="7" t="s">
        <v>233</v>
      </c>
      <c r="C159" s="7" t="s">
        <v>234</v>
      </c>
      <c r="D159" s="7" t="s">
        <v>20</v>
      </c>
      <c r="E159" s="8" t="n">
        <v>46286</v>
      </c>
      <c r="F159" s="9" t="n">
        <v>0</v>
      </c>
      <c r="G159" s="9" t="n">
        <v>12000</v>
      </c>
      <c r="H159" s="7" t="s">
        <v>26</v>
      </c>
    </row>
    <row r="160" customFormat="false" ht="15" hidden="false" customHeight="false" outlineLevel="0" collapsed="false">
      <c r="A160" s="5" t="s">
        <v>235</v>
      </c>
      <c r="B160" s="5" t="s">
        <v>236</v>
      </c>
      <c r="C160" s="5" t="s">
        <v>237</v>
      </c>
      <c r="D160" s="5" t="s">
        <v>13</v>
      </c>
      <c r="E160" s="5"/>
      <c r="F160" s="6" t="n">
        <f aca="false">SUMIFS(Base!$G:$G,Base!$A:$A,$A160)</f>
        <v>0</v>
      </c>
      <c r="G160" s="6" t="n">
        <f aca="false">SUMIFS(Base!$I:$I,Base!$A:$A,$A160)</f>
        <v>405331386</v>
      </c>
      <c r="H160" s="5"/>
    </row>
    <row r="161" customFormat="false" ht="15" hidden="true" customHeight="false" outlineLevel="1" collapsed="false">
      <c r="A161" s="7" t="s">
        <v>235</v>
      </c>
      <c r="B161" s="7" t="s">
        <v>236</v>
      </c>
      <c r="C161" s="7" t="s">
        <v>238</v>
      </c>
      <c r="D161" s="7" t="s">
        <v>20</v>
      </c>
      <c r="E161" s="8" t="n">
        <v>46269</v>
      </c>
      <c r="F161" s="9" t="n">
        <v>0</v>
      </c>
      <c r="G161" s="9" t="n">
        <v>163377</v>
      </c>
      <c r="H161" s="7" t="s">
        <v>16</v>
      </c>
    </row>
    <row r="162" customFormat="false" ht="15" hidden="true" customHeight="false" outlineLevel="1" collapsed="false">
      <c r="A162" s="7" t="s">
        <v>235</v>
      </c>
      <c r="B162" s="7" t="s">
        <v>236</v>
      </c>
      <c r="C162" s="7" t="s">
        <v>239</v>
      </c>
      <c r="D162" s="7" t="s">
        <v>20</v>
      </c>
      <c r="E162" s="8" t="n">
        <v>46275</v>
      </c>
      <c r="F162" s="9" t="n">
        <v>0</v>
      </c>
      <c r="G162" s="9" t="n">
        <v>17284533</v>
      </c>
      <c r="H162" s="7" t="s">
        <v>26</v>
      </c>
    </row>
    <row r="163" customFormat="false" ht="15" hidden="true" customHeight="false" outlineLevel="1" collapsed="false">
      <c r="A163" s="7" t="s">
        <v>235</v>
      </c>
      <c r="B163" s="7" t="s">
        <v>236</v>
      </c>
      <c r="C163" s="7" t="s">
        <v>240</v>
      </c>
      <c r="D163" s="7" t="s">
        <v>20</v>
      </c>
      <c r="E163" s="8" t="n">
        <v>46275</v>
      </c>
      <c r="F163" s="9" t="n">
        <v>0</v>
      </c>
      <c r="G163" s="9" t="n">
        <v>936203</v>
      </c>
      <c r="H163" s="7" t="s">
        <v>16</v>
      </c>
    </row>
    <row r="164" customFormat="false" ht="15" hidden="true" customHeight="false" outlineLevel="1" collapsed="false">
      <c r="A164" s="7" t="s">
        <v>235</v>
      </c>
      <c r="B164" s="7" t="s">
        <v>236</v>
      </c>
      <c r="C164" s="7" t="s">
        <v>241</v>
      </c>
      <c r="D164" s="7" t="s">
        <v>20</v>
      </c>
      <c r="E164" s="8" t="n">
        <v>46283</v>
      </c>
      <c r="F164" s="9" t="n">
        <v>0</v>
      </c>
      <c r="G164" s="9" t="n">
        <v>1524400</v>
      </c>
      <c r="H164" s="7" t="s">
        <v>16</v>
      </c>
    </row>
    <row r="165" customFormat="false" ht="15" hidden="true" customHeight="false" outlineLevel="1" collapsed="false">
      <c r="A165" s="7" t="s">
        <v>235</v>
      </c>
      <c r="B165" s="7" t="s">
        <v>236</v>
      </c>
      <c r="C165" s="7" t="s">
        <v>242</v>
      </c>
      <c r="D165" s="7" t="s">
        <v>20</v>
      </c>
      <c r="E165" s="8" t="n">
        <v>46290</v>
      </c>
      <c r="F165" s="9" t="n">
        <v>0</v>
      </c>
      <c r="G165" s="9" t="n">
        <v>17182828</v>
      </c>
      <c r="H165" s="7" t="s">
        <v>16</v>
      </c>
    </row>
    <row r="166" customFormat="false" ht="15" hidden="true" customHeight="false" outlineLevel="1" collapsed="false">
      <c r="A166" s="7" t="s">
        <v>235</v>
      </c>
      <c r="B166" s="7" t="s">
        <v>236</v>
      </c>
      <c r="C166" s="7" t="s">
        <v>243</v>
      </c>
      <c r="D166" s="7" t="s">
        <v>20</v>
      </c>
      <c r="E166" s="8" t="n">
        <v>46294</v>
      </c>
      <c r="F166" s="9" t="n">
        <v>0</v>
      </c>
      <c r="G166" s="9" t="n">
        <v>25832826</v>
      </c>
      <c r="H166" s="7" t="s">
        <v>40</v>
      </c>
    </row>
    <row r="167" customFormat="false" ht="15" hidden="true" customHeight="false" outlineLevel="1" collapsed="false">
      <c r="A167" s="7" t="s">
        <v>235</v>
      </c>
      <c r="B167" s="7" t="s">
        <v>236</v>
      </c>
      <c r="C167" s="7" t="s">
        <v>244</v>
      </c>
      <c r="D167" s="7" t="s">
        <v>20</v>
      </c>
      <c r="E167" s="8" t="n">
        <v>46294</v>
      </c>
      <c r="F167" s="9" t="n">
        <v>0</v>
      </c>
      <c r="G167" s="9" t="n">
        <v>44800000</v>
      </c>
      <c r="H167" s="7" t="s">
        <v>40</v>
      </c>
    </row>
    <row r="168" customFormat="false" ht="15" hidden="true" customHeight="false" outlineLevel="1" collapsed="false">
      <c r="A168" s="7" t="s">
        <v>235</v>
      </c>
      <c r="B168" s="7" t="s">
        <v>236</v>
      </c>
      <c r="C168" s="7" t="s">
        <v>245</v>
      </c>
      <c r="D168" s="7" t="s">
        <v>20</v>
      </c>
      <c r="E168" s="8" t="n">
        <v>46294</v>
      </c>
      <c r="F168" s="9" t="n">
        <v>0</v>
      </c>
      <c r="G168" s="9" t="n">
        <v>62792000</v>
      </c>
      <c r="H168" s="7" t="s">
        <v>40</v>
      </c>
    </row>
    <row r="169" customFormat="false" ht="15" hidden="true" customHeight="false" outlineLevel="1" collapsed="false">
      <c r="A169" s="7" t="s">
        <v>235</v>
      </c>
      <c r="B169" s="7" t="s">
        <v>236</v>
      </c>
      <c r="C169" s="7" t="s">
        <v>246</v>
      </c>
      <c r="D169" s="7" t="s">
        <v>20</v>
      </c>
      <c r="E169" s="8" t="n">
        <v>46294</v>
      </c>
      <c r="F169" s="9" t="n">
        <v>0</v>
      </c>
      <c r="G169" s="9" t="n">
        <v>55308000</v>
      </c>
      <c r="H169" s="7" t="s">
        <v>40</v>
      </c>
    </row>
    <row r="170" customFormat="false" ht="15" hidden="true" customHeight="false" outlineLevel="1" collapsed="false">
      <c r="A170" s="7" t="s">
        <v>235</v>
      </c>
      <c r="B170" s="7" t="s">
        <v>236</v>
      </c>
      <c r="C170" s="7" t="s">
        <v>247</v>
      </c>
      <c r="D170" s="7" t="s">
        <v>20</v>
      </c>
      <c r="E170" s="8" t="n">
        <v>46294</v>
      </c>
      <c r="F170" s="9" t="n">
        <v>0</v>
      </c>
      <c r="G170" s="9" t="n">
        <v>62925000</v>
      </c>
      <c r="H170" s="7" t="s">
        <v>40</v>
      </c>
    </row>
    <row r="171" customFormat="false" ht="15" hidden="true" customHeight="false" outlineLevel="1" collapsed="false">
      <c r="A171" s="7" t="s">
        <v>235</v>
      </c>
      <c r="B171" s="7" t="s">
        <v>236</v>
      </c>
      <c r="C171" s="7" t="s">
        <v>248</v>
      </c>
      <c r="D171" s="7" t="s">
        <v>20</v>
      </c>
      <c r="E171" s="8" t="n">
        <v>46294</v>
      </c>
      <c r="F171" s="9" t="n">
        <v>0</v>
      </c>
      <c r="G171" s="9" t="n">
        <v>62370000</v>
      </c>
      <c r="H171" s="7" t="s">
        <v>40</v>
      </c>
    </row>
    <row r="172" customFormat="false" ht="15" hidden="true" customHeight="false" outlineLevel="1" collapsed="false">
      <c r="A172" s="7" t="s">
        <v>235</v>
      </c>
      <c r="B172" s="7" t="s">
        <v>236</v>
      </c>
      <c r="C172" s="7" t="s">
        <v>249</v>
      </c>
      <c r="D172" s="7" t="s">
        <v>20</v>
      </c>
      <c r="E172" s="8" t="n">
        <v>46294</v>
      </c>
      <c r="F172" s="9" t="n">
        <v>0</v>
      </c>
      <c r="G172" s="9" t="n">
        <v>30669750</v>
      </c>
      <c r="H172" s="7" t="s">
        <v>40</v>
      </c>
    </row>
    <row r="173" customFormat="false" ht="15" hidden="true" customHeight="false" outlineLevel="1" collapsed="false">
      <c r="A173" s="7" t="s">
        <v>235</v>
      </c>
      <c r="B173" s="7" t="s">
        <v>236</v>
      </c>
      <c r="C173" s="7" t="s">
        <v>250</v>
      </c>
      <c r="D173" s="7" t="s">
        <v>20</v>
      </c>
      <c r="E173" s="8" t="n">
        <v>46295</v>
      </c>
      <c r="F173" s="9" t="n">
        <v>0</v>
      </c>
      <c r="G173" s="9" t="n">
        <v>10787879</v>
      </c>
      <c r="H173" s="7" t="s">
        <v>40</v>
      </c>
    </row>
    <row r="174" customFormat="false" ht="15" hidden="true" customHeight="false" outlineLevel="1" collapsed="false">
      <c r="A174" s="7" t="s">
        <v>235</v>
      </c>
      <c r="B174" s="7" t="s">
        <v>236</v>
      </c>
      <c r="C174" s="7" t="s">
        <v>251</v>
      </c>
      <c r="D174" s="7" t="s">
        <v>20</v>
      </c>
      <c r="E174" s="8" t="n">
        <v>46295</v>
      </c>
      <c r="F174" s="9" t="n">
        <v>0</v>
      </c>
      <c r="G174" s="9" t="n">
        <v>12754590</v>
      </c>
      <c r="H174" s="7" t="s">
        <v>40</v>
      </c>
    </row>
    <row r="175" customFormat="false" ht="15" hidden="false" customHeight="false" outlineLevel="0" collapsed="false">
      <c r="A175" s="5" t="s">
        <v>252</v>
      </c>
      <c r="B175" s="5" t="s">
        <v>253</v>
      </c>
      <c r="C175" s="5" t="s">
        <v>12</v>
      </c>
      <c r="D175" s="5" t="s">
        <v>13</v>
      </c>
      <c r="E175" s="5"/>
      <c r="F175" s="6" t="n">
        <f aca="false">SUMIFS(Base!$G:$G,Base!$A:$A,$A175)</f>
        <v>152439.28</v>
      </c>
      <c r="G175" s="6" t="n">
        <f aca="false">SUMIFS(Base!$I:$I,Base!$A:$A,$A175)</f>
        <v>954751.28</v>
      </c>
      <c r="H175" s="5"/>
    </row>
    <row r="176" customFormat="false" ht="15" hidden="true" customHeight="false" outlineLevel="1" collapsed="false">
      <c r="A176" s="7" t="s">
        <v>252</v>
      </c>
      <c r="B176" s="7" t="s">
        <v>253</v>
      </c>
      <c r="C176" s="7" t="s">
        <v>254</v>
      </c>
      <c r="D176" s="7" t="s">
        <v>20</v>
      </c>
      <c r="E176" s="8" t="n">
        <v>46289</v>
      </c>
      <c r="F176" s="9" t="n">
        <v>152439.28</v>
      </c>
      <c r="G176" s="9" t="n">
        <v>954751.28</v>
      </c>
      <c r="H176" s="7" t="s">
        <v>26</v>
      </c>
    </row>
    <row r="177" customFormat="false" ht="15" hidden="false" customHeight="false" outlineLevel="0" collapsed="false">
      <c r="A177" s="5" t="s">
        <v>255</v>
      </c>
      <c r="B177" s="5" t="s">
        <v>256</v>
      </c>
      <c r="C177" s="5" t="s">
        <v>12</v>
      </c>
      <c r="D177" s="5" t="s">
        <v>13</v>
      </c>
      <c r="E177" s="5"/>
      <c r="F177" s="6" t="n">
        <f aca="false">SUMIFS(Base!$G:$G,Base!$A:$A,$A177)</f>
        <v>1406000</v>
      </c>
      <c r="G177" s="6" t="n">
        <f aca="false">SUMIFS(Base!$I:$I,Base!$A:$A,$A177)</f>
        <v>8806000</v>
      </c>
      <c r="H177" s="5"/>
    </row>
    <row r="178" customFormat="false" ht="15" hidden="true" customHeight="false" outlineLevel="1" collapsed="false">
      <c r="A178" s="7" t="s">
        <v>255</v>
      </c>
      <c r="B178" s="7" t="s">
        <v>256</v>
      </c>
      <c r="C178" s="7" t="s">
        <v>257</v>
      </c>
      <c r="D178" s="7" t="s">
        <v>20</v>
      </c>
      <c r="E178" s="8" t="n">
        <v>46279</v>
      </c>
      <c r="F178" s="9" t="n">
        <v>1406000</v>
      </c>
      <c r="G178" s="9" t="n">
        <v>8806000</v>
      </c>
      <c r="H178" s="7" t="s">
        <v>40</v>
      </c>
    </row>
    <row r="179" customFormat="false" ht="15" hidden="false" customHeight="false" outlineLevel="0" collapsed="false">
      <c r="A179" s="5" t="s">
        <v>258</v>
      </c>
      <c r="B179" s="5" t="s">
        <v>259</v>
      </c>
      <c r="C179" s="5" t="s">
        <v>23</v>
      </c>
      <c r="D179" s="5" t="s">
        <v>13</v>
      </c>
      <c r="E179" s="5"/>
      <c r="F179" s="6" t="n">
        <f aca="false">SUMIFS(Base!$G:$G,Base!$A:$A,$A179)</f>
        <v>61747.63</v>
      </c>
      <c r="G179" s="6" t="n">
        <f aca="false">SUMIFS(Base!$I:$I,Base!$A:$A,$A179)</f>
        <v>367457.13</v>
      </c>
      <c r="H179" s="5"/>
    </row>
    <row r="180" customFormat="false" ht="15" hidden="true" customHeight="false" outlineLevel="1" collapsed="false">
      <c r="A180" s="7" t="s">
        <v>258</v>
      </c>
      <c r="B180" s="7" t="s">
        <v>259</v>
      </c>
      <c r="C180" s="7" t="s">
        <v>260</v>
      </c>
      <c r="D180" s="7" t="s">
        <v>20</v>
      </c>
      <c r="E180" s="8" t="n">
        <v>46283</v>
      </c>
      <c r="F180" s="9" t="n">
        <v>46512</v>
      </c>
      <c r="G180" s="9" t="n">
        <v>291312</v>
      </c>
      <c r="H180" s="7" t="s">
        <v>16</v>
      </c>
    </row>
    <row r="181" customFormat="false" ht="15" hidden="true" customHeight="false" outlineLevel="1" collapsed="false">
      <c r="A181" s="7" t="s">
        <v>258</v>
      </c>
      <c r="B181" s="7" t="s">
        <v>259</v>
      </c>
      <c r="C181" s="7" t="s">
        <v>261</v>
      </c>
      <c r="D181" s="7" t="s">
        <v>20</v>
      </c>
      <c r="E181" s="8" t="n">
        <v>46284</v>
      </c>
      <c r="F181" s="9" t="n">
        <v>10701.75</v>
      </c>
      <c r="G181" s="9" t="n">
        <v>67026.75</v>
      </c>
      <c r="H181" s="7" t="s">
        <v>26</v>
      </c>
    </row>
    <row r="182" customFormat="false" ht="15" hidden="true" customHeight="false" outlineLevel="1" collapsed="false">
      <c r="A182" s="7" t="s">
        <v>258</v>
      </c>
      <c r="B182" s="7" t="s">
        <v>259</v>
      </c>
      <c r="C182" s="7" t="s">
        <v>262</v>
      </c>
      <c r="D182" s="7" t="s">
        <v>31</v>
      </c>
      <c r="E182" s="8" t="n">
        <v>46284</v>
      </c>
      <c r="F182" s="9" t="n">
        <v>1539</v>
      </c>
      <c r="G182" s="9" t="n">
        <v>-9639</v>
      </c>
      <c r="H182" s="7" t="s">
        <v>16</v>
      </c>
    </row>
    <row r="183" customFormat="false" ht="15" hidden="true" customHeight="false" outlineLevel="1" collapsed="false">
      <c r="A183" s="7" t="s">
        <v>258</v>
      </c>
      <c r="B183" s="7" t="s">
        <v>259</v>
      </c>
      <c r="C183" s="7" t="s">
        <v>263</v>
      </c>
      <c r="D183" s="7" t="s">
        <v>20</v>
      </c>
      <c r="E183" s="8" t="n">
        <v>46284</v>
      </c>
      <c r="F183" s="9" t="n">
        <v>2700.38</v>
      </c>
      <c r="G183" s="9" t="n">
        <v>16912.88</v>
      </c>
      <c r="H183" s="7" t="s">
        <v>26</v>
      </c>
    </row>
    <row r="184" customFormat="false" ht="15" hidden="true" customHeight="false" outlineLevel="1" collapsed="false">
      <c r="A184" s="7" t="s">
        <v>258</v>
      </c>
      <c r="B184" s="7" t="s">
        <v>259</v>
      </c>
      <c r="C184" s="7" t="s">
        <v>264</v>
      </c>
      <c r="D184" s="7" t="s">
        <v>20</v>
      </c>
      <c r="E184" s="8" t="n">
        <v>46287</v>
      </c>
      <c r="F184" s="9" t="n">
        <v>294.5</v>
      </c>
      <c r="G184" s="9" t="n">
        <v>1844.5</v>
      </c>
      <c r="H184" s="7" t="s">
        <v>26</v>
      </c>
    </row>
    <row r="185" customFormat="false" ht="15" hidden="false" customHeight="false" outlineLevel="0" collapsed="false">
      <c r="A185" s="5" t="s">
        <v>265</v>
      </c>
      <c r="B185" s="5" t="s">
        <v>266</v>
      </c>
      <c r="C185" s="5" t="s">
        <v>99</v>
      </c>
      <c r="D185" s="5" t="s">
        <v>13</v>
      </c>
      <c r="E185" s="5"/>
      <c r="F185" s="6" t="n">
        <f aca="false">SUMIFS(Base!$G:$G,Base!$A:$A,$A185)</f>
        <v>0</v>
      </c>
      <c r="G185" s="6" t="n">
        <f aca="false">SUMIFS(Base!$I:$I,Base!$A:$A,$A185)</f>
        <v>73900</v>
      </c>
      <c r="H185" s="5"/>
    </row>
    <row r="186" customFormat="false" ht="15" hidden="true" customHeight="false" outlineLevel="1" collapsed="false">
      <c r="A186" s="7" t="s">
        <v>265</v>
      </c>
      <c r="B186" s="7" t="s">
        <v>266</v>
      </c>
      <c r="C186" s="7" t="s">
        <v>267</v>
      </c>
      <c r="D186" s="7" t="s">
        <v>20</v>
      </c>
      <c r="E186" s="8" t="n">
        <v>46291</v>
      </c>
      <c r="F186" s="9" t="n">
        <v>0</v>
      </c>
      <c r="G186" s="9" t="n">
        <v>67100</v>
      </c>
      <c r="H186" s="7" t="s">
        <v>16</v>
      </c>
    </row>
    <row r="187" customFormat="false" ht="15" hidden="true" customHeight="false" outlineLevel="1" collapsed="false">
      <c r="A187" s="7" t="s">
        <v>265</v>
      </c>
      <c r="B187" s="7" t="s">
        <v>266</v>
      </c>
      <c r="C187" s="7" t="s">
        <v>268</v>
      </c>
      <c r="D187" s="7" t="s">
        <v>20</v>
      </c>
      <c r="E187" s="8" t="n">
        <v>46291</v>
      </c>
      <c r="F187" s="9" t="n">
        <v>0</v>
      </c>
      <c r="G187" s="9" t="n">
        <v>6800</v>
      </c>
      <c r="H187" s="7" t="s">
        <v>16</v>
      </c>
    </row>
    <row r="188" customFormat="false" ht="15" hidden="false" customHeight="false" outlineLevel="0" collapsed="false">
      <c r="A188" s="5" t="s">
        <v>269</v>
      </c>
      <c r="B188" s="5" t="s">
        <v>270</v>
      </c>
      <c r="C188" s="5" t="s">
        <v>12</v>
      </c>
      <c r="D188" s="5" t="s">
        <v>13</v>
      </c>
      <c r="E188" s="5"/>
      <c r="F188" s="6" t="n">
        <f aca="false">SUMIFS(Base!$G:$G,Base!$A:$A,$A188)</f>
        <v>0</v>
      </c>
      <c r="G188" s="6" t="n">
        <f aca="false">SUMIFS(Base!$I:$I,Base!$A:$A,$A188)</f>
        <v>24000</v>
      </c>
      <c r="H188" s="5"/>
    </row>
    <row r="189" customFormat="false" ht="15" hidden="true" customHeight="false" outlineLevel="1" collapsed="false">
      <c r="A189" s="7" t="s">
        <v>269</v>
      </c>
      <c r="B189" s="7" t="s">
        <v>270</v>
      </c>
      <c r="C189" s="7" t="s">
        <v>271</v>
      </c>
      <c r="D189" s="7" t="s">
        <v>20</v>
      </c>
      <c r="E189" s="8" t="n">
        <v>46267</v>
      </c>
      <c r="F189" s="9" t="n">
        <v>0</v>
      </c>
      <c r="G189" s="9" t="n">
        <v>24000</v>
      </c>
      <c r="H189" s="7" t="s">
        <v>26</v>
      </c>
    </row>
    <row r="190" customFormat="false" ht="15" hidden="false" customHeight="false" outlineLevel="0" collapsed="false">
      <c r="A190" s="5" t="s">
        <v>272</v>
      </c>
      <c r="B190" s="5" t="s">
        <v>273</v>
      </c>
      <c r="C190" s="5" t="s">
        <v>274</v>
      </c>
      <c r="D190" s="5" t="s">
        <v>13</v>
      </c>
      <c r="E190" s="5"/>
      <c r="F190" s="6" t="n">
        <f aca="false">SUMIFS(Base!$G:$G,Base!$A:$A,$A190)</f>
        <v>255921.64</v>
      </c>
      <c r="G190" s="6" t="n">
        <f aca="false">SUMIFS(Base!$I:$I,Base!$A:$A,$A190)</f>
        <v>6140826</v>
      </c>
      <c r="H190" s="5"/>
    </row>
    <row r="191" customFormat="false" ht="15" hidden="true" customHeight="false" outlineLevel="1" collapsed="false">
      <c r="A191" s="7" t="s">
        <v>272</v>
      </c>
      <c r="B191" s="7" t="s">
        <v>273</v>
      </c>
      <c r="C191" s="7" t="s">
        <v>275</v>
      </c>
      <c r="D191" s="7" t="s">
        <v>20</v>
      </c>
      <c r="E191" s="8" t="n">
        <v>46273</v>
      </c>
      <c r="F191" s="9" t="n">
        <v>2616.49</v>
      </c>
      <c r="G191" s="9" t="n">
        <v>16387</v>
      </c>
      <c r="H191" s="7" t="s">
        <v>16</v>
      </c>
    </row>
    <row r="192" customFormat="false" ht="15" hidden="true" customHeight="false" outlineLevel="1" collapsed="false">
      <c r="A192" s="7" t="s">
        <v>272</v>
      </c>
      <c r="B192" s="7" t="s">
        <v>273</v>
      </c>
      <c r="C192" s="7" t="s">
        <v>276</v>
      </c>
      <c r="D192" s="7" t="s">
        <v>20</v>
      </c>
      <c r="E192" s="8" t="n">
        <v>46273</v>
      </c>
      <c r="F192" s="9" t="n">
        <v>30314.88</v>
      </c>
      <c r="G192" s="9" t="n">
        <v>189867</v>
      </c>
      <c r="H192" s="7" t="s">
        <v>16</v>
      </c>
    </row>
    <row r="193" customFormat="false" ht="15" hidden="true" customHeight="false" outlineLevel="1" collapsed="false">
      <c r="A193" s="7" t="s">
        <v>272</v>
      </c>
      <c r="B193" s="7" t="s">
        <v>273</v>
      </c>
      <c r="C193" s="7" t="s">
        <v>277</v>
      </c>
      <c r="D193" s="7" t="s">
        <v>20</v>
      </c>
      <c r="E193" s="8" t="n">
        <v>46273</v>
      </c>
      <c r="F193" s="9" t="n">
        <v>68400</v>
      </c>
      <c r="G193" s="9" t="n">
        <v>428400</v>
      </c>
      <c r="H193" s="7" t="s">
        <v>16</v>
      </c>
    </row>
    <row r="194" customFormat="false" ht="15" hidden="true" customHeight="false" outlineLevel="1" collapsed="false">
      <c r="A194" s="7" t="s">
        <v>272</v>
      </c>
      <c r="B194" s="7" t="s">
        <v>273</v>
      </c>
      <c r="C194" s="7" t="s">
        <v>278</v>
      </c>
      <c r="D194" s="7" t="s">
        <v>20</v>
      </c>
      <c r="E194" s="8" t="n">
        <v>46276</v>
      </c>
      <c r="F194" s="9" t="n">
        <v>154590.27</v>
      </c>
      <c r="G194" s="9" t="n">
        <v>968223</v>
      </c>
      <c r="H194" s="7" t="s">
        <v>16</v>
      </c>
    </row>
    <row r="195" customFormat="false" ht="15" hidden="true" customHeight="false" outlineLevel="1" collapsed="false">
      <c r="A195" s="7" t="s">
        <v>272</v>
      </c>
      <c r="B195" s="7" t="s">
        <v>273</v>
      </c>
      <c r="C195" s="7" t="s">
        <v>279</v>
      </c>
      <c r="D195" s="7" t="s">
        <v>280</v>
      </c>
      <c r="E195" s="8" t="n">
        <v>46279</v>
      </c>
      <c r="F195" s="9" t="n">
        <v>0</v>
      </c>
      <c r="G195" s="9" t="n">
        <v>621434</v>
      </c>
      <c r="H195" s="7" t="s">
        <v>16</v>
      </c>
    </row>
    <row r="196" customFormat="false" ht="15" hidden="true" customHeight="false" outlineLevel="1" collapsed="false">
      <c r="A196" s="7" t="s">
        <v>272</v>
      </c>
      <c r="B196" s="7" t="s">
        <v>273</v>
      </c>
      <c r="C196" s="7" t="s">
        <v>281</v>
      </c>
      <c r="D196" s="7" t="s">
        <v>280</v>
      </c>
      <c r="E196" s="8" t="n">
        <v>46279</v>
      </c>
      <c r="F196" s="9" t="n">
        <v>0</v>
      </c>
      <c r="G196" s="9" t="n">
        <v>3916515</v>
      </c>
      <c r="H196" s="7" t="s">
        <v>16</v>
      </c>
    </row>
    <row r="197" customFormat="false" ht="15" hidden="false" customHeight="false" outlineLevel="0" collapsed="false">
      <c r="A197" s="5" t="s">
        <v>282</v>
      </c>
      <c r="B197" s="5" t="s">
        <v>283</v>
      </c>
      <c r="C197" s="5" t="s">
        <v>12</v>
      </c>
      <c r="D197" s="5" t="s">
        <v>13</v>
      </c>
      <c r="E197" s="5"/>
      <c r="F197" s="6" t="n">
        <f aca="false">SUMIFS(Base!$G:$G,Base!$A:$A,$A197)</f>
        <v>0</v>
      </c>
      <c r="G197" s="6" t="n">
        <f aca="false">SUMIFS(Base!$I:$I,Base!$A:$A,$A197)</f>
        <v>10000.25</v>
      </c>
      <c r="H197" s="5"/>
    </row>
    <row r="198" customFormat="false" ht="15" hidden="true" customHeight="false" outlineLevel="1" collapsed="false">
      <c r="A198" s="7" t="s">
        <v>282</v>
      </c>
      <c r="B198" s="7" t="s">
        <v>283</v>
      </c>
      <c r="C198" s="7" t="s">
        <v>284</v>
      </c>
      <c r="D198" s="7" t="s">
        <v>20</v>
      </c>
      <c r="E198" s="8" t="n">
        <v>46279</v>
      </c>
      <c r="F198" s="9" t="n">
        <v>0</v>
      </c>
      <c r="G198" s="9" t="n">
        <v>10000.25</v>
      </c>
      <c r="H198" s="7" t="s">
        <v>26</v>
      </c>
    </row>
    <row r="199" customFormat="false" ht="15" hidden="false" customHeight="false" outlineLevel="0" collapsed="false">
      <c r="A199" s="5" t="s">
        <v>285</v>
      </c>
      <c r="B199" s="5" t="s">
        <v>286</v>
      </c>
      <c r="C199" s="5" t="s">
        <v>99</v>
      </c>
      <c r="D199" s="5" t="s">
        <v>13</v>
      </c>
      <c r="E199" s="5"/>
      <c r="F199" s="6" t="n">
        <f aca="false">SUMIFS(Base!$G:$G,Base!$A:$A,$A199)</f>
        <v>168798.64</v>
      </c>
      <c r="G199" s="6" t="n">
        <f aca="false">SUMIFS(Base!$I:$I,Base!$A:$A,$A199)</f>
        <v>1057212.51</v>
      </c>
      <c r="H199" s="5"/>
    </row>
    <row r="200" customFormat="false" ht="15" hidden="true" customHeight="false" outlineLevel="1" collapsed="false">
      <c r="A200" s="7" t="s">
        <v>285</v>
      </c>
      <c r="B200" s="7" t="s">
        <v>286</v>
      </c>
      <c r="C200" s="7" t="s">
        <v>287</v>
      </c>
      <c r="D200" s="7" t="s">
        <v>20</v>
      </c>
      <c r="E200" s="8" t="n">
        <v>46273</v>
      </c>
      <c r="F200" s="9" t="n">
        <v>5301.57</v>
      </c>
      <c r="G200" s="9" t="n">
        <v>33204.57</v>
      </c>
      <c r="H200" s="7" t="s">
        <v>26</v>
      </c>
    </row>
    <row r="201" customFormat="false" ht="15" hidden="true" customHeight="false" outlineLevel="1" collapsed="false">
      <c r="A201" s="7" t="s">
        <v>285</v>
      </c>
      <c r="B201" s="7" t="s">
        <v>286</v>
      </c>
      <c r="C201" s="7" t="s">
        <v>288</v>
      </c>
      <c r="D201" s="7" t="s">
        <v>20</v>
      </c>
      <c r="E201" s="8" t="n">
        <v>46273</v>
      </c>
      <c r="F201" s="9" t="n">
        <v>163497.07</v>
      </c>
      <c r="G201" s="9" t="n">
        <v>1024007.94</v>
      </c>
      <c r="H201" s="7" t="s">
        <v>26</v>
      </c>
    </row>
    <row r="202" customFormat="false" ht="15" hidden="false" customHeight="false" outlineLevel="0" collapsed="false">
      <c r="A202" s="5" t="s">
        <v>289</v>
      </c>
      <c r="B202" s="5" t="s">
        <v>290</v>
      </c>
      <c r="C202" s="5" t="s">
        <v>12</v>
      </c>
      <c r="D202" s="5" t="s">
        <v>13</v>
      </c>
      <c r="E202" s="5"/>
      <c r="F202" s="6" t="n">
        <f aca="false">SUMIFS(Base!$G:$G,Base!$A:$A,$A202)</f>
        <v>2936188.23</v>
      </c>
      <c r="G202" s="6" t="n">
        <f aca="false">SUMIFS(Base!$I:$I,Base!$A:$A,$A202)</f>
        <v>34145878.49</v>
      </c>
      <c r="H202" s="5"/>
    </row>
    <row r="203" customFormat="false" ht="15" hidden="true" customHeight="false" outlineLevel="1" collapsed="false">
      <c r="A203" s="7" t="s">
        <v>289</v>
      </c>
      <c r="B203" s="7" t="s">
        <v>290</v>
      </c>
      <c r="C203" s="7" t="s">
        <v>291</v>
      </c>
      <c r="D203" s="7" t="s">
        <v>20</v>
      </c>
      <c r="E203" s="8" t="n">
        <v>46289</v>
      </c>
      <c r="F203" s="9" t="n">
        <v>2936188.23</v>
      </c>
      <c r="G203" s="9" t="n">
        <v>34145878.49</v>
      </c>
      <c r="H203" s="7" t="s">
        <v>26</v>
      </c>
    </row>
    <row r="204" customFormat="false" ht="15" hidden="false" customHeight="false" outlineLevel="0" collapsed="false">
      <c r="A204" s="5" t="s">
        <v>292</v>
      </c>
      <c r="B204" s="5" t="s">
        <v>293</v>
      </c>
      <c r="C204" s="5" t="s">
        <v>12</v>
      </c>
      <c r="D204" s="5" t="s">
        <v>13</v>
      </c>
      <c r="E204" s="5"/>
      <c r="F204" s="6" t="n">
        <f aca="false">SUMIFS(Base!$G:$G,Base!$A:$A,$A204)</f>
        <v>285000</v>
      </c>
      <c r="G204" s="6" t="n">
        <f aca="false">SUMIFS(Base!$I:$I,Base!$A:$A,$A204)</f>
        <v>1785000</v>
      </c>
      <c r="H204" s="5"/>
    </row>
    <row r="205" customFormat="false" ht="15" hidden="true" customHeight="false" outlineLevel="1" collapsed="false">
      <c r="A205" s="7" t="s">
        <v>292</v>
      </c>
      <c r="B205" s="7" t="s">
        <v>293</v>
      </c>
      <c r="C205" s="7" t="s">
        <v>294</v>
      </c>
      <c r="D205" s="7" t="s">
        <v>20</v>
      </c>
      <c r="E205" s="8" t="n">
        <v>46266</v>
      </c>
      <c r="F205" s="9" t="n">
        <v>285000</v>
      </c>
      <c r="G205" s="9" t="n">
        <v>1785000</v>
      </c>
      <c r="H205" s="7" t="s">
        <v>16</v>
      </c>
    </row>
    <row r="206" customFormat="false" ht="15" hidden="false" customHeight="false" outlineLevel="0" collapsed="false">
      <c r="A206" s="5" t="s">
        <v>295</v>
      </c>
      <c r="B206" s="5" t="s">
        <v>296</v>
      </c>
      <c r="C206" s="5" t="s">
        <v>176</v>
      </c>
      <c r="D206" s="5" t="s">
        <v>13</v>
      </c>
      <c r="E206" s="5"/>
      <c r="F206" s="6" t="n">
        <f aca="false">SUMIFS(Base!$G:$G,Base!$A:$A,$A206)</f>
        <v>5700000</v>
      </c>
      <c r="G206" s="6" t="n">
        <f aca="false">SUMIFS(Base!$I:$I,Base!$A:$A,$A206)</f>
        <v>39700000</v>
      </c>
      <c r="H206" s="5"/>
    </row>
    <row r="207" customFormat="false" ht="15" hidden="true" customHeight="false" outlineLevel="1" collapsed="false">
      <c r="A207" s="7" t="s">
        <v>295</v>
      </c>
      <c r="B207" s="7" t="s">
        <v>296</v>
      </c>
      <c r="C207" s="7" t="s">
        <v>297</v>
      </c>
      <c r="D207" s="7" t="s">
        <v>20</v>
      </c>
      <c r="E207" s="8" t="n">
        <v>46290</v>
      </c>
      <c r="F207" s="9" t="n">
        <v>0</v>
      </c>
      <c r="G207" s="9" t="n">
        <v>1000000</v>
      </c>
      <c r="H207" s="7" t="s">
        <v>16</v>
      </c>
    </row>
    <row r="208" customFormat="false" ht="15" hidden="true" customHeight="false" outlineLevel="1" collapsed="false">
      <c r="A208" s="7" t="s">
        <v>295</v>
      </c>
      <c r="B208" s="7" t="s">
        <v>296</v>
      </c>
      <c r="C208" s="7" t="s">
        <v>298</v>
      </c>
      <c r="D208" s="7" t="s">
        <v>20</v>
      </c>
      <c r="E208" s="8" t="n">
        <v>46291</v>
      </c>
      <c r="F208" s="9" t="n">
        <v>0</v>
      </c>
      <c r="G208" s="9" t="n">
        <v>4000000</v>
      </c>
      <c r="H208" s="7" t="s">
        <v>16</v>
      </c>
    </row>
    <row r="209" customFormat="false" ht="15" hidden="true" customHeight="false" outlineLevel="1" collapsed="false">
      <c r="A209" s="7" t="s">
        <v>295</v>
      </c>
      <c r="B209" s="7" t="s">
        <v>296</v>
      </c>
      <c r="C209" s="7" t="s">
        <v>299</v>
      </c>
      <c r="D209" s="7" t="s">
        <v>20</v>
      </c>
      <c r="E209" s="8" t="n">
        <v>46291</v>
      </c>
      <c r="F209" s="9" t="n">
        <v>5700000</v>
      </c>
      <c r="G209" s="9" t="n">
        <v>35700000</v>
      </c>
      <c r="H209" s="7" t="s">
        <v>16</v>
      </c>
    </row>
    <row r="210" customFormat="false" ht="15" hidden="true" customHeight="false" outlineLevel="1" collapsed="false">
      <c r="A210" s="7" t="s">
        <v>295</v>
      </c>
      <c r="B210" s="7" t="s">
        <v>296</v>
      </c>
      <c r="C210" s="7" t="s">
        <v>300</v>
      </c>
      <c r="D210" s="7" t="s">
        <v>31</v>
      </c>
      <c r="E210" s="8" t="n">
        <v>46293</v>
      </c>
      <c r="F210" s="9" t="n">
        <v>0</v>
      </c>
      <c r="G210" s="9" t="n">
        <v>-1000000</v>
      </c>
      <c r="H210" s="7" t="s">
        <v>16</v>
      </c>
    </row>
    <row r="211" customFormat="false" ht="15" hidden="false" customHeight="false" outlineLevel="0" collapsed="false">
      <c r="A211" s="5" t="s">
        <v>301</v>
      </c>
      <c r="B211" s="5" t="s">
        <v>302</v>
      </c>
      <c r="C211" s="5" t="s">
        <v>12</v>
      </c>
      <c r="D211" s="5" t="s">
        <v>13</v>
      </c>
      <c r="E211" s="5"/>
      <c r="F211" s="6" t="n">
        <f aca="false">SUMIFS(Base!$G:$G,Base!$A:$A,$A211)</f>
        <v>0</v>
      </c>
      <c r="G211" s="6" t="n">
        <f aca="false">SUMIFS(Base!$I:$I,Base!$A:$A,$A211)</f>
        <v>4125334</v>
      </c>
      <c r="H211" s="5"/>
    </row>
    <row r="212" customFormat="false" ht="15" hidden="true" customHeight="false" outlineLevel="1" collapsed="false">
      <c r="A212" s="7" t="s">
        <v>301</v>
      </c>
      <c r="B212" s="7" t="s">
        <v>302</v>
      </c>
      <c r="C212" s="7" t="s">
        <v>303</v>
      </c>
      <c r="D212" s="7" t="s">
        <v>15</v>
      </c>
      <c r="E212" s="8" t="n">
        <v>46268</v>
      </c>
      <c r="F212" s="9" t="n">
        <v>0</v>
      </c>
      <c r="G212" s="9" t="n">
        <v>4125334</v>
      </c>
      <c r="H212" s="7" t="s">
        <v>16</v>
      </c>
    </row>
    <row r="213" customFormat="false" ht="15" hidden="false" customHeight="false" outlineLevel="0" collapsed="false">
      <c r="A213" s="5" t="s">
        <v>304</v>
      </c>
      <c r="B213" s="5" t="s">
        <v>305</v>
      </c>
      <c r="C213" s="5" t="s">
        <v>12</v>
      </c>
      <c r="D213" s="5" t="s">
        <v>13</v>
      </c>
      <c r="E213" s="5"/>
      <c r="F213" s="6" t="n">
        <f aca="false">SUMIFS(Base!$G:$G,Base!$A:$A,$A213)</f>
        <v>30400</v>
      </c>
      <c r="G213" s="6" t="n">
        <f aca="false">SUMIFS(Base!$I:$I,Base!$A:$A,$A213)</f>
        <v>190400</v>
      </c>
      <c r="H213" s="5"/>
    </row>
    <row r="214" customFormat="false" ht="15" hidden="true" customHeight="false" outlineLevel="1" collapsed="false">
      <c r="A214" s="7" t="s">
        <v>304</v>
      </c>
      <c r="B214" s="7" t="s">
        <v>305</v>
      </c>
      <c r="C214" s="7" t="s">
        <v>306</v>
      </c>
      <c r="D214" s="7" t="s">
        <v>20</v>
      </c>
      <c r="E214" s="8" t="n">
        <v>46266</v>
      </c>
      <c r="F214" s="9" t="n">
        <v>30400</v>
      </c>
      <c r="G214" s="9" t="n">
        <v>190400</v>
      </c>
      <c r="H214" s="7" t="s">
        <v>16</v>
      </c>
    </row>
    <row r="215" customFormat="false" ht="15" hidden="false" customHeight="false" outlineLevel="0" collapsed="false">
      <c r="A215" s="5" t="s">
        <v>307</v>
      </c>
      <c r="B215" s="5" t="s">
        <v>308</v>
      </c>
      <c r="C215" s="5" t="s">
        <v>23</v>
      </c>
      <c r="D215" s="5" t="s">
        <v>13</v>
      </c>
      <c r="E215" s="5"/>
      <c r="F215" s="6" t="n">
        <f aca="false">SUMIFS(Base!$G:$G,Base!$A:$A,$A215)</f>
        <v>847681.02</v>
      </c>
      <c r="G215" s="6" t="n">
        <f aca="false">SUMIFS(Base!$I:$I,Base!$A:$A,$A215)</f>
        <v>5339160</v>
      </c>
      <c r="H215" s="5"/>
    </row>
    <row r="216" customFormat="false" ht="15" hidden="true" customHeight="false" outlineLevel="1" collapsed="false">
      <c r="A216" s="7" t="s">
        <v>307</v>
      </c>
      <c r="B216" s="7" t="s">
        <v>308</v>
      </c>
      <c r="C216" s="7" t="s">
        <v>309</v>
      </c>
      <c r="D216" s="7" t="s">
        <v>20</v>
      </c>
      <c r="E216" s="8" t="n">
        <v>46276</v>
      </c>
      <c r="F216" s="9" t="n">
        <v>33529.42</v>
      </c>
      <c r="G216" s="9" t="n">
        <v>210000</v>
      </c>
      <c r="H216" s="7" t="s">
        <v>26</v>
      </c>
    </row>
    <row r="217" customFormat="false" ht="15" hidden="true" customHeight="false" outlineLevel="1" collapsed="false">
      <c r="A217" s="7" t="s">
        <v>307</v>
      </c>
      <c r="B217" s="7" t="s">
        <v>308</v>
      </c>
      <c r="C217" s="7" t="s">
        <v>310</v>
      </c>
      <c r="D217" s="7" t="s">
        <v>20</v>
      </c>
      <c r="E217" s="8" t="n">
        <v>46276</v>
      </c>
      <c r="F217" s="9" t="n">
        <v>20756.3</v>
      </c>
      <c r="G217" s="9" t="n">
        <v>160000</v>
      </c>
      <c r="H217" s="7" t="s">
        <v>26</v>
      </c>
    </row>
    <row r="218" customFormat="false" ht="15" hidden="true" customHeight="false" outlineLevel="1" collapsed="false">
      <c r="A218" s="7" t="s">
        <v>307</v>
      </c>
      <c r="B218" s="7" t="s">
        <v>308</v>
      </c>
      <c r="C218" s="7" t="s">
        <v>311</v>
      </c>
      <c r="D218" s="7" t="s">
        <v>20</v>
      </c>
      <c r="E218" s="8" t="n">
        <v>46284</v>
      </c>
      <c r="F218" s="9" t="n">
        <v>297160</v>
      </c>
      <c r="G218" s="9" t="n">
        <v>1861160</v>
      </c>
      <c r="H218" s="7" t="s">
        <v>26</v>
      </c>
    </row>
    <row r="219" customFormat="false" ht="15" hidden="true" customHeight="false" outlineLevel="1" collapsed="false">
      <c r="A219" s="7" t="s">
        <v>307</v>
      </c>
      <c r="B219" s="7" t="s">
        <v>308</v>
      </c>
      <c r="C219" s="7" t="s">
        <v>312</v>
      </c>
      <c r="D219" s="7" t="s">
        <v>20</v>
      </c>
      <c r="E219" s="8" t="n">
        <v>46286</v>
      </c>
      <c r="F219" s="9" t="n">
        <v>476436.98</v>
      </c>
      <c r="G219" s="9" t="n">
        <v>2984000</v>
      </c>
      <c r="H219" s="7" t="s">
        <v>16</v>
      </c>
    </row>
    <row r="220" customFormat="false" ht="15" hidden="true" customHeight="false" outlineLevel="1" collapsed="false">
      <c r="A220" s="7" t="s">
        <v>307</v>
      </c>
      <c r="B220" s="7" t="s">
        <v>308</v>
      </c>
      <c r="C220" s="7" t="s">
        <v>313</v>
      </c>
      <c r="D220" s="7" t="s">
        <v>20</v>
      </c>
      <c r="E220" s="8" t="n">
        <v>46286</v>
      </c>
      <c r="F220" s="9" t="n">
        <v>19798.32</v>
      </c>
      <c r="G220" s="9" t="n">
        <v>124000</v>
      </c>
      <c r="H220" s="7" t="s">
        <v>26</v>
      </c>
    </row>
    <row r="221" customFormat="false" ht="15" hidden="false" customHeight="false" outlineLevel="0" collapsed="false">
      <c r="A221" s="5" t="s">
        <v>314</v>
      </c>
      <c r="B221" s="5" t="s">
        <v>315</v>
      </c>
      <c r="C221" s="5" t="s">
        <v>12</v>
      </c>
      <c r="D221" s="5" t="s">
        <v>13</v>
      </c>
      <c r="E221" s="5"/>
      <c r="F221" s="6" t="n">
        <f aca="false">SUMIFS(Base!$G:$G,Base!$A:$A,$A221)</f>
        <v>0</v>
      </c>
      <c r="G221" s="6" t="n">
        <f aca="false">SUMIFS(Base!$I:$I,Base!$A:$A,$A221)</f>
        <v>13000</v>
      </c>
      <c r="H221" s="5"/>
    </row>
    <row r="222" customFormat="false" ht="15" hidden="true" customHeight="false" outlineLevel="1" collapsed="false">
      <c r="A222" s="7" t="s">
        <v>314</v>
      </c>
      <c r="B222" s="7" t="s">
        <v>315</v>
      </c>
      <c r="C222" s="7" t="s">
        <v>316</v>
      </c>
      <c r="D222" s="7" t="s">
        <v>20</v>
      </c>
      <c r="E222" s="8" t="n">
        <v>46276</v>
      </c>
      <c r="F222" s="9" t="n">
        <v>0</v>
      </c>
      <c r="G222" s="9" t="n">
        <v>13000</v>
      </c>
      <c r="H222" s="7" t="s">
        <v>26</v>
      </c>
    </row>
    <row r="223" customFormat="false" ht="15" hidden="false" customHeight="false" outlineLevel="0" collapsed="false">
      <c r="A223" s="5" t="s">
        <v>317</v>
      </c>
      <c r="B223" s="5" t="s">
        <v>318</v>
      </c>
      <c r="C223" s="5" t="s">
        <v>12</v>
      </c>
      <c r="D223" s="5" t="s">
        <v>13</v>
      </c>
      <c r="E223" s="5"/>
      <c r="F223" s="6" t="n">
        <f aca="false">SUMIFS(Base!$G:$G,Base!$A:$A,$A223)</f>
        <v>878.15</v>
      </c>
      <c r="G223" s="6" t="n">
        <f aca="false">SUMIFS(Base!$I:$I,Base!$A:$A,$A223)</f>
        <v>5500</v>
      </c>
      <c r="H223" s="5"/>
    </row>
    <row r="224" customFormat="false" ht="15" hidden="true" customHeight="false" outlineLevel="1" collapsed="false">
      <c r="A224" s="7" t="s">
        <v>317</v>
      </c>
      <c r="B224" s="7" t="s">
        <v>318</v>
      </c>
      <c r="C224" s="7" t="s">
        <v>319</v>
      </c>
      <c r="D224" s="7" t="s">
        <v>20</v>
      </c>
      <c r="E224" s="8" t="n">
        <v>46279</v>
      </c>
      <c r="F224" s="9" t="n">
        <v>878.15</v>
      </c>
      <c r="G224" s="9" t="n">
        <v>5500</v>
      </c>
      <c r="H224" s="7" t="s">
        <v>16</v>
      </c>
    </row>
    <row r="225" customFormat="false" ht="15" hidden="false" customHeight="false" outlineLevel="0" collapsed="false">
      <c r="A225" s="5" t="s">
        <v>320</v>
      </c>
      <c r="B225" s="5" t="s">
        <v>321</v>
      </c>
      <c r="C225" s="5" t="s">
        <v>12</v>
      </c>
      <c r="D225" s="5" t="s">
        <v>13</v>
      </c>
      <c r="E225" s="5"/>
      <c r="F225" s="6" t="n">
        <f aca="false">SUMIFS(Base!$G:$G,Base!$A:$A,$A225)</f>
        <v>10010.93</v>
      </c>
      <c r="G225" s="6" t="n">
        <f aca="false">SUMIFS(Base!$I:$I,Base!$A:$A,$A225)</f>
        <v>62700</v>
      </c>
      <c r="H225" s="5"/>
    </row>
    <row r="226" customFormat="false" ht="15" hidden="true" customHeight="false" outlineLevel="1" collapsed="false">
      <c r="A226" s="7" t="s">
        <v>320</v>
      </c>
      <c r="B226" s="7" t="s">
        <v>321</v>
      </c>
      <c r="C226" s="7" t="s">
        <v>322</v>
      </c>
      <c r="D226" s="7" t="s">
        <v>20</v>
      </c>
      <c r="E226" s="8" t="n">
        <v>46286</v>
      </c>
      <c r="F226" s="9" t="n">
        <v>10010.93</v>
      </c>
      <c r="G226" s="9" t="n">
        <v>62700</v>
      </c>
      <c r="H226" s="7" t="s">
        <v>16</v>
      </c>
    </row>
    <row r="227" customFormat="false" ht="15" hidden="false" customHeight="false" outlineLevel="0" collapsed="false">
      <c r="A227" s="5" t="s">
        <v>323</v>
      </c>
      <c r="B227" s="5" t="s">
        <v>324</v>
      </c>
      <c r="C227" s="5" t="s">
        <v>37</v>
      </c>
      <c r="D227" s="5" t="s">
        <v>13</v>
      </c>
      <c r="E227" s="5"/>
      <c r="F227" s="6" t="n">
        <f aca="false">SUMIFS(Base!$G:$G,Base!$A:$A,$A227)</f>
        <v>50038.66</v>
      </c>
      <c r="G227" s="6" t="n">
        <f aca="false">SUMIFS(Base!$I:$I,Base!$A:$A,$A227)</f>
        <v>319400</v>
      </c>
      <c r="H227" s="5"/>
    </row>
    <row r="228" customFormat="false" ht="15" hidden="true" customHeight="false" outlineLevel="1" collapsed="false">
      <c r="A228" s="7" t="s">
        <v>323</v>
      </c>
      <c r="B228" s="7" t="s">
        <v>324</v>
      </c>
      <c r="C228" s="7" t="s">
        <v>325</v>
      </c>
      <c r="D228" s="7" t="s">
        <v>20</v>
      </c>
      <c r="E228" s="8" t="n">
        <v>46267</v>
      </c>
      <c r="F228" s="9" t="n">
        <v>38287.4</v>
      </c>
      <c r="G228" s="9" t="n">
        <v>245800</v>
      </c>
      <c r="H228" s="7" t="s">
        <v>16</v>
      </c>
    </row>
    <row r="229" customFormat="false" ht="15" hidden="true" customHeight="false" outlineLevel="1" collapsed="false">
      <c r="A229" s="7" t="s">
        <v>323</v>
      </c>
      <c r="B229" s="7" t="s">
        <v>324</v>
      </c>
      <c r="C229" s="7" t="s">
        <v>326</v>
      </c>
      <c r="D229" s="7" t="s">
        <v>20</v>
      </c>
      <c r="E229" s="8" t="n">
        <v>46276</v>
      </c>
      <c r="F229" s="9" t="n">
        <v>8302.52</v>
      </c>
      <c r="G229" s="9" t="n">
        <v>52000</v>
      </c>
      <c r="H229" s="7" t="s">
        <v>26</v>
      </c>
    </row>
    <row r="230" customFormat="false" ht="15" hidden="true" customHeight="false" outlineLevel="1" collapsed="false">
      <c r="A230" s="7" t="s">
        <v>323</v>
      </c>
      <c r="B230" s="7" t="s">
        <v>324</v>
      </c>
      <c r="C230" s="7" t="s">
        <v>327</v>
      </c>
      <c r="D230" s="7" t="s">
        <v>20</v>
      </c>
      <c r="E230" s="8" t="n">
        <v>46293</v>
      </c>
      <c r="F230" s="9" t="n">
        <v>3448.74</v>
      </c>
      <c r="G230" s="9" t="n">
        <v>21600</v>
      </c>
      <c r="H230" s="7" t="s">
        <v>16</v>
      </c>
    </row>
    <row r="231" customFormat="false" ht="15" hidden="false" customHeight="false" outlineLevel="0" collapsed="false">
      <c r="A231" s="5" t="s">
        <v>328</v>
      </c>
      <c r="B231" s="5" t="s">
        <v>329</v>
      </c>
      <c r="C231" s="5" t="s">
        <v>12</v>
      </c>
      <c r="D231" s="5" t="s">
        <v>13</v>
      </c>
      <c r="E231" s="5"/>
      <c r="F231" s="6" t="n">
        <f aca="false">SUMIFS(Base!$G:$G,Base!$A:$A,$A231)</f>
        <v>0</v>
      </c>
      <c r="G231" s="6" t="n">
        <f aca="false">SUMIFS(Base!$I:$I,Base!$A:$A,$A231)</f>
        <v>2000000</v>
      </c>
      <c r="H231" s="5"/>
    </row>
    <row r="232" customFormat="false" ht="15" hidden="true" customHeight="false" outlineLevel="1" collapsed="false">
      <c r="A232" s="7" t="s">
        <v>328</v>
      </c>
      <c r="B232" s="7" t="s">
        <v>329</v>
      </c>
      <c r="C232" s="7" t="s">
        <v>330</v>
      </c>
      <c r="D232" s="7" t="s">
        <v>20</v>
      </c>
      <c r="E232" s="8" t="n">
        <v>46287</v>
      </c>
      <c r="F232" s="9" t="n">
        <v>0</v>
      </c>
      <c r="G232" s="9" t="n">
        <v>2000000</v>
      </c>
      <c r="H232" s="7" t="s">
        <v>40</v>
      </c>
    </row>
    <row r="233" customFormat="false" ht="15" hidden="false" customHeight="false" outlineLevel="0" collapsed="false">
      <c r="A233" s="5" t="s">
        <v>331</v>
      </c>
      <c r="B233" s="5" t="s">
        <v>332</v>
      </c>
      <c r="C233" s="5" t="s">
        <v>12</v>
      </c>
      <c r="D233" s="5" t="s">
        <v>13</v>
      </c>
      <c r="E233" s="5"/>
      <c r="F233" s="6" t="n">
        <f aca="false">SUMIFS(Base!$G:$G,Base!$A:$A,$A233)</f>
        <v>0</v>
      </c>
      <c r="G233" s="6" t="n">
        <f aca="false">SUMIFS(Base!$I:$I,Base!$A:$A,$A233)</f>
        <v>2143667</v>
      </c>
      <c r="H233" s="5"/>
    </row>
    <row r="234" customFormat="false" ht="15" hidden="true" customHeight="false" outlineLevel="1" collapsed="false">
      <c r="A234" s="7" t="s">
        <v>331</v>
      </c>
      <c r="B234" s="7" t="s">
        <v>332</v>
      </c>
      <c r="C234" s="7" t="s">
        <v>333</v>
      </c>
      <c r="D234" s="7" t="s">
        <v>15</v>
      </c>
      <c r="E234" s="8" t="n">
        <v>46293</v>
      </c>
      <c r="F234" s="9" t="n">
        <v>0</v>
      </c>
      <c r="G234" s="9" t="n">
        <v>2143667</v>
      </c>
      <c r="H234" s="7" t="s">
        <v>16</v>
      </c>
    </row>
    <row r="235" customFormat="false" ht="15" hidden="false" customHeight="false" outlineLevel="0" collapsed="false">
      <c r="A235" s="5" t="s">
        <v>334</v>
      </c>
      <c r="B235" s="5" t="s">
        <v>335</v>
      </c>
      <c r="C235" s="5" t="s">
        <v>37</v>
      </c>
      <c r="D235" s="5" t="s">
        <v>13</v>
      </c>
      <c r="E235" s="5"/>
      <c r="F235" s="6" t="n">
        <f aca="false">SUMIFS(Base!$G:$G,Base!$A:$A,$A235)</f>
        <v>3065546.28</v>
      </c>
      <c r="G235" s="6" t="n">
        <f aca="false">SUMIFS(Base!$I:$I,Base!$A:$A,$A235)</f>
        <v>6400000</v>
      </c>
      <c r="H235" s="5"/>
    </row>
    <row r="236" customFormat="false" ht="15" hidden="true" customHeight="false" outlineLevel="1" collapsed="false">
      <c r="A236" s="7" t="s">
        <v>334</v>
      </c>
      <c r="B236" s="7" t="s">
        <v>335</v>
      </c>
      <c r="C236" s="7" t="s">
        <v>336</v>
      </c>
      <c r="D236" s="7" t="s">
        <v>20</v>
      </c>
      <c r="E236" s="8" t="n">
        <v>46272</v>
      </c>
      <c r="F236" s="9" t="n">
        <v>1021848.76</v>
      </c>
      <c r="G236" s="9" t="n">
        <v>6400000</v>
      </c>
      <c r="H236" s="7" t="s">
        <v>16</v>
      </c>
    </row>
    <row r="237" customFormat="false" ht="15" hidden="true" customHeight="false" outlineLevel="1" collapsed="false">
      <c r="A237" s="7" t="s">
        <v>334</v>
      </c>
      <c r="B237" s="7" t="s">
        <v>335</v>
      </c>
      <c r="C237" s="7" t="s">
        <v>337</v>
      </c>
      <c r="D237" s="7" t="s">
        <v>31</v>
      </c>
      <c r="E237" s="8" t="n">
        <v>46272</v>
      </c>
      <c r="F237" s="9" t="n">
        <v>1021848.76</v>
      </c>
      <c r="G237" s="9" t="n">
        <v>-6400000</v>
      </c>
      <c r="H237" s="7" t="s">
        <v>16</v>
      </c>
    </row>
    <row r="238" customFormat="false" ht="15" hidden="true" customHeight="false" outlineLevel="1" collapsed="false">
      <c r="A238" s="7" t="s">
        <v>334</v>
      </c>
      <c r="B238" s="7" t="s">
        <v>335</v>
      </c>
      <c r="C238" s="7" t="s">
        <v>338</v>
      </c>
      <c r="D238" s="7" t="s">
        <v>20</v>
      </c>
      <c r="E238" s="8" t="n">
        <v>46272</v>
      </c>
      <c r="F238" s="9" t="n">
        <v>1021848.76</v>
      </c>
      <c r="G238" s="9" t="n">
        <v>6400000</v>
      </c>
      <c r="H238" s="7" t="s">
        <v>16</v>
      </c>
    </row>
    <row r="239" customFormat="false" ht="15" hidden="false" customHeight="false" outlineLevel="0" collapsed="false">
      <c r="A239" s="5" t="s">
        <v>339</v>
      </c>
      <c r="B239" s="5" t="s">
        <v>340</v>
      </c>
      <c r="C239" s="5" t="s">
        <v>12</v>
      </c>
      <c r="D239" s="5" t="s">
        <v>13</v>
      </c>
      <c r="E239" s="5"/>
      <c r="F239" s="6" t="n">
        <f aca="false">SUMIFS(Base!$G:$G,Base!$A:$A,$A239)</f>
        <v>3448.74</v>
      </c>
      <c r="G239" s="6" t="n">
        <f aca="false">SUMIFS(Base!$I:$I,Base!$A:$A,$A239)</f>
        <v>32300</v>
      </c>
      <c r="H239" s="5"/>
    </row>
    <row r="240" customFormat="false" ht="15" hidden="true" customHeight="false" outlineLevel="1" collapsed="false">
      <c r="A240" s="7" t="s">
        <v>339</v>
      </c>
      <c r="B240" s="7" t="s">
        <v>340</v>
      </c>
      <c r="C240" s="7" t="s">
        <v>341</v>
      </c>
      <c r="D240" s="7" t="s">
        <v>20</v>
      </c>
      <c r="E240" s="8" t="n">
        <v>46281</v>
      </c>
      <c r="F240" s="9" t="n">
        <v>3448.74</v>
      </c>
      <c r="G240" s="9" t="n">
        <v>32300</v>
      </c>
      <c r="H240" s="7" t="s">
        <v>16</v>
      </c>
    </row>
    <row r="241" customFormat="false" ht="15" hidden="false" customHeight="false" outlineLevel="0" collapsed="false">
      <c r="A241" s="5" t="s">
        <v>342</v>
      </c>
      <c r="B241" s="5" t="s">
        <v>343</v>
      </c>
      <c r="C241" s="5" t="s">
        <v>12</v>
      </c>
      <c r="D241" s="5" t="s">
        <v>13</v>
      </c>
      <c r="E241" s="5"/>
      <c r="F241" s="6" t="n">
        <f aca="false">SUMIFS(Base!$G:$G,Base!$A:$A,$A241)</f>
        <v>645387.06</v>
      </c>
      <c r="G241" s="6" t="n">
        <f aca="false">SUMIFS(Base!$I:$I,Base!$A:$A,$A241)</f>
        <v>4042161.06</v>
      </c>
      <c r="H241" s="5"/>
    </row>
    <row r="242" customFormat="false" ht="15" hidden="true" customHeight="false" outlineLevel="1" collapsed="false">
      <c r="A242" s="7" t="s">
        <v>342</v>
      </c>
      <c r="B242" s="7" t="s">
        <v>343</v>
      </c>
      <c r="C242" s="7" t="s">
        <v>344</v>
      </c>
      <c r="D242" s="7" t="s">
        <v>20</v>
      </c>
      <c r="E242" s="8" t="n">
        <v>46267</v>
      </c>
      <c r="F242" s="9" t="n">
        <v>645387.06</v>
      </c>
      <c r="G242" s="9" t="n">
        <v>4042161.06</v>
      </c>
      <c r="H242" s="7" t="s">
        <v>26</v>
      </c>
    </row>
    <row r="243" customFormat="false" ht="15" hidden="false" customHeight="false" outlineLevel="0" collapsed="false">
      <c r="A243" s="5" t="s">
        <v>345</v>
      </c>
      <c r="B243" s="5" t="s">
        <v>346</v>
      </c>
      <c r="C243" s="5" t="s">
        <v>12</v>
      </c>
      <c r="D243" s="5" t="s">
        <v>13</v>
      </c>
      <c r="E243" s="5"/>
      <c r="F243" s="6" t="n">
        <f aca="false">SUMIFS(Base!$G:$G,Base!$A:$A,$A243)</f>
        <v>266000</v>
      </c>
      <c r="G243" s="6" t="n">
        <f aca="false">SUMIFS(Base!$I:$I,Base!$A:$A,$A243)</f>
        <v>1666000</v>
      </c>
      <c r="H243" s="5"/>
    </row>
    <row r="244" customFormat="false" ht="15" hidden="true" customHeight="false" outlineLevel="1" collapsed="false">
      <c r="A244" s="7" t="s">
        <v>345</v>
      </c>
      <c r="B244" s="7" t="s">
        <v>346</v>
      </c>
      <c r="C244" s="7" t="s">
        <v>347</v>
      </c>
      <c r="D244" s="7" t="s">
        <v>20</v>
      </c>
      <c r="E244" s="8" t="n">
        <v>46273</v>
      </c>
      <c r="F244" s="9" t="n">
        <v>266000</v>
      </c>
      <c r="G244" s="9" t="n">
        <v>1666000</v>
      </c>
      <c r="H244" s="7" t="s">
        <v>16</v>
      </c>
    </row>
    <row r="245" customFormat="false" ht="15" hidden="false" customHeight="false" outlineLevel="0" collapsed="false">
      <c r="A245" s="5" t="s">
        <v>348</v>
      </c>
      <c r="B245" s="5" t="s">
        <v>349</v>
      </c>
      <c r="C245" s="5" t="s">
        <v>12</v>
      </c>
      <c r="D245" s="5" t="s">
        <v>13</v>
      </c>
      <c r="E245" s="5"/>
      <c r="F245" s="6" t="n">
        <f aca="false">SUMIFS(Base!$G:$G,Base!$A:$A,$A245)</f>
        <v>0</v>
      </c>
      <c r="G245" s="6" t="n">
        <f aca="false">SUMIFS(Base!$I:$I,Base!$A:$A,$A245)</f>
        <v>850000</v>
      </c>
      <c r="H245" s="5"/>
    </row>
    <row r="246" customFormat="false" ht="15" hidden="true" customHeight="false" outlineLevel="1" collapsed="false">
      <c r="A246" s="7" t="s">
        <v>348</v>
      </c>
      <c r="B246" s="7" t="s">
        <v>349</v>
      </c>
      <c r="C246" s="7" t="s">
        <v>350</v>
      </c>
      <c r="D246" s="7" t="s">
        <v>15</v>
      </c>
      <c r="E246" s="8" t="n">
        <v>46294</v>
      </c>
      <c r="F246" s="9" t="n">
        <v>0</v>
      </c>
      <c r="G246" s="9" t="n">
        <v>850000</v>
      </c>
      <c r="H246" s="7" t="s">
        <v>16</v>
      </c>
    </row>
    <row r="247" customFormat="false" ht="15" hidden="false" customHeight="false" outlineLevel="0" collapsed="false">
      <c r="A247" s="5" t="s">
        <v>351</v>
      </c>
      <c r="B247" s="5" t="s">
        <v>352</v>
      </c>
      <c r="C247" s="5" t="s">
        <v>274</v>
      </c>
      <c r="D247" s="5" t="s">
        <v>13</v>
      </c>
      <c r="E247" s="5"/>
      <c r="F247" s="6" t="n">
        <f aca="false">SUMIFS(Base!$G:$G,Base!$A:$A,$A247)</f>
        <v>646056</v>
      </c>
      <c r="G247" s="6" t="n">
        <f aca="false">SUMIFS(Base!$I:$I,Base!$A:$A,$A247)</f>
        <v>3530687</v>
      </c>
      <c r="H247" s="5"/>
    </row>
    <row r="248" customFormat="false" ht="15" hidden="true" customHeight="false" outlineLevel="1" collapsed="false">
      <c r="A248" s="7" t="s">
        <v>351</v>
      </c>
      <c r="B248" s="7" t="s">
        <v>352</v>
      </c>
      <c r="C248" s="7" t="s">
        <v>353</v>
      </c>
      <c r="D248" s="7" t="s">
        <v>20</v>
      </c>
      <c r="E248" s="8" t="n">
        <v>46270</v>
      </c>
      <c r="F248" s="9" t="n">
        <v>22166</v>
      </c>
      <c r="G248" s="9" t="n">
        <v>138833</v>
      </c>
      <c r="H248" s="7" t="s">
        <v>26</v>
      </c>
    </row>
    <row r="249" customFormat="false" ht="15" hidden="true" customHeight="false" outlineLevel="1" collapsed="false">
      <c r="A249" s="7" t="s">
        <v>351</v>
      </c>
      <c r="B249" s="7" t="s">
        <v>352</v>
      </c>
      <c r="C249" s="7" t="s">
        <v>354</v>
      </c>
      <c r="D249" s="7" t="s">
        <v>20</v>
      </c>
      <c r="E249" s="8" t="n">
        <v>46270</v>
      </c>
      <c r="F249" s="9" t="n">
        <v>523138</v>
      </c>
      <c r="G249" s="9" t="n">
        <v>3276502</v>
      </c>
      <c r="H249" s="7" t="s">
        <v>26</v>
      </c>
    </row>
    <row r="250" customFormat="false" ht="15" hidden="true" customHeight="false" outlineLevel="1" collapsed="false">
      <c r="A250" s="7" t="s">
        <v>351</v>
      </c>
      <c r="B250" s="7" t="s">
        <v>352</v>
      </c>
      <c r="C250" s="7" t="s">
        <v>355</v>
      </c>
      <c r="D250" s="7" t="s">
        <v>31</v>
      </c>
      <c r="E250" s="8" t="n">
        <v>46281</v>
      </c>
      <c r="F250" s="9" t="n">
        <v>20584</v>
      </c>
      <c r="G250" s="9" t="n">
        <v>-128919</v>
      </c>
      <c r="H250" s="7" t="s">
        <v>16</v>
      </c>
    </row>
    <row r="251" customFormat="false" ht="15" hidden="true" customHeight="false" outlineLevel="1" collapsed="false">
      <c r="A251" s="7" t="s">
        <v>351</v>
      </c>
      <c r="B251" s="7" t="s">
        <v>352</v>
      </c>
      <c r="C251" s="7" t="s">
        <v>356</v>
      </c>
      <c r="D251" s="7" t="s">
        <v>31</v>
      </c>
      <c r="E251" s="8" t="n">
        <v>46281</v>
      </c>
      <c r="F251" s="9" t="n">
        <v>20584</v>
      </c>
      <c r="G251" s="9" t="n">
        <v>-128919</v>
      </c>
      <c r="H251" s="7" t="s">
        <v>16</v>
      </c>
    </row>
    <row r="252" customFormat="false" ht="15" hidden="true" customHeight="false" outlineLevel="1" collapsed="false">
      <c r="A252" s="7" t="s">
        <v>351</v>
      </c>
      <c r="B252" s="7" t="s">
        <v>352</v>
      </c>
      <c r="C252" s="7" t="s">
        <v>357</v>
      </c>
      <c r="D252" s="7" t="s">
        <v>20</v>
      </c>
      <c r="E252" s="8" t="n">
        <v>46286</v>
      </c>
      <c r="F252" s="9" t="n">
        <v>41168</v>
      </c>
      <c r="G252" s="9" t="n">
        <v>257838</v>
      </c>
      <c r="H252" s="7" t="s">
        <v>26</v>
      </c>
    </row>
    <row r="253" customFormat="false" ht="15" hidden="true" customHeight="false" outlineLevel="1" collapsed="false">
      <c r="A253" s="7" t="s">
        <v>351</v>
      </c>
      <c r="B253" s="7" t="s">
        <v>352</v>
      </c>
      <c r="C253" s="7" t="s">
        <v>358</v>
      </c>
      <c r="D253" s="7" t="s">
        <v>20</v>
      </c>
      <c r="E253" s="8" t="n">
        <v>46293</v>
      </c>
      <c r="F253" s="9" t="n">
        <v>18416</v>
      </c>
      <c r="G253" s="9" t="n">
        <v>115352</v>
      </c>
      <c r="H253" s="7" t="s">
        <v>26</v>
      </c>
    </row>
    <row r="254" customFormat="false" ht="15" hidden="false" customHeight="false" outlineLevel="0" collapsed="false">
      <c r="A254" s="5" t="s">
        <v>359</v>
      </c>
      <c r="B254" s="5" t="s">
        <v>360</v>
      </c>
      <c r="C254" s="5" t="s">
        <v>99</v>
      </c>
      <c r="D254" s="5" t="s">
        <v>13</v>
      </c>
      <c r="E254" s="5"/>
      <c r="F254" s="6" t="n">
        <f aca="false">SUMIFS(Base!$G:$G,Base!$A:$A,$A254)</f>
        <v>231610</v>
      </c>
      <c r="G254" s="6" t="n">
        <f aca="false">SUMIFS(Base!$I:$I,Base!$A:$A,$A254)</f>
        <v>1675684</v>
      </c>
      <c r="H254" s="5"/>
    </row>
    <row r="255" customFormat="false" ht="15" hidden="true" customHeight="false" outlineLevel="1" collapsed="false">
      <c r="A255" s="7" t="s">
        <v>359</v>
      </c>
      <c r="B255" s="7" t="s">
        <v>360</v>
      </c>
      <c r="C255" s="7" t="s">
        <v>361</v>
      </c>
      <c r="D255" s="7" t="s">
        <v>20</v>
      </c>
      <c r="E255" s="8" t="n">
        <v>46283</v>
      </c>
      <c r="F255" s="9" t="n">
        <v>86830</v>
      </c>
      <c r="G255" s="9" t="n">
        <v>543830</v>
      </c>
      <c r="H255" s="7" t="s">
        <v>26</v>
      </c>
    </row>
    <row r="256" customFormat="false" ht="15" hidden="true" customHeight="false" outlineLevel="1" collapsed="false">
      <c r="A256" s="7" t="s">
        <v>359</v>
      </c>
      <c r="B256" s="7" t="s">
        <v>360</v>
      </c>
      <c r="C256" s="7" t="s">
        <v>362</v>
      </c>
      <c r="D256" s="7" t="s">
        <v>20</v>
      </c>
      <c r="E256" s="8" t="n">
        <v>46283</v>
      </c>
      <c r="F256" s="9" t="n">
        <v>144780</v>
      </c>
      <c r="G256" s="9" t="n">
        <v>1131854</v>
      </c>
      <c r="H256" s="7" t="s">
        <v>16</v>
      </c>
    </row>
    <row r="257" customFormat="false" ht="15" hidden="false" customHeight="false" outlineLevel="0" collapsed="false">
      <c r="A257" s="5" t="s">
        <v>363</v>
      </c>
      <c r="B257" s="5" t="s">
        <v>364</v>
      </c>
      <c r="C257" s="5" t="s">
        <v>99</v>
      </c>
      <c r="D257" s="5" t="s">
        <v>13</v>
      </c>
      <c r="E257" s="5"/>
      <c r="F257" s="6" t="n">
        <f aca="false">SUMIFS(Base!$G:$G,Base!$A:$A,$A257)</f>
        <v>242050.4204</v>
      </c>
      <c r="G257" s="6" t="n">
        <f aca="false">SUMIFS(Base!$I:$I,Base!$A:$A,$A257)</f>
        <v>3430499.9989</v>
      </c>
      <c r="H257" s="5"/>
    </row>
    <row r="258" customFormat="false" ht="15" hidden="true" customHeight="false" outlineLevel="1" collapsed="false">
      <c r="A258" s="7" t="s">
        <v>363</v>
      </c>
      <c r="B258" s="7" t="s">
        <v>364</v>
      </c>
      <c r="C258" s="7" t="s">
        <v>365</v>
      </c>
      <c r="D258" s="7" t="s">
        <v>20</v>
      </c>
      <c r="E258" s="8" t="n">
        <v>46276</v>
      </c>
      <c r="F258" s="9" t="n">
        <v>242050.4204</v>
      </c>
      <c r="G258" s="9" t="n">
        <v>3425499.9989</v>
      </c>
      <c r="H258" s="7" t="s">
        <v>26</v>
      </c>
    </row>
    <row r="259" customFormat="false" ht="15" hidden="true" customHeight="false" outlineLevel="1" collapsed="false">
      <c r="A259" s="7" t="s">
        <v>363</v>
      </c>
      <c r="B259" s="7" t="s">
        <v>364</v>
      </c>
      <c r="C259" s="7" t="s">
        <v>366</v>
      </c>
      <c r="D259" s="7" t="s">
        <v>20</v>
      </c>
      <c r="E259" s="8" t="n">
        <v>46276</v>
      </c>
      <c r="F259" s="9" t="n">
        <v>0</v>
      </c>
      <c r="G259" s="9" t="n">
        <v>5000</v>
      </c>
      <c r="H259" s="7" t="s">
        <v>16</v>
      </c>
    </row>
    <row r="260" customFormat="false" ht="15" hidden="false" customHeight="false" outlineLevel="0" collapsed="false">
      <c r="A260" s="5" t="s">
        <v>367</v>
      </c>
      <c r="B260" s="5" t="s">
        <v>368</v>
      </c>
      <c r="C260" s="5" t="s">
        <v>23</v>
      </c>
      <c r="D260" s="5" t="s">
        <v>13</v>
      </c>
      <c r="E260" s="5"/>
      <c r="F260" s="6" t="n">
        <f aca="false">SUMIFS(Base!$G:$G,Base!$A:$A,$A260)</f>
        <v>2869000</v>
      </c>
      <c r="G260" s="6" t="n">
        <f aca="false">SUMIFS(Base!$I:$I,Base!$A:$A,$A260)</f>
        <v>17969000</v>
      </c>
      <c r="H260" s="5"/>
    </row>
    <row r="261" customFormat="false" ht="15" hidden="true" customHeight="false" outlineLevel="1" collapsed="false">
      <c r="A261" s="7" t="s">
        <v>367</v>
      </c>
      <c r="B261" s="7" t="s">
        <v>368</v>
      </c>
      <c r="C261" s="7" t="s">
        <v>369</v>
      </c>
      <c r="D261" s="7" t="s">
        <v>20</v>
      </c>
      <c r="E261" s="8" t="n">
        <v>46269</v>
      </c>
      <c r="F261" s="9" t="n">
        <v>80750</v>
      </c>
      <c r="G261" s="9" t="n">
        <v>505750</v>
      </c>
      <c r="H261" s="7" t="s">
        <v>16</v>
      </c>
    </row>
    <row r="262" customFormat="false" ht="15" hidden="true" customHeight="false" outlineLevel="1" collapsed="false">
      <c r="A262" s="7" t="s">
        <v>367</v>
      </c>
      <c r="B262" s="7" t="s">
        <v>368</v>
      </c>
      <c r="C262" s="7" t="s">
        <v>370</v>
      </c>
      <c r="D262" s="7" t="s">
        <v>20</v>
      </c>
      <c r="E262" s="8" t="n">
        <v>46269</v>
      </c>
      <c r="F262" s="9" t="n">
        <v>741000</v>
      </c>
      <c r="G262" s="9" t="n">
        <v>4641000</v>
      </c>
      <c r="H262" s="7" t="s">
        <v>16</v>
      </c>
    </row>
    <row r="263" customFormat="false" ht="15" hidden="true" customHeight="false" outlineLevel="1" collapsed="false">
      <c r="A263" s="7" t="s">
        <v>367</v>
      </c>
      <c r="B263" s="7" t="s">
        <v>368</v>
      </c>
      <c r="C263" s="7" t="s">
        <v>371</v>
      </c>
      <c r="D263" s="7" t="s">
        <v>20</v>
      </c>
      <c r="E263" s="8" t="n">
        <v>46279</v>
      </c>
      <c r="F263" s="9" t="n">
        <v>427500</v>
      </c>
      <c r="G263" s="9" t="n">
        <v>2677500</v>
      </c>
      <c r="H263" s="7" t="s">
        <v>16</v>
      </c>
    </row>
    <row r="264" customFormat="false" ht="15" hidden="true" customHeight="false" outlineLevel="1" collapsed="false">
      <c r="A264" s="7" t="s">
        <v>367</v>
      </c>
      <c r="B264" s="7" t="s">
        <v>368</v>
      </c>
      <c r="C264" s="7" t="s">
        <v>372</v>
      </c>
      <c r="D264" s="7" t="s">
        <v>20</v>
      </c>
      <c r="E264" s="8" t="n">
        <v>46280</v>
      </c>
      <c r="F264" s="9" t="n">
        <v>99750</v>
      </c>
      <c r="G264" s="9" t="n">
        <v>624750</v>
      </c>
      <c r="H264" s="7" t="s">
        <v>16</v>
      </c>
    </row>
    <row r="265" customFormat="false" ht="15" hidden="true" customHeight="false" outlineLevel="1" collapsed="false">
      <c r="A265" s="7" t="s">
        <v>367</v>
      </c>
      <c r="B265" s="7" t="s">
        <v>368</v>
      </c>
      <c r="C265" s="7" t="s">
        <v>373</v>
      </c>
      <c r="D265" s="7" t="s">
        <v>20</v>
      </c>
      <c r="E265" s="8" t="n">
        <v>46283</v>
      </c>
      <c r="F265" s="9" t="n">
        <v>1520000</v>
      </c>
      <c r="G265" s="9" t="n">
        <v>9520000</v>
      </c>
      <c r="H265" s="7" t="s">
        <v>16</v>
      </c>
    </row>
    <row r="266" customFormat="false" ht="15" hidden="false" customHeight="false" outlineLevel="0" collapsed="false">
      <c r="A266" s="5" t="s">
        <v>374</v>
      </c>
      <c r="B266" s="5" t="s">
        <v>375</v>
      </c>
      <c r="C266" s="5" t="s">
        <v>12</v>
      </c>
      <c r="D266" s="5" t="s">
        <v>13</v>
      </c>
      <c r="E266" s="5"/>
      <c r="F266" s="6" t="n">
        <f aca="false">SUMIFS(Base!$G:$G,Base!$A:$A,$A266)</f>
        <v>28500</v>
      </c>
      <c r="G266" s="6" t="n">
        <f aca="false">SUMIFS(Base!$I:$I,Base!$A:$A,$A266)</f>
        <v>178500</v>
      </c>
      <c r="H266" s="5"/>
    </row>
    <row r="267" customFormat="false" ht="15" hidden="true" customHeight="false" outlineLevel="1" collapsed="false">
      <c r="A267" s="7" t="s">
        <v>374</v>
      </c>
      <c r="B267" s="7" t="s">
        <v>375</v>
      </c>
      <c r="C267" s="7" t="s">
        <v>376</v>
      </c>
      <c r="D267" s="7" t="s">
        <v>20</v>
      </c>
      <c r="E267" s="8" t="n">
        <v>46295</v>
      </c>
      <c r="F267" s="9" t="n">
        <v>28500</v>
      </c>
      <c r="G267" s="9" t="n">
        <v>178500</v>
      </c>
      <c r="H267" s="7" t="s">
        <v>16</v>
      </c>
    </row>
    <row r="268" customFormat="false" ht="15" hidden="false" customHeight="false" outlineLevel="0" collapsed="false">
      <c r="A268" s="5" t="s">
        <v>377</v>
      </c>
      <c r="B268" s="5" t="s">
        <v>378</v>
      </c>
      <c r="C268" s="5" t="s">
        <v>37</v>
      </c>
      <c r="D268" s="5" t="s">
        <v>13</v>
      </c>
      <c r="E268" s="5"/>
      <c r="F268" s="6" t="n">
        <f aca="false">SUMIFS(Base!$G:$G,Base!$A:$A,$A268)</f>
        <v>0</v>
      </c>
      <c r="G268" s="6" t="n">
        <f aca="false">SUMIFS(Base!$I:$I,Base!$A:$A,$A268)</f>
        <v>119600</v>
      </c>
      <c r="H268" s="5"/>
    </row>
    <row r="269" customFormat="false" ht="15" hidden="true" customHeight="false" outlineLevel="1" collapsed="false">
      <c r="A269" s="7" t="s">
        <v>377</v>
      </c>
      <c r="B269" s="7" t="s">
        <v>378</v>
      </c>
      <c r="C269" s="7" t="s">
        <v>379</v>
      </c>
      <c r="D269" s="7" t="s">
        <v>20</v>
      </c>
      <c r="E269" s="8" t="n">
        <v>46276</v>
      </c>
      <c r="F269" s="9" t="n">
        <v>0</v>
      </c>
      <c r="G269" s="9" t="n">
        <v>44900</v>
      </c>
      <c r="H269" s="7" t="s">
        <v>26</v>
      </c>
    </row>
    <row r="270" customFormat="false" ht="15" hidden="true" customHeight="false" outlineLevel="1" collapsed="false">
      <c r="A270" s="7" t="s">
        <v>377</v>
      </c>
      <c r="B270" s="7" t="s">
        <v>378</v>
      </c>
      <c r="C270" s="7" t="s">
        <v>380</v>
      </c>
      <c r="D270" s="7" t="s">
        <v>20</v>
      </c>
      <c r="E270" s="8" t="n">
        <v>46290</v>
      </c>
      <c r="F270" s="9" t="n">
        <v>0</v>
      </c>
      <c r="G270" s="9" t="n">
        <v>42800</v>
      </c>
      <c r="H270" s="7" t="s">
        <v>16</v>
      </c>
    </row>
    <row r="271" customFormat="false" ht="15" hidden="true" customHeight="false" outlineLevel="1" collapsed="false">
      <c r="A271" s="7" t="s">
        <v>377</v>
      </c>
      <c r="B271" s="7" t="s">
        <v>378</v>
      </c>
      <c r="C271" s="7" t="s">
        <v>381</v>
      </c>
      <c r="D271" s="7" t="s">
        <v>20</v>
      </c>
      <c r="E271" s="8" t="n">
        <v>46293</v>
      </c>
      <c r="F271" s="9" t="n">
        <v>0</v>
      </c>
      <c r="G271" s="9" t="n">
        <v>31900</v>
      </c>
      <c r="H271" s="7" t="s">
        <v>16</v>
      </c>
    </row>
    <row r="272" customFormat="false" ht="15" hidden="false" customHeight="false" outlineLevel="0" collapsed="false">
      <c r="A272" s="5" t="s">
        <v>382</v>
      </c>
      <c r="B272" s="5" t="s">
        <v>383</v>
      </c>
      <c r="C272" s="5" t="s">
        <v>99</v>
      </c>
      <c r="D272" s="5" t="s">
        <v>13</v>
      </c>
      <c r="E272" s="5"/>
      <c r="F272" s="6" t="n">
        <f aca="false">SUMIFS(Base!$G:$G,Base!$A:$A,$A272)</f>
        <v>1208400</v>
      </c>
      <c r="G272" s="6" t="n">
        <f aca="false">SUMIFS(Base!$I:$I,Base!$A:$A,$A272)</f>
        <v>11468400</v>
      </c>
      <c r="H272" s="5"/>
    </row>
    <row r="273" customFormat="false" ht="15" hidden="true" customHeight="false" outlineLevel="1" collapsed="false">
      <c r="A273" s="7" t="s">
        <v>382</v>
      </c>
      <c r="B273" s="7" t="s">
        <v>383</v>
      </c>
      <c r="C273" s="7" t="s">
        <v>384</v>
      </c>
      <c r="D273" s="7" t="s">
        <v>20</v>
      </c>
      <c r="E273" s="8" t="n">
        <v>46280</v>
      </c>
      <c r="F273" s="9" t="n">
        <v>794580</v>
      </c>
      <c r="G273" s="9" t="n">
        <v>7576580</v>
      </c>
      <c r="H273" s="7" t="s">
        <v>40</v>
      </c>
    </row>
    <row r="274" customFormat="false" ht="15" hidden="true" customHeight="false" outlineLevel="1" collapsed="false">
      <c r="A274" s="7" t="s">
        <v>382</v>
      </c>
      <c r="B274" s="7" t="s">
        <v>383</v>
      </c>
      <c r="C274" s="7" t="s">
        <v>385</v>
      </c>
      <c r="D274" s="7" t="s">
        <v>20</v>
      </c>
      <c r="E274" s="8" t="n">
        <v>46280</v>
      </c>
      <c r="F274" s="9" t="n">
        <v>413820</v>
      </c>
      <c r="G274" s="9" t="n">
        <v>3891820</v>
      </c>
      <c r="H274" s="7" t="s">
        <v>40</v>
      </c>
    </row>
    <row r="275" customFormat="false" ht="15" hidden="false" customHeight="false" outlineLevel="0" collapsed="false">
      <c r="A275" s="5" t="s">
        <v>386</v>
      </c>
      <c r="B275" s="5" t="s">
        <v>387</v>
      </c>
      <c r="C275" s="5" t="s">
        <v>12</v>
      </c>
      <c r="D275" s="5" t="s">
        <v>13</v>
      </c>
      <c r="E275" s="5"/>
      <c r="F275" s="6" t="n">
        <f aca="false">SUMIFS(Base!$G:$G,Base!$A:$A,$A275)</f>
        <v>0</v>
      </c>
      <c r="G275" s="6" t="n">
        <f aca="false">SUMIFS(Base!$I:$I,Base!$A:$A,$A275)</f>
        <v>15000</v>
      </c>
      <c r="H275" s="5"/>
    </row>
    <row r="276" customFormat="false" ht="15" hidden="true" customHeight="false" outlineLevel="1" collapsed="false">
      <c r="A276" s="7" t="s">
        <v>386</v>
      </c>
      <c r="B276" s="7" t="s">
        <v>387</v>
      </c>
      <c r="C276" s="7" t="s">
        <v>388</v>
      </c>
      <c r="D276" s="7" t="s">
        <v>20</v>
      </c>
      <c r="E276" s="8" t="n">
        <v>46273</v>
      </c>
      <c r="F276" s="9" t="n">
        <v>0</v>
      </c>
      <c r="G276" s="9" t="n">
        <v>15000</v>
      </c>
      <c r="H276" s="7" t="s">
        <v>26</v>
      </c>
    </row>
    <row r="277" customFormat="false" ht="15" hidden="false" customHeight="false" outlineLevel="0" collapsed="false">
      <c r="A277" s="5" t="s">
        <v>389</v>
      </c>
      <c r="B277" s="5" t="s">
        <v>390</v>
      </c>
      <c r="C277" s="5" t="s">
        <v>37</v>
      </c>
      <c r="D277" s="5" t="s">
        <v>13</v>
      </c>
      <c r="E277" s="5"/>
      <c r="F277" s="6" t="n">
        <f aca="false">SUMIFS(Base!$G:$G,Base!$A:$A,$A277)</f>
        <v>0</v>
      </c>
      <c r="G277" s="6" t="n">
        <f aca="false">SUMIFS(Base!$I:$I,Base!$A:$A,$A277)</f>
        <v>80000</v>
      </c>
      <c r="H277" s="5"/>
    </row>
    <row r="278" customFormat="false" ht="15" hidden="true" customHeight="false" outlineLevel="1" collapsed="false">
      <c r="A278" s="7" t="s">
        <v>389</v>
      </c>
      <c r="B278" s="7" t="s">
        <v>390</v>
      </c>
      <c r="C278" s="7" t="s">
        <v>391</v>
      </c>
      <c r="D278" s="7" t="s">
        <v>20</v>
      </c>
      <c r="E278" s="8" t="n">
        <v>46272</v>
      </c>
      <c r="F278" s="9" t="n">
        <v>0</v>
      </c>
      <c r="G278" s="9" t="n">
        <v>20000</v>
      </c>
      <c r="H278" s="7" t="s">
        <v>16</v>
      </c>
    </row>
    <row r="279" customFormat="false" ht="15" hidden="true" customHeight="false" outlineLevel="1" collapsed="false">
      <c r="A279" s="7" t="s">
        <v>389</v>
      </c>
      <c r="B279" s="7" t="s">
        <v>390</v>
      </c>
      <c r="C279" s="7" t="s">
        <v>392</v>
      </c>
      <c r="D279" s="7" t="s">
        <v>20</v>
      </c>
      <c r="E279" s="8" t="n">
        <v>46272</v>
      </c>
      <c r="F279" s="9" t="n">
        <v>0</v>
      </c>
      <c r="G279" s="9" t="n">
        <v>18000</v>
      </c>
      <c r="H279" s="7" t="s">
        <v>26</v>
      </c>
    </row>
    <row r="280" customFormat="false" ht="15" hidden="true" customHeight="false" outlineLevel="1" collapsed="false">
      <c r="A280" s="7" t="s">
        <v>389</v>
      </c>
      <c r="B280" s="7" t="s">
        <v>390</v>
      </c>
      <c r="C280" s="7" t="s">
        <v>393</v>
      </c>
      <c r="D280" s="7" t="s">
        <v>20</v>
      </c>
      <c r="E280" s="8" t="n">
        <v>46272</v>
      </c>
      <c r="F280" s="9" t="n">
        <v>0</v>
      </c>
      <c r="G280" s="9" t="n">
        <v>42000</v>
      </c>
      <c r="H280" s="7" t="s">
        <v>16</v>
      </c>
    </row>
    <row r="281" customFormat="false" ht="15" hidden="false" customHeight="false" outlineLevel="0" collapsed="false">
      <c r="A281" s="5" t="s">
        <v>394</v>
      </c>
      <c r="B281" s="5" t="s">
        <v>395</v>
      </c>
      <c r="C281" s="5" t="s">
        <v>176</v>
      </c>
      <c r="D281" s="5" t="s">
        <v>13</v>
      </c>
      <c r="E281" s="5"/>
      <c r="F281" s="6" t="n">
        <f aca="false">SUMIFS(Base!$G:$G,Base!$A:$A,$A281)</f>
        <v>231123.03</v>
      </c>
      <c r="G281" s="6" t="n">
        <f aca="false">SUMIFS(Base!$I:$I,Base!$A:$A,$A281)</f>
        <v>552000</v>
      </c>
      <c r="H281" s="5"/>
    </row>
    <row r="282" customFormat="false" ht="15" hidden="true" customHeight="false" outlineLevel="1" collapsed="false">
      <c r="A282" s="7" t="s">
        <v>394</v>
      </c>
      <c r="B282" s="7" t="s">
        <v>395</v>
      </c>
      <c r="C282" s="7" t="s">
        <v>396</v>
      </c>
      <c r="D282" s="7" t="s">
        <v>20</v>
      </c>
      <c r="E282" s="8" t="n">
        <v>46274</v>
      </c>
      <c r="F282" s="9" t="n">
        <v>72452.27</v>
      </c>
      <c r="G282" s="9" t="n">
        <v>453780</v>
      </c>
      <c r="H282" s="7" t="s">
        <v>16</v>
      </c>
    </row>
    <row r="283" customFormat="false" ht="15" hidden="true" customHeight="false" outlineLevel="1" collapsed="false">
      <c r="A283" s="7" t="s">
        <v>394</v>
      </c>
      <c r="B283" s="7" t="s">
        <v>395</v>
      </c>
      <c r="C283" s="7" t="s">
        <v>397</v>
      </c>
      <c r="D283" s="7" t="s">
        <v>20</v>
      </c>
      <c r="E283" s="8" t="n">
        <v>46274</v>
      </c>
      <c r="F283" s="9" t="n">
        <v>86218.49</v>
      </c>
      <c r="G283" s="9" t="n">
        <v>540000</v>
      </c>
      <c r="H283" s="7" t="s">
        <v>26</v>
      </c>
    </row>
    <row r="284" customFormat="false" ht="15" hidden="true" customHeight="false" outlineLevel="1" collapsed="false">
      <c r="A284" s="7" t="s">
        <v>394</v>
      </c>
      <c r="B284" s="7" t="s">
        <v>395</v>
      </c>
      <c r="C284" s="7" t="s">
        <v>398</v>
      </c>
      <c r="D284" s="7" t="s">
        <v>31</v>
      </c>
      <c r="E284" s="8" t="n">
        <v>46274</v>
      </c>
      <c r="F284" s="9" t="n">
        <v>72452.27</v>
      </c>
      <c r="G284" s="9" t="n">
        <v>-453780</v>
      </c>
      <c r="H284" s="7" t="s">
        <v>16</v>
      </c>
    </row>
    <row r="285" customFormat="false" ht="15" hidden="true" customHeight="false" outlineLevel="1" collapsed="false">
      <c r="A285" s="7" t="s">
        <v>394</v>
      </c>
      <c r="B285" s="7" t="s">
        <v>395</v>
      </c>
      <c r="C285" s="7" t="s">
        <v>399</v>
      </c>
      <c r="D285" s="7" t="s">
        <v>15</v>
      </c>
      <c r="E285" s="8" t="n">
        <v>46289</v>
      </c>
      <c r="F285" s="9" t="n">
        <v>0</v>
      </c>
      <c r="G285" s="9" t="n">
        <v>12000</v>
      </c>
      <c r="H285" s="7" t="s">
        <v>16</v>
      </c>
    </row>
    <row r="286" customFormat="false" ht="15" hidden="false" customHeight="false" outlineLevel="0" collapsed="false">
      <c r="A286" s="5" t="s">
        <v>400</v>
      </c>
      <c r="B286" s="5" t="s">
        <v>401</v>
      </c>
      <c r="C286" s="5" t="s">
        <v>99</v>
      </c>
      <c r="D286" s="5" t="s">
        <v>13</v>
      </c>
      <c r="E286" s="5"/>
      <c r="F286" s="6" t="n">
        <f aca="false">SUMIFS(Base!$G:$G,Base!$A:$A,$A286)</f>
        <v>0</v>
      </c>
      <c r="G286" s="6" t="n">
        <f aca="false">SUMIFS(Base!$I:$I,Base!$A:$A,$A286)</f>
        <v>58500</v>
      </c>
      <c r="H286" s="5"/>
    </row>
    <row r="287" customFormat="false" ht="15" hidden="true" customHeight="false" outlineLevel="1" collapsed="false">
      <c r="A287" s="7" t="s">
        <v>400</v>
      </c>
      <c r="B287" s="7" t="s">
        <v>401</v>
      </c>
      <c r="C287" s="7" t="s">
        <v>402</v>
      </c>
      <c r="D287" s="7" t="s">
        <v>15</v>
      </c>
      <c r="E287" s="8" t="n">
        <v>46279</v>
      </c>
      <c r="F287" s="9" t="n">
        <v>0</v>
      </c>
      <c r="G287" s="9" t="n">
        <v>39000</v>
      </c>
      <c r="H287" s="7" t="s">
        <v>16</v>
      </c>
    </row>
    <row r="288" customFormat="false" ht="15" hidden="true" customHeight="false" outlineLevel="1" collapsed="false">
      <c r="A288" s="7" t="s">
        <v>400</v>
      </c>
      <c r="B288" s="7" t="s">
        <v>401</v>
      </c>
      <c r="C288" s="7" t="s">
        <v>403</v>
      </c>
      <c r="D288" s="7" t="s">
        <v>15</v>
      </c>
      <c r="E288" s="8" t="n">
        <v>46295</v>
      </c>
      <c r="F288" s="9" t="n">
        <v>0</v>
      </c>
      <c r="G288" s="9" t="n">
        <v>19500</v>
      </c>
      <c r="H288" s="7" t="s">
        <v>16</v>
      </c>
    </row>
    <row r="289" customFormat="false" ht="15" hidden="false" customHeight="false" outlineLevel="0" collapsed="false">
      <c r="A289" s="5" t="s">
        <v>404</v>
      </c>
      <c r="B289" s="5" t="s">
        <v>405</v>
      </c>
      <c r="C289" s="5" t="s">
        <v>12</v>
      </c>
      <c r="D289" s="5" t="s">
        <v>13</v>
      </c>
      <c r="E289" s="5"/>
      <c r="F289" s="6" t="n">
        <f aca="false">SUMIFS(Base!$G:$G,Base!$A:$A,$A289)</f>
        <v>0</v>
      </c>
      <c r="G289" s="6" t="n">
        <f aca="false">SUMIFS(Base!$I:$I,Base!$A:$A,$A289)</f>
        <v>3200000</v>
      </c>
      <c r="H289" s="5"/>
    </row>
    <row r="290" customFormat="false" ht="15" hidden="true" customHeight="false" outlineLevel="1" collapsed="false">
      <c r="A290" s="7" t="s">
        <v>404</v>
      </c>
      <c r="B290" s="7" t="s">
        <v>405</v>
      </c>
      <c r="C290" s="7" t="s">
        <v>406</v>
      </c>
      <c r="D290" s="7" t="s">
        <v>20</v>
      </c>
      <c r="E290" s="8" t="n">
        <v>46294</v>
      </c>
      <c r="F290" s="9" t="n">
        <v>0</v>
      </c>
      <c r="G290" s="9" t="n">
        <v>3200000</v>
      </c>
      <c r="H290" s="7" t="s">
        <v>40</v>
      </c>
    </row>
    <row r="291" customFormat="false" ht="15" hidden="false" customHeight="false" outlineLevel="0" collapsed="false">
      <c r="A291" s="5" t="s">
        <v>407</v>
      </c>
      <c r="B291" s="5" t="s">
        <v>408</v>
      </c>
      <c r="C291" s="5" t="s">
        <v>37</v>
      </c>
      <c r="D291" s="5" t="s">
        <v>13</v>
      </c>
      <c r="E291" s="5"/>
      <c r="F291" s="6" t="n">
        <f aca="false">SUMIFS(Base!$G:$G,Base!$A:$A,$A291)</f>
        <v>0</v>
      </c>
      <c r="G291" s="6" t="n">
        <f aca="false">SUMIFS(Base!$I:$I,Base!$A:$A,$A291)</f>
        <v>60000</v>
      </c>
      <c r="H291" s="5"/>
    </row>
    <row r="292" customFormat="false" ht="15" hidden="true" customHeight="false" outlineLevel="1" collapsed="false">
      <c r="A292" s="7" t="s">
        <v>407</v>
      </c>
      <c r="B292" s="7" t="s">
        <v>408</v>
      </c>
      <c r="C292" s="7" t="s">
        <v>409</v>
      </c>
      <c r="D292" s="7" t="s">
        <v>20</v>
      </c>
      <c r="E292" s="8" t="n">
        <v>46275</v>
      </c>
      <c r="F292" s="9" t="n">
        <v>0</v>
      </c>
      <c r="G292" s="9" t="n">
        <v>20000</v>
      </c>
      <c r="H292" s="7" t="s">
        <v>26</v>
      </c>
    </row>
    <row r="293" customFormat="false" ht="15" hidden="true" customHeight="false" outlineLevel="1" collapsed="false">
      <c r="A293" s="7" t="s">
        <v>407</v>
      </c>
      <c r="B293" s="7" t="s">
        <v>408</v>
      </c>
      <c r="C293" s="7" t="s">
        <v>410</v>
      </c>
      <c r="D293" s="7" t="s">
        <v>20</v>
      </c>
      <c r="E293" s="8" t="n">
        <v>46281</v>
      </c>
      <c r="F293" s="9" t="n">
        <v>0</v>
      </c>
      <c r="G293" s="9" t="n">
        <v>20000</v>
      </c>
      <c r="H293" s="7" t="s">
        <v>26</v>
      </c>
    </row>
    <row r="294" customFormat="false" ht="15" hidden="true" customHeight="false" outlineLevel="1" collapsed="false">
      <c r="A294" s="7" t="s">
        <v>407</v>
      </c>
      <c r="B294" s="7" t="s">
        <v>408</v>
      </c>
      <c r="C294" s="7" t="s">
        <v>411</v>
      </c>
      <c r="D294" s="7" t="s">
        <v>20</v>
      </c>
      <c r="E294" s="8" t="n">
        <v>46289</v>
      </c>
      <c r="F294" s="9" t="n">
        <v>0</v>
      </c>
      <c r="G294" s="9" t="n">
        <v>20000</v>
      </c>
      <c r="H294" s="7" t="s">
        <v>26</v>
      </c>
    </row>
    <row r="295" customFormat="false" ht="15" hidden="false" customHeight="false" outlineLevel="0" collapsed="false">
      <c r="A295" s="5" t="s">
        <v>412</v>
      </c>
      <c r="B295" s="5" t="s">
        <v>413</v>
      </c>
      <c r="C295" s="5" t="s">
        <v>12</v>
      </c>
      <c r="D295" s="5" t="s">
        <v>13</v>
      </c>
      <c r="E295" s="5"/>
      <c r="F295" s="6" t="n">
        <f aca="false">SUMIFS(Base!$G:$G,Base!$A:$A,$A295)</f>
        <v>0</v>
      </c>
      <c r="G295" s="6" t="n">
        <f aca="false">SUMIFS(Base!$I:$I,Base!$A:$A,$A295)</f>
        <v>-180000</v>
      </c>
      <c r="H295" s="5"/>
    </row>
    <row r="296" customFormat="false" ht="15" hidden="true" customHeight="false" outlineLevel="1" collapsed="false">
      <c r="A296" s="7" t="s">
        <v>412</v>
      </c>
      <c r="B296" s="7" t="s">
        <v>413</v>
      </c>
      <c r="C296" s="7" t="s">
        <v>414</v>
      </c>
      <c r="D296" s="7" t="s">
        <v>31</v>
      </c>
      <c r="E296" s="8" t="n">
        <v>46268</v>
      </c>
      <c r="F296" s="9" t="n">
        <v>0</v>
      </c>
      <c r="G296" s="9" t="n">
        <v>-180000</v>
      </c>
      <c r="H296" s="7" t="s">
        <v>16</v>
      </c>
    </row>
    <row r="297" customFormat="false" ht="15" hidden="false" customHeight="false" outlineLevel="0" collapsed="false">
      <c r="A297" s="5" t="s">
        <v>415</v>
      </c>
      <c r="B297" s="5" t="s">
        <v>416</v>
      </c>
      <c r="C297" s="5" t="s">
        <v>12</v>
      </c>
      <c r="D297" s="5" t="s">
        <v>13</v>
      </c>
      <c r="E297" s="5"/>
      <c r="F297" s="6" t="n">
        <f aca="false">SUMIFS(Base!$G:$G,Base!$A:$A,$A297)</f>
        <v>1497</v>
      </c>
      <c r="G297" s="6" t="n">
        <f aca="false">SUMIFS(Base!$I:$I,Base!$A:$A,$A297)</f>
        <v>9377</v>
      </c>
      <c r="H297" s="5"/>
    </row>
    <row r="298" customFormat="false" ht="15" hidden="true" customHeight="false" outlineLevel="1" collapsed="false">
      <c r="A298" s="7" t="s">
        <v>415</v>
      </c>
      <c r="B298" s="7" t="s">
        <v>416</v>
      </c>
      <c r="C298" s="7" t="s">
        <v>417</v>
      </c>
      <c r="D298" s="7" t="s">
        <v>20</v>
      </c>
      <c r="E298" s="8" t="n">
        <v>46289</v>
      </c>
      <c r="F298" s="9" t="n">
        <v>1497</v>
      </c>
      <c r="G298" s="9" t="n">
        <v>9377</v>
      </c>
      <c r="H298" s="7" t="s">
        <v>16</v>
      </c>
    </row>
    <row r="299" customFormat="false" ht="15" hidden="false" customHeight="false" outlineLevel="0" collapsed="false">
      <c r="A299" s="5" t="s">
        <v>418</v>
      </c>
      <c r="B299" s="5" t="s">
        <v>419</v>
      </c>
      <c r="C299" s="5" t="s">
        <v>420</v>
      </c>
      <c r="D299" s="5" t="s">
        <v>13</v>
      </c>
      <c r="E299" s="5"/>
      <c r="F299" s="6" t="n">
        <f aca="false">SUMIFS(Base!$G:$G,Base!$A:$A,$A299)</f>
        <v>16</v>
      </c>
      <c r="G299" s="6" t="n">
        <f aca="false">SUMIFS(Base!$I:$I,Base!$A:$A,$A299)</f>
        <v>588700</v>
      </c>
      <c r="H299" s="5"/>
    </row>
    <row r="300" customFormat="false" ht="15" hidden="true" customHeight="false" outlineLevel="1" collapsed="false">
      <c r="A300" s="7" t="s">
        <v>418</v>
      </c>
      <c r="B300" s="7" t="s">
        <v>419</v>
      </c>
      <c r="C300" s="7" t="s">
        <v>421</v>
      </c>
      <c r="D300" s="7" t="s">
        <v>20</v>
      </c>
      <c r="E300" s="8" t="n">
        <v>46269</v>
      </c>
      <c r="F300" s="9" t="n">
        <v>0</v>
      </c>
      <c r="G300" s="9" t="n">
        <v>50300</v>
      </c>
      <c r="H300" s="7" t="s">
        <v>16</v>
      </c>
    </row>
    <row r="301" customFormat="false" ht="15" hidden="true" customHeight="false" outlineLevel="1" collapsed="false">
      <c r="A301" s="7" t="s">
        <v>418</v>
      </c>
      <c r="B301" s="7" t="s">
        <v>419</v>
      </c>
      <c r="C301" s="7" t="s">
        <v>422</v>
      </c>
      <c r="D301" s="7" t="s">
        <v>20</v>
      </c>
      <c r="E301" s="8" t="n">
        <v>46270</v>
      </c>
      <c r="F301" s="9" t="n">
        <v>0</v>
      </c>
      <c r="G301" s="9" t="n">
        <v>206000</v>
      </c>
      <c r="H301" s="7" t="s">
        <v>16</v>
      </c>
    </row>
    <row r="302" customFormat="false" ht="15" hidden="true" customHeight="false" outlineLevel="1" collapsed="false">
      <c r="A302" s="7" t="s">
        <v>418</v>
      </c>
      <c r="B302" s="7" t="s">
        <v>419</v>
      </c>
      <c r="C302" s="7" t="s">
        <v>423</v>
      </c>
      <c r="D302" s="7" t="s">
        <v>20</v>
      </c>
      <c r="E302" s="8" t="n">
        <v>46273</v>
      </c>
      <c r="F302" s="9" t="n">
        <v>0</v>
      </c>
      <c r="G302" s="9" t="n">
        <v>46000</v>
      </c>
      <c r="H302" s="7" t="s">
        <v>16</v>
      </c>
    </row>
    <row r="303" customFormat="false" ht="15" hidden="true" customHeight="false" outlineLevel="1" collapsed="false">
      <c r="A303" s="7" t="s">
        <v>418</v>
      </c>
      <c r="B303" s="7" t="s">
        <v>419</v>
      </c>
      <c r="C303" s="7" t="s">
        <v>424</v>
      </c>
      <c r="D303" s="7" t="s">
        <v>20</v>
      </c>
      <c r="E303" s="8" t="n">
        <v>46274</v>
      </c>
      <c r="F303" s="9" t="n">
        <v>0</v>
      </c>
      <c r="G303" s="9" t="n">
        <v>59600</v>
      </c>
      <c r="H303" s="7" t="s">
        <v>16</v>
      </c>
    </row>
    <row r="304" customFormat="false" ht="15" hidden="true" customHeight="false" outlineLevel="1" collapsed="false">
      <c r="A304" s="7" t="s">
        <v>418</v>
      </c>
      <c r="B304" s="7" t="s">
        <v>419</v>
      </c>
      <c r="C304" s="7" t="s">
        <v>425</v>
      </c>
      <c r="D304" s="7" t="s">
        <v>20</v>
      </c>
      <c r="E304" s="8" t="n">
        <v>46277</v>
      </c>
      <c r="F304" s="9" t="n">
        <v>0</v>
      </c>
      <c r="G304" s="9" t="n">
        <v>59600</v>
      </c>
      <c r="H304" s="7" t="s">
        <v>16</v>
      </c>
    </row>
    <row r="305" customFormat="false" ht="15" hidden="true" customHeight="false" outlineLevel="1" collapsed="false">
      <c r="A305" s="7" t="s">
        <v>418</v>
      </c>
      <c r="B305" s="7" t="s">
        <v>419</v>
      </c>
      <c r="C305" s="7" t="s">
        <v>426</v>
      </c>
      <c r="D305" s="7" t="s">
        <v>20</v>
      </c>
      <c r="E305" s="8" t="n">
        <v>46283</v>
      </c>
      <c r="F305" s="9" t="n">
        <v>16</v>
      </c>
      <c r="G305" s="9" t="n">
        <v>63700</v>
      </c>
      <c r="H305" s="7" t="s">
        <v>16</v>
      </c>
    </row>
    <row r="306" customFormat="false" ht="15" hidden="true" customHeight="false" outlineLevel="1" collapsed="false">
      <c r="A306" s="7" t="s">
        <v>418</v>
      </c>
      <c r="B306" s="7" t="s">
        <v>419</v>
      </c>
      <c r="C306" s="7" t="s">
        <v>427</v>
      </c>
      <c r="D306" s="7" t="s">
        <v>20</v>
      </c>
      <c r="E306" s="8" t="n">
        <v>46287</v>
      </c>
      <c r="F306" s="9" t="n">
        <v>0</v>
      </c>
      <c r="G306" s="9" t="n">
        <v>53000</v>
      </c>
      <c r="H306" s="7" t="s">
        <v>16</v>
      </c>
    </row>
    <row r="307" customFormat="false" ht="15" hidden="true" customHeight="false" outlineLevel="1" collapsed="false">
      <c r="A307" s="7" t="s">
        <v>418</v>
      </c>
      <c r="B307" s="7" t="s">
        <v>419</v>
      </c>
      <c r="C307" s="7" t="s">
        <v>428</v>
      </c>
      <c r="D307" s="7" t="s">
        <v>20</v>
      </c>
      <c r="E307" s="8" t="n">
        <v>46288</v>
      </c>
      <c r="F307" s="9" t="n">
        <v>0</v>
      </c>
      <c r="G307" s="9" t="n">
        <v>50500</v>
      </c>
      <c r="H307" s="7" t="s">
        <v>16</v>
      </c>
    </row>
    <row r="308" customFormat="false" ht="15" hidden="false" customHeight="false" outlineLevel="0" collapsed="false">
      <c r="A308" s="5" t="s">
        <v>429</v>
      </c>
      <c r="B308" s="5" t="s">
        <v>430</v>
      </c>
      <c r="C308" s="5" t="s">
        <v>37</v>
      </c>
      <c r="D308" s="5" t="s">
        <v>13</v>
      </c>
      <c r="E308" s="5"/>
      <c r="F308" s="6" t="n">
        <f aca="false">SUMIFS(Base!$G:$G,Base!$A:$A,$A308)</f>
        <v>0</v>
      </c>
      <c r="G308" s="6" t="n">
        <f aca="false">SUMIFS(Base!$I:$I,Base!$A:$A,$A308)</f>
        <v>838000</v>
      </c>
      <c r="H308" s="5"/>
    </row>
    <row r="309" customFormat="false" ht="15" hidden="true" customHeight="false" outlineLevel="1" collapsed="false">
      <c r="A309" s="7" t="s">
        <v>429</v>
      </c>
      <c r="B309" s="7" t="s">
        <v>430</v>
      </c>
      <c r="C309" s="7" t="s">
        <v>431</v>
      </c>
      <c r="D309" s="7" t="s">
        <v>20</v>
      </c>
      <c r="E309" s="8" t="n">
        <v>46287</v>
      </c>
      <c r="F309" s="9" t="n">
        <v>0</v>
      </c>
      <c r="G309" s="9" t="n">
        <v>1818000</v>
      </c>
      <c r="H309" s="7" t="s">
        <v>16</v>
      </c>
    </row>
    <row r="310" customFormat="false" ht="15" hidden="true" customHeight="false" outlineLevel="1" collapsed="false">
      <c r="A310" s="7" t="s">
        <v>429</v>
      </c>
      <c r="B310" s="7" t="s">
        <v>430</v>
      </c>
      <c r="C310" s="7" t="s">
        <v>432</v>
      </c>
      <c r="D310" s="7" t="s">
        <v>31</v>
      </c>
      <c r="E310" s="8" t="n">
        <v>46288</v>
      </c>
      <c r="F310" s="9" t="n">
        <v>0</v>
      </c>
      <c r="G310" s="9" t="n">
        <v>-1818000</v>
      </c>
      <c r="H310" s="7" t="s">
        <v>16</v>
      </c>
    </row>
    <row r="311" customFormat="false" ht="15" hidden="true" customHeight="false" outlineLevel="1" collapsed="false">
      <c r="A311" s="7" t="s">
        <v>429</v>
      </c>
      <c r="B311" s="7" t="s">
        <v>430</v>
      </c>
      <c r="C311" s="7" t="s">
        <v>433</v>
      </c>
      <c r="D311" s="7" t="s">
        <v>20</v>
      </c>
      <c r="E311" s="8" t="n">
        <v>46288</v>
      </c>
      <c r="F311" s="9" t="n">
        <v>0</v>
      </c>
      <c r="G311" s="9" t="n">
        <v>838000</v>
      </c>
      <c r="H311" s="7" t="s">
        <v>26</v>
      </c>
    </row>
    <row r="312" customFormat="false" ht="15" hidden="false" customHeight="false" outlineLevel="0" collapsed="false">
      <c r="A312" s="5" t="s">
        <v>434</v>
      </c>
      <c r="B312" s="5" t="s">
        <v>435</v>
      </c>
      <c r="C312" s="5" t="s">
        <v>12</v>
      </c>
      <c r="D312" s="5" t="s">
        <v>13</v>
      </c>
      <c r="E312" s="5"/>
      <c r="F312" s="6" t="n">
        <f aca="false">SUMIFS(Base!$G:$G,Base!$A:$A,$A312)</f>
        <v>0</v>
      </c>
      <c r="G312" s="6" t="n">
        <f aca="false">SUMIFS(Base!$I:$I,Base!$A:$A,$A312)</f>
        <v>84300</v>
      </c>
      <c r="H312" s="5"/>
    </row>
    <row r="313" customFormat="false" ht="15" hidden="true" customHeight="false" outlineLevel="1" collapsed="false">
      <c r="A313" s="7" t="s">
        <v>434</v>
      </c>
      <c r="B313" s="7" t="s">
        <v>435</v>
      </c>
      <c r="C313" s="7" t="s">
        <v>436</v>
      </c>
      <c r="D313" s="7" t="s">
        <v>20</v>
      </c>
      <c r="E313" s="8" t="n">
        <v>46286</v>
      </c>
      <c r="F313" s="9" t="n">
        <v>0</v>
      </c>
      <c r="G313" s="9" t="n">
        <v>84300</v>
      </c>
      <c r="H313" s="7" t="s">
        <v>16</v>
      </c>
    </row>
    <row r="314" customFormat="false" ht="15" hidden="false" customHeight="false" outlineLevel="0" collapsed="false">
      <c r="A314" s="5" t="s">
        <v>437</v>
      </c>
      <c r="B314" s="5" t="s">
        <v>438</v>
      </c>
      <c r="C314" s="5" t="s">
        <v>12</v>
      </c>
      <c r="D314" s="5" t="s">
        <v>13</v>
      </c>
      <c r="E314" s="5"/>
      <c r="F314" s="6" t="n">
        <f aca="false">SUMIFS(Base!$G:$G,Base!$A:$A,$A314)</f>
        <v>0</v>
      </c>
      <c r="G314" s="6" t="n">
        <f aca="false">SUMIFS(Base!$I:$I,Base!$A:$A,$A314)</f>
        <v>260000</v>
      </c>
      <c r="H314" s="5"/>
    </row>
    <row r="315" customFormat="false" ht="15" hidden="true" customHeight="false" outlineLevel="1" collapsed="false">
      <c r="A315" s="7" t="s">
        <v>437</v>
      </c>
      <c r="B315" s="7" t="s">
        <v>438</v>
      </c>
      <c r="C315" s="7" t="s">
        <v>439</v>
      </c>
      <c r="D315" s="7" t="s">
        <v>20</v>
      </c>
      <c r="E315" s="8" t="n">
        <v>46276</v>
      </c>
      <c r="F315" s="9" t="n">
        <v>0</v>
      </c>
      <c r="G315" s="9" t="n">
        <v>260000</v>
      </c>
      <c r="H315" s="7" t="s">
        <v>26</v>
      </c>
    </row>
    <row r="316" customFormat="false" ht="15" hidden="false" customHeight="false" outlineLevel="0" collapsed="false">
      <c r="A316" s="5" t="s">
        <v>440</v>
      </c>
      <c r="B316" s="5" t="s">
        <v>441</v>
      </c>
      <c r="C316" s="5" t="s">
        <v>12</v>
      </c>
      <c r="D316" s="5" t="s">
        <v>13</v>
      </c>
      <c r="E316" s="5"/>
      <c r="F316" s="6" t="n">
        <f aca="false">SUMIFS(Base!$G:$G,Base!$A:$A,$A316)</f>
        <v>0</v>
      </c>
      <c r="G316" s="6" t="n">
        <f aca="false">SUMIFS(Base!$I:$I,Base!$A:$A,$A316)</f>
        <v>27000000</v>
      </c>
      <c r="H316" s="5"/>
    </row>
    <row r="317" customFormat="false" ht="15" hidden="true" customHeight="false" outlineLevel="1" collapsed="false">
      <c r="A317" s="7" t="s">
        <v>440</v>
      </c>
      <c r="B317" s="7" t="s">
        <v>441</v>
      </c>
      <c r="C317" s="7" t="s">
        <v>442</v>
      </c>
      <c r="D317" s="7" t="s">
        <v>15</v>
      </c>
      <c r="E317" s="8" t="n">
        <v>46273</v>
      </c>
      <c r="F317" s="9" t="n">
        <v>0</v>
      </c>
      <c r="G317" s="9" t="n">
        <v>27000000</v>
      </c>
      <c r="H317" s="7" t="s">
        <v>16</v>
      </c>
    </row>
    <row r="318" customFormat="false" ht="15" hidden="false" customHeight="false" outlineLevel="0" collapsed="false">
      <c r="A318" s="5" t="s">
        <v>443</v>
      </c>
      <c r="B318" s="5" t="s">
        <v>444</v>
      </c>
      <c r="C318" s="5" t="s">
        <v>12</v>
      </c>
      <c r="D318" s="5" t="s">
        <v>13</v>
      </c>
      <c r="E318" s="5"/>
      <c r="F318" s="6" t="n">
        <f aca="false">SUMIFS(Base!$G:$G,Base!$A:$A,$A318)</f>
        <v>0</v>
      </c>
      <c r="G318" s="6" t="n">
        <f aca="false">SUMIFS(Base!$I:$I,Base!$A:$A,$A318)</f>
        <v>5800000</v>
      </c>
      <c r="H318" s="5"/>
    </row>
    <row r="319" customFormat="false" ht="15" hidden="true" customHeight="false" outlineLevel="1" collapsed="false">
      <c r="A319" s="7" t="s">
        <v>443</v>
      </c>
      <c r="B319" s="7" t="s">
        <v>444</v>
      </c>
      <c r="C319" s="7" t="s">
        <v>445</v>
      </c>
      <c r="D319" s="7" t="s">
        <v>15</v>
      </c>
      <c r="E319" s="8" t="n">
        <v>46268</v>
      </c>
      <c r="F319" s="9" t="n">
        <v>0</v>
      </c>
      <c r="G319" s="9" t="n">
        <v>5800000</v>
      </c>
      <c r="H319" s="7" t="s">
        <v>16</v>
      </c>
    </row>
    <row r="320" customFormat="false" ht="15" hidden="false" customHeight="false" outlineLevel="0" collapsed="false">
      <c r="A320" s="5" t="s">
        <v>446</v>
      </c>
      <c r="B320" s="5" t="s">
        <v>447</v>
      </c>
      <c r="C320" s="5" t="s">
        <v>37</v>
      </c>
      <c r="D320" s="5" t="s">
        <v>13</v>
      </c>
      <c r="E320" s="5"/>
      <c r="F320" s="6" t="n">
        <f aca="false">SUMIFS(Base!$G:$G,Base!$A:$A,$A320)</f>
        <v>0</v>
      </c>
      <c r="G320" s="6" t="n">
        <f aca="false">SUMIFS(Base!$I:$I,Base!$A:$A,$A320)</f>
        <v>23379000</v>
      </c>
      <c r="H320" s="5"/>
    </row>
    <row r="321" customFormat="false" ht="15" hidden="true" customHeight="false" outlineLevel="1" collapsed="false">
      <c r="A321" s="7" t="s">
        <v>446</v>
      </c>
      <c r="B321" s="7" t="s">
        <v>447</v>
      </c>
      <c r="C321" s="7" t="s">
        <v>448</v>
      </c>
      <c r="D321" s="7" t="s">
        <v>20</v>
      </c>
      <c r="E321" s="8" t="n">
        <v>46269</v>
      </c>
      <c r="F321" s="9" t="n">
        <v>0</v>
      </c>
      <c r="G321" s="9" t="n">
        <v>4000000</v>
      </c>
      <c r="H321" s="7" t="s">
        <v>26</v>
      </c>
    </row>
    <row r="322" customFormat="false" ht="15" hidden="true" customHeight="false" outlineLevel="1" collapsed="false">
      <c r="A322" s="7" t="s">
        <v>446</v>
      </c>
      <c r="B322" s="7" t="s">
        <v>447</v>
      </c>
      <c r="C322" s="7" t="s">
        <v>449</v>
      </c>
      <c r="D322" s="7" t="s">
        <v>20</v>
      </c>
      <c r="E322" s="8" t="n">
        <v>46269</v>
      </c>
      <c r="F322" s="9" t="n">
        <v>0</v>
      </c>
      <c r="G322" s="9" t="n">
        <v>17000000</v>
      </c>
      <c r="H322" s="7" t="s">
        <v>26</v>
      </c>
    </row>
    <row r="323" customFormat="false" ht="15" hidden="true" customHeight="false" outlineLevel="1" collapsed="false">
      <c r="A323" s="7" t="s">
        <v>446</v>
      </c>
      <c r="B323" s="7" t="s">
        <v>447</v>
      </c>
      <c r="C323" s="7" t="s">
        <v>450</v>
      </c>
      <c r="D323" s="7" t="s">
        <v>20</v>
      </c>
      <c r="E323" s="8" t="n">
        <v>46295</v>
      </c>
      <c r="F323" s="9" t="n">
        <v>0</v>
      </c>
      <c r="G323" s="9" t="n">
        <v>2379000</v>
      </c>
      <c r="H323" s="7" t="s">
        <v>26</v>
      </c>
    </row>
    <row r="324" customFormat="false" ht="15" hidden="false" customHeight="false" outlineLevel="0" collapsed="false">
      <c r="A324" s="5" t="s">
        <v>451</v>
      </c>
      <c r="B324" s="5" t="s">
        <v>452</v>
      </c>
      <c r="C324" s="5" t="s">
        <v>12</v>
      </c>
      <c r="D324" s="5" t="s">
        <v>13</v>
      </c>
      <c r="E324" s="5"/>
      <c r="F324" s="6" t="n">
        <f aca="false">SUMIFS(Base!$G:$G,Base!$A:$A,$A324)</f>
        <v>53039.07</v>
      </c>
      <c r="G324" s="6" t="n">
        <f aca="false">SUMIFS(Base!$I:$I,Base!$A:$A,$A324)</f>
        <v>332192</v>
      </c>
      <c r="H324" s="5"/>
    </row>
    <row r="325" customFormat="false" ht="15" hidden="true" customHeight="false" outlineLevel="1" collapsed="false">
      <c r="A325" s="7" t="s">
        <v>451</v>
      </c>
      <c r="B325" s="7" t="s">
        <v>452</v>
      </c>
      <c r="C325" s="7" t="s">
        <v>453</v>
      </c>
      <c r="D325" s="7" t="s">
        <v>20</v>
      </c>
      <c r="E325" s="8" t="n">
        <v>46295</v>
      </c>
      <c r="F325" s="9" t="n">
        <v>53039.07</v>
      </c>
      <c r="G325" s="9" t="n">
        <v>332192</v>
      </c>
      <c r="H325" s="7" t="s">
        <v>16</v>
      </c>
    </row>
    <row r="326" customFormat="false" ht="15" hidden="false" customHeight="false" outlineLevel="0" collapsed="false">
      <c r="A326" s="5" t="s">
        <v>454</v>
      </c>
      <c r="B326" s="5" t="s">
        <v>455</v>
      </c>
      <c r="C326" s="5" t="s">
        <v>37</v>
      </c>
      <c r="D326" s="5" t="s">
        <v>13</v>
      </c>
      <c r="E326" s="5"/>
      <c r="F326" s="6" t="n">
        <f aca="false">SUMIFS(Base!$G:$G,Base!$A:$A,$A326)</f>
        <v>427659.65</v>
      </c>
      <c r="G326" s="6" t="n">
        <f aca="false">SUMIFS(Base!$I:$I,Base!$A:$A,$A326)</f>
        <v>2318700</v>
      </c>
      <c r="H326" s="5"/>
    </row>
    <row r="327" customFormat="false" ht="15" hidden="true" customHeight="false" outlineLevel="1" collapsed="false">
      <c r="A327" s="7" t="s">
        <v>454</v>
      </c>
      <c r="B327" s="7" t="s">
        <v>455</v>
      </c>
      <c r="C327" s="7" t="s">
        <v>456</v>
      </c>
      <c r="D327" s="7" t="s">
        <v>20</v>
      </c>
      <c r="E327" s="8" t="n">
        <v>46286</v>
      </c>
      <c r="F327" s="9" t="n">
        <v>367019.31</v>
      </c>
      <c r="G327" s="9" t="n">
        <v>2298700</v>
      </c>
      <c r="H327" s="7" t="s">
        <v>26</v>
      </c>
    </row>
    <row r="328" customFormat="false" ht="15" hidden="true" customHeight="false" outlineLevel="1" collapsed="false">
      <c r="A328" s="7" t="s">
        <v>454</v>
      </c>
      <c r="B328" s="7" t="s">
        <v>455</v>
      </c>
      <c r="C328" s="7" t="s">
        <v>457</v>
      </c>
      <c r="D328" s="7" t="s">
        <v>31</v>
      </c>
      <c r="E328" s="8" t="n">
        <v>46293</v>
      </c>
      <c r="F328" s="9" t="n">
        <v>28723.53</v>
      </c>
      <c r="G328" s="9" t="n">
        <v>-179900</v>
      </c>
      <c r="H328" s="7" t="s">
        <v>26</v>
      </c>
    </row>
    <row r="329" customFormat="false" ht="15" hidden="true" customHeight="false" outlineLevel="1" collapsed="false">
      <c r="A329" s="7" t="s">
        <v>454</v>
      </c>
      <c r="B329" s="7" t="s">
        <v>455</v>
      </c>
      <c r="C329" s="7" t="s">
        <v>458</v>
      </c>
      <c r="D329" s="7" t="s">
        <v>20</v>
      </c>
      <c r="E329" s="8" t="n">
        <v>46293</v>
      </c>
      <c r="F329" s="9" t="n">
        <v>31916.81</v>
      </c>
      <c r="G329" s="9" t="n">
        <v>199900</v>
      </c>
      <c r="H329" s="7" t="s">
        <v>26</v>
      </c>
    </row>
    <row r="330" customFormat="false" ht="15" hidden="false" customHeight="false" outlineLevel="0" collapsed="false">
      <c r="A330" s="5" t="s">
        <v>459</v>
      </c>
      <c r="B330" s="5" t="s">
        <v>460</v>
      </c>
      <c r="C330" s="5" t="s">
        <v>12</v>
      </c>
      <c r="D330" s="5" t="s">
        <v>13</v>
      </c>
      <c r="E330" s="5"/>
      <c r="F330" s="6" t="n">
        <f aca="false">SUMIFS(Base!$G:$G,Base!$A:$A,$A330)</f>
        <v>0</v>
      </c>
      <c r="G330" s="6" t="n">
        <f aca="false">SUMIFS(Base!$I:$I,Base!$A:$A,$A330)</f>
        <v>18000</v>
      </c>
      <c r="H330" s="5"/>
    </row>
    <row r="331" customFormat="false" ht="15" hidden="true" customHeight="false" outlineLevel="1" collapsed="false">
      <c r="A331" s="7" t="s">
        <v>459</v>
      </c>
      <c r="B331" s="7" t="s">
        <v>460</v>
      </c>
      <c r="C331" s="7" t="s">
        <v>461</v>
      </c>
      <c r="D331" s="7" t="s">
        <v>20</v>
      </c>
      <c r="E331" s="8" t="n">
        <v>46295</v>
      </c>
      <c r="F331" s="9" t="n">
        <v>0</v>
      </c>
      <c r="G331" s="9" t="n">
        <v>18000</v>
      </c>
      <c r="H331" s="7" t="s">
        <v>26</v>
      </c>
    </row>
    <row r="332" customFormat="false" ht="15" hidden="false" customHeight="false" outlineLevel="0" collapsed="false">
      <c r="A332" s="5" t="s">
        <v>462</v>
      </c>
      <c r="B332" s="5" t="s">
        <v>463</v>
      </c>
      <c r="C332" s="5" t="s">
        <v>99</v>
      </c>
      <c r="D332" s="5" t="s">
        <v>13</v>
      </c>
      <c r="E332" s="5"/>
      <c r="F332" s="6" t="n">
        <f aca="false">SUMIFS(Base!$G:$G,Base!$A:$A,$A332)</f>
        <v>0</v>
      </c>
      <c r="G332" s="6" t="n">
        <f aca="false">SUMIFS(Base!$I:$I,Base!$A:$A,$A332)</f>
        <v>40000</v>
      </c>
      <c r="H332" s="5"/>
    </row>
    <row r="333" customFormat="false" ht="15" hidden="true" customHeight="false" outlineLevel="1" collapsed="false">
      <c r="A333" s="7" t="s">
        <v>462</v>
      </c>
      <c r="B333" s="7" t="s">
        <v>463</v>
      </c>
      <c r="C333" s="7" t="s">
        <v>464</v>
      </c>
      <c r="D333" s="7" t="s">
        <v>20</v>
      </c>
      <c r="E333" s="8" t="n">
        <v>46269</v>
      </c>
      <c r="F333" s="9" t="n">
        <v>0</v>
      </c>
      <c r="G333" s="9" t="n">
        <v>15000</v>
      </c>
      <c r="H333" s="7" t="s">
        <v>26</v>
      </c>
    </row>
    <row r="334" customFormat="false" ht="15" hidden="true" customHeight="false" outlineLevel="1" collapsed="false">
      <c r="A334" s="7" t="s">
        <v>462</v>
      </c>
      <c r="B334" s="7" t="s">
        <v>463</v>
      </c>
      <c r="C334" s="7" t="s">
        <v>465</v>
      </c>
      <c r="D334" s="7" t="s">
        <v>20</v>
      </c>
      <c r="E334" s="8" t="n">
        <v>46294</v>
      </c>
      <c r="F334" s="9" t="n">
        <v>0</v>
      </c>
      <c r="G334" s="9" t="n">
        <v>25000</v>
      </c>
      <c r="H334" s="7" t="s">
        <v>16</v>
      </c>
    </row>
    <row r="335" customFormat="false" ht="15" hidden="false" customHeight="false" outlineLevel="0" collapsed="false">
      <c r="A335" s="5" t="s">
        <v>466</v>
      </c>
      <c r="B335" s="5" t="s">
        <v>467</v>
      </c>
      <c r="C335" s="5" t="s">
        <v>99</v>
      </c>
      <c r="D335" s="5" t="s">
        <v>13</v>
      </c>
      <c r="E335" s="5"/>
      <c r="F335" s="6" t="n">
        <f aca="false">SUMIFS(Base!$G:$G,Base!$A:$A,$A335)</f>
        <v>0</v>
      </c>
      <c r="G335" s="6" t="n">
        <f aca="false">SUMIFS(Base!$I:$I,Base!$A:$A,$A335)</f>
        <v>4140000</v>
      </c>
      <c r="H335" s="5"/>
    </row>
    <row r="336" customFormat="false" ht="15" hidden="true" customHeight="false" outlineLevel="1" collapsed="false">
      <c r="A336" s="7" t="s">
        <v>466</v>
      </c>
      <c r="B336" s="7" t="s">
        <v>467</v>
      </c>
      <c r="C336" s="7" t="s">
        <v>468</v>
      </c>
      <c r="D336" s="7" t="s">
        <v>20</v>
      </c>
      <c r="E336" s="8" t="n">
        <v>46287</v>
      </c>
      <c r="F336" s="9" t="n">
        <v>0</v>
      </c>
      <c r="G336" s="9" t="n">
        <v>2600000</v>
      </c>
      <c r="H336" s="7" t="s">
        <v>40</v>
      </c>
    </row>
    <row r="337" customFormat="false" ht="15" hidden="true" customHeight="false" outlineLevel="1" collapsed="false">
      <c r="A337" s="7" t="s">
        <v>466</v>
      </c>
      <c r="B337" s="7" t="s">
        <v>467</v>
      </c>
      <c r="C337" s="7" t="s">
        <v>469</v>
      </c>
      <c r="D337" s="7" t="s">
        <v>20</v>
      </c>
      <c r="E337" s="8" t="n">
        <v>46287</v>
      </c>
      <c r="F337" s="9" t="n">
        <v>0</v>
      </c>
      <c r="G337" s="9" t="n">
        <v>1540000</v>
      </c>
      <c r="H337" s="7" t="s">
        <v>40</v>
      </c>
    </row>
    <row r="338" customFormat="false" ht="15" hidden="false" customHeight="false" outlineLevel="0" collapsed="false">
      <c r="A338" s="5" t="s">
        <v>470</v>
      </c>
      <c r="B338" s="5" t="s">
        <v>471</v>
      </c>
      <c r="C338" s="5" t="s">
        <v>12</v>
      </c>
      <c r="D338" s="5" t="s">
        <v>13</v>
      </c>
      <c r="E338" s="5"/>
      <c r="F338" s="6" t="n">
        <f aca="false">SUMIFS(Base!$G:$G,Base!$A:$A,$A338)</f>
        <v>0</v>
      </c>
      <c r="G338" s="6" t="n">
        <f aca="false">SUMIFS(Base!$I:$I,Base!$A:$A,$A338)</f>
        <v>1500000</v>
      </c>
      <c r="H338" s="5"/>
    </row>
    <row r="339" customFormat="false" ht="15" hidden="true" customHeight="false" outlineLevel="1" collapsed="false">
      <c r="A339" s="7" t="s">
        <v>470</v>
      </c>
      <c r="B339" s="7" t="s">
        <v>471</v>
      </c>
      <c r="C339" s="7" t="s">
        <v>472</v>
      </c>
      <c r="D339" s="7" t="s">
        <v>15</v>
      </c>
      <c r="E339" s="8" t="n">
        <v>46294</v>
      </c>
      <c r="F339" s="9" t="n">
        <v>0</v>
      </c>
      <c r="G339" s="9" t="n">
        <v>1500000</v>
      </c>
      <c r="H339" s="7" t="s">
        <v>26</v>
      </c>
    </row>
    <row r="340" customFormat="false" ht="15" hidden="false" customHeight="false" outlineLevel="0" collapsed="false">
      <c r="A340" s="5" t="s">
        <v>473</v>
      </c>
      <c r="B340" s="5" t="s">
        <v>474</v>
      </c>
      <c r="C340" s="5" t="s">
        <v>12</v>
      </c>
      <c r="D340" s="5" t="s">
        <v>13</v>
      </c>
      <c r="E340" s="5"/>
      <c r="F340" s="6" t="n">
        <f aca="false">SUMIFS(Base!$G:$G,Base!$A:$A,$A340)</f>
        <v>42373</v>
      </c>
      <c r="G340" s="6" t="n">
        <f aca="false">SUMIFS(Base!$I:$I,Base!$A:$A,$A340)</f>
        <v>495460</v>
      </c>
      <c r="H340" s="5"/>
    </row>
    <row r="341" customFormat="false" ht="15" hidden="true" customHeight="false" outlineLevel="1" collapsed="false">
      <c r="A341" s="7" t="s">
        <v>473</v>
      </c>
      <c r="B341" s="7" t="s">
        <v>474</v>
      </c>
      <c r="C341" s="7" t="s">
        <v>475</v>
      </c>
      <c r="D341" s="7" t="s">
        <v>20</v>
      </c>
      <c r="E341" s="8" t="n">
        <v>46290</v>
      </c>
      <c r="F341" s="9" t="n">
        <v>42373</v>
      </c>
      <c r="G341" s="9" t="n">
        <v>495460</v>
      </c>
      <c r="H341" s="7" t="s">
        <v>16</v>
      </c>
    </row>
    <row r="342" customFormat="false" ht="15" hidden="false" customHeight="false" outlineLevel="0" collapsed="false">
      <c r="A342" s="5" t="s">
        <v>476</v>
      </c>
      <c r="B342" s="5" t="s">
        <v>477</v>
      </c>
      <c r="C342" s="5" t="s">
        <v>99</v>
      </c>
      <c r="D342" s="5" t="s">
        <v>13</v>
      </c>
      <c r="E342" s="5"/>
      <c r="F342" s="6" t="n">
        <f aca="false">SUMIFS(Base!$G:$G,Base!$A:$A,$A342)</f>
        <v>0</v>
      </c>
      <c r="G342" s="6" t="n">
        <f aca="false">SUMIFS(Base!$I:$I,Base!$A:$A,$A342)</f>
        <v>149082</v>
      </c>
      <c r="H342" s="5"/>
    </row>
    <row r="343" customFormat="false" ht="15" hidden="true" customHeight="false" outlineLevel="1" collapsed="false">
      <c r="A343" s="7" t="s">
        <v>476</v>
      </c>
      <c r="B343" s="7" t="s">
        <v>477</v>
      </c>
      <c r="C343" s="7" t="s">
        <v>478</v>
      </c>
      <c r="D343" s="7" t="s">
        <v>20</v>
      </c>
      <c r="E343" s="8" t="n">
        <v>46280</v>
      </c>
      <c r="F343" s="9" t="n">
        <v>0</v>
      </c>
      <c r="G343" s="9" t="n">
        <v>65179</v>
      </c>
      <c r="H343" s="7" t="s">
        <v>16</v>
      </c>
    </row>
    <row r="344" customFormat="false" ht="15" hidden="true" customHeight="false" outlineLevel="1" collapsed="false">
      <c r="A344" s="7" t="s">
        <v>476</v>
      </c>
      <c r="B344" s="7" t="s">
        <v>477</v>
      </c>
      <c r="C344" s="7" t="s">
        <v>479</v>
      </c>
      <c r="D344" s="7" t="s">
        <v>20</v>
      </c>
      <c r="E344" s="8" t="n">
        <v>46294</v>
      </c>
      <c r="F344" s="9" t="n">
        <v>0</v>
      </c>
      <c r="G344" s="9" t="n">
        <v>83903</v>
      </c>
      <c r="H344" s="7" t="s">
        <v>16</v>
      </c>
    </row>
    <row r="345" customFormat="false" ht="15" hidden="false" customHeight="false" outlineLevel="0" collapsed="false">
      <c r="A345" s="5" t="s">
        <v>480</v>
      </c>
      <c r="B345" s="5" t="s">
        <v>481</v>
      </c>
      <c r="C345" s="5" t="s">
        <v>12</v>
      </c>
      <c r="D345" s="5" t="s">
        <v>13</v>
      </c>
      <c r="E345" s="5"/>
      <c r="F345" s="6" t="n">
        <f aca="false">SUMIFS(Base!$G:$G,Base!$A:$A,$A345)</f>
        <v>0</v>
      </c>
      <c r="G345" s="6" t="n">
        <f aca="false">SUMIFS(Base!$I:$I,Base!$A:$A,$A345)</f>
        <v>19500</v>
      </c>
      <c r="H345" s="5"/>
    </row>
    <row r="346" customFormat="false" ht="15" hidden="true" customHeight="false" outlineLevel="1" collapsed="false">
      <c r="A346" s="7" t="s">
        <v>480</v>
      </c>
      <c r="B346" s="7" t="s">
        <v>481</v>
      </c>
      <c r="C346" s="7" t="s">
        <v>482</v>
      </c>
      <c r="D346" s="7" t="s">
        <v>20</v>
      </c>
      <c r="E346" s="8" t="n">
        <v>46279</v>
      </c>
      <c r="F346" s="9" t="n">
        <v>0</v>
      </c>
      <c r="G346" s="9" t="n">
        <v>19500</v>
      </c>
      <c r="H346" s="7" t="s">
        <v>26</v>
      </c>
    </row>
    <row r="347" customFormat="false" ht="15" hidden="false" customHeight="false" outlineLevel="0" collapsed="false">
      <c r="A347" s="5" t="s">
        <v>483</v>
      </c>
      <c r="B347" s="5" t="s">
        <v>484</v>
      </c>
      <c r="C347" s="5" t="s">
        <v>12</v>
      </c>
      <c r="D347" s="5" t="s">
        <v>13</v>
      </c>
      <c r="E347" s="5"/>
      <c r="F347" s="6" t="n">
        <f aca="false">SUMIFS(Base!$G:$G,Base!$A:$A,$A347)</f>
        <v>29698.91</v>
      </c>
      <c r="G347" s="6" t="n">
        <f aca="false">SUMIFS(Base!$I:$I,Base!$A:$A,$A347)</f>
        <v>186009</v>
      </c>
      <c r="H347" s="5"/>
    </row>
    <row r="348" customFormat="false" ht="15" hidden="true" customHeight="false" outlineLevel="1" collapsed="false">
      <c r="A348" s="7" t="s">
        <v>483</v>
      </c>
      <c r="B348" s="7" t="s">
        <v>484</v>
      </c>
      <c r="C348" s="7" t="s">
        <v>485</v>
      </c>
      <c r="D348" s="7" t="s">
        <v>20</v>
      </c>
      <c r="E348" s="8" t="n">
        <v>46283</v>
      </c>
      <c r="F348" s="9" t="n">
        <v>29698.91</v>
      </c>
      <c r="G348" s="9" t="n">
        <v>186009</v>
      </c>
      <c r="H348" s="7" t="s">
        <v>16</v>
      </c>
    </row>
    <row r="349" customFormat="false" ht="15" hidden="false" customHeight="false" outlineLevel="0" collapsed="false">
      <c r="A349" s="5" t="s">
        <v>486</v>
      </c>
      <c r="B349" s="5" t="s">
        <v>487</v>
      </c>
      <c r="C349" s="5" t="s">
        <v>12</v>
      </c>
      <c r="D349" s="5" t="s">
        <v>13</v>
      </c>
      <c r="E349" s="5"/>
      <c r="F349" s="6" t="n">
        <f aca="false">SUMIFS(Base!$G:$G,Base!$A:$A,$A349)</f>
        <v>0</v>
      </c>
      <c r="G349" s="6" t="n">
        <f aca="false">SUMIFS(Base!$I:$I,Base!$A:$A,$A349)</f>
        <v>203000</v>
      </c>
      <c r="H349" s="5"/>
    </row>
    <row r="350" customFormat="false" ht="15" hidden="true" customHeight="false" outlineLevel="1" collapsed="false">
      <c r="A350" s="7" t="s">
        <v>486</v>
      </c>
      <c r="B350" s="7" t="s">
        <v>487</v>
      </c>
      <c r="C350" s="7" t="s">
        <v>488</v>
      </c>
      <c r="D350" s="7" t="s">
        <v>15</v>
      </c>
      <c r="E350" s="8" t="n">
        <v>46286</v>
      </c>
      <c r="F350" s="9" t="n">
        <v>0</v>
      </c>
      <c r="G350" s="9" t="n">
        <v>203000</v>
      </c>
      <c r="H350" s="7" t="s">
        <v>16</v>
      </c>
    </row>
    <row r="351" customFormat="false" ht="15" hidden="false" customHeight="false" outlineLevel="0" collapsed="false">
      <c r="A351" s="5" t="s">
        <v>489</v>
      </c>
      <c r="B351" s="5" t="s">
        <v>490</v>
      </c>
      <c r="C351" s="5" t="s">
        <v>491</v>
      </c>
      <c r="D351" s="5" t="s">
        <v>13</v>
      </c>
      <c r="E351" s="5"/>
      <c r="F351" s="6" t="n">
        <f aca="false">SUMIFS(Base!$G:$G,Base!$A:$A,$A351)</f>
        <v>0</v>
      </c>
      <c r="G351" s="6" t="n">
        <f aca="false">SUMIFS(Base!$I:$I,Base!$A:$A,$A351)</f>
        <v>230000</v>
      </c>
      <c r="H351" s="5"/>
    </row>
    <row r="352" customFormat="false" ht="15" hidden="true" customHeight="false" outlineLevel="1" collapsed="false">
      <c r="A352" s="7" t="s">
        <v>489</v>
      </c>
      <c r="B352" s="7" t="s">
        <v>490</v>
      </c>
      <c r="C352" s="7" t="s">
        <v>492</v>
      </c>
      <c r="D352" s="7" t="s">
        <v>20</v>
      </c>
      <c r="E352" s="8" t="n">
        <v>46274</v>
      </c>
      <c r="F352" s="9" t="n">
        <v>0</v>
      </c>
      <c r="G352" s="9" t="n">
        <v>23000</v>
      </c>
      <c r="H352" s="7" t="s">
        <v>16</v>
      </c>
    </row>
    <row r="353" customFormat="false" ht="15" hidden="true" customHeight="false" outlineLevel="1" collapsed="false">
      <c r="A353" s="7" t="s">
        <v>489</v>
      </c>
      <c r="B353" s="7" t="s">
        <v>490</v>
      </c>
      <c r="C353" s="7" t="s">
        <v>493</v>
      </c>
      <c r="D353" s="7" t="s">
        <v>20</v>
      </c>
      <c r="E353" s="8" t="n">
        <v>46274</v>
      </c>
      <c r="F353" s="9" t="n">
        <v>0</v>
      </c>
      <c r="G353" s="9" t="n">
        <v>23000</v>
      </c>
      <c r="H353" s="7" t="s">
        <v>16</v>
      </c>
    </row>
    <row r="354" customFormat="false" ht="15" hidden="true" customHeight="false" outlineLevel="1" collapsed="false">
      <c r="A354" s="7" t="s">
        <v>489</v>
      </c>
      <c r="B354" s="7" t="s">
        <v>490</v>
      </c>
      <c r="C354" s="7" t="s">
        <v>494</v>
      </c>
      <c r="D354" s="7" t="s">
        <v>20</v>
      </c>
      <c r="E354" s="8" t="n">
        <v>46274</v>
      </c>
      <c r="F354" s="9" t="n">
        <v>0</v>
      </c>
      <c r="G354" s="9" t="n">
        <v>33000</v>
      </c>
      <c r="H354" s="7" t="s">
        <v>16</v>
      </c>
    </row>
    <row r="355" customFormat="false" ht="15" hidden="true" customHeight="false" outlineLevel="1" collapsed="false">
      <c r="A355" s="7" t="s">
        <v>489</v>
      </c>
      <c r="B355" s="7" t="s">
        <v>490</v>
      </c>
      <c r="C355" s="7" t="s">
        <v>495</v>
      </c>
      <c r="D355" s="7" t="s">
        <v>20</v>
      </c>
      <c r="E355" s="8" t="n">
        <v>46274</v>
      </c>
      <c r="F355" s="9" t="n">
        <v>0</v>
      </c>
      <c r="G355" s="9" t="n">
        <v>46000</v>
      </c>
      <c r="H355" s="7" t="s">
        <v>16</v>
      </c>
    </row>
    <row r="356" customFormat="false" ht="15" hidden="true" customHeight="false" outlineLevel="1" collapsed="false">
      <c r="A356" s="7" t="s">
        <v>489</v>
      </c>
      <c r="B356" s="7" t="s">
        <v>490</v>
      </c>
      <c r="C356" s="7" t="s">
        <v>496</v>
      </c>
      <c r="D356" s="7" t="s">
        <v>20</v>
      </c>
      <c r="E356" s="8" t="n">
        <v>46274</v>
      </c>
      <c r="F356" s="9" t="n">
        <v>0</v>
      </c>
      <c r="G356" s="9" t="n">
        <v>28000</v>
      </c>
      <c r="H356" s="7" t="s">
        <v>26</v>
      </c>
    </row>
    <row r="357" customFormat="false" ht="15" hidden="true" customHeight="false" outlineLevel="1" collapsed="false">
      <c r="A357" s="7" t="s">
        <v>489</v>
      </c>
      <c r="B357" s="7" t="s">
        <v>490</v>
      </c>
      <c r="C357" s="7" t="s">
        <v>497</v>
      </c>
      <c r="D357" s="7" t="s">
        <v>20</v>
      </c>
      <c r="E357" s="8" t="n">
        <v>46275</v>
      </c>
      <c r="F357" s="9" t="n">
        <v>0</v>
      </c>
      <c r="G357" s="9" t="n">
        <v>20000</v>
      </c>
      <c r="H357" s="7" t="s">
        <v>26</v>
      </c>
    </row>
    <row r="358" customFormat="false" ht="15" hidden="true" customHeight="false" outlineLevel="1" collapsed="false">
      <c r="A358" s="7" t="s">
        <v>489</v>
      </c>
      <c r="B358" s="7" t="s">
        <v>490</v>
      </c>
      <c r="C358" s="7" t="s">
        <v>498</v>
      </c>
      <c r="D358" s="7" t="s">
        <v>20</v>
      </c>
      <c r="E358" s="8" t="n">
        <v>46275</v>
      </c>
      <c r="F358" s="9" t="n">
        <v>0</v>
      </c>
      <c r="G358" s="9" t="n">
        <v>26000</v>
      </c>
      <c r="H358" s="7" t="s">
        <v>16</v>
      </c>
    </row>
    <row r="359" customFormat="false" ht="15" hidden="true" customHeight="false" outlineLevel="1" collapsed="false">
      <c r="A359" s="7" t="s">
        <v>489</v>
      </c>
      <c r="B359" s="7" t="s">
        <v>490</v>
      </c>
      <c r="C359" s="7" t="s">
        <v>499</v>
      </c>
      <c r="D359" s="7" t="s">
        <v>20</v>
      </c>
      <c r="E359" s="8" t="n">
        <v>46275</v>
      </c>
      <c r="F359" s="9" t="n">
        <v>0</v>
      </c>
      <c r="G359" s="9" t="n">
        <v>23000</v>
      </c>
      <c r="H359" s="7" t="s">
        <v>16</v>
      </c>
    </row>
    <row r="360" customFormat="false" ht="15" hidden="true" customHeight="false" outlineLevel="1" collapsed="false">
      <c r="A360" s="7" t="s">
        <v>489</v>
      </c>
      <c r="B360" s="7" t="s">
        <v>490</v>
      </c>
      <c r="C360" s="7" t="s">
        <v>500</v>
      </c>
      <c r="D360" s="7" t="s">
        <v>20</v>
      </c>
      <c r="E360" s="8" t="n">
        <v>46275</v>
      </c>
      <c r="F360" s="9" t="n">
        <v>0</v>
      </c>
      <c r="G360" s="9" t="n">
        <v>8000</v>
      </c>
      <c r="H360" s="7" t="s">
        <v>16</v>
      </c>
    </row>
    <row r="361" customFormat="false" ht="15" hidden="false" customHeight="false" outlineLevel="0" collapsed="false">
      <c r="A361" s="5" t="s">
        <v>501</v>
      </c>
      <c r="B361" s="5" t="s">
        <v>502</v>
      </c>
      <c r="C361" s="5" t="s">
        <v>12</v>
      </c>
      <c r="D361" s="5" t="s">
        <v>13</v>
      </c>
      <c r="E361" s="5"/>
      <c r="F361" s="6" t="n">
        <f aca="false">SUMIFS(Base!$G:$G,Base!$A:$A,$A361)</f>
        <v>17563.03</v>
      </c>
      <c r="G361" s="6" t="n">
        <f aca="false">SUMIFS(Base!$I:$I,Base!$A:$A,$A361)</f>
        <v>110000.03</v>
      </c>
      <c r="H361" s="5"/>
    </row>
    <row r="362" customFormat="false" ht="15" hidden="true" customHeight="false" outlineLevel="1" collapsed="false">
      <c r="A362" s="7" t="s">
        <v>501</v>
      </c>
      <c r="B362" s="7" t="s">
        <v>502</v>
      </c>
      <c r="C362" s="7" t="s">
        <v>503</v>
      </c>
      <c r="D362" s="7" t="s">
        <v>20</v>
      </c>
      <c r="E362" s="8" t="n">
        <v>46268</v>
      </c>
      <c r="F362" s="9" t="n">
        <v>17563.03</v>
      </c>
      <c r="G362" s="9" t="n">
        <v>110000.03</v>
      </c>
      <c r="H362" s="7" t="s">
        <v>26</v>
      </c>
    </row>
    <row r="363" customFormat="false" ht="15" hidden="false" customHeight="false" outlineLevel="0" collapsed="false">
      <c r="A363" s="5" t="s">
        <v>504</v>
      </c>
      <c r="B363" s="5" t="s">
        <v>505</v>
      </c>
      <c r="C363" s="5" t="s">
        <v>12</v>
      </c>
      <c r="D363" s="5" t="s">
        <v>13</v>
      </c>
      <c r="E363" s="5"/>
      <c r="F363" s="6" t="n">
        <f aca="false">SUMIFS(Base!$G:$G,Base!$A:$A,$A363)</f>
        <v>760000</v>
      </c>
      <c r="G363" s="6" t="n">
        <f aca="false">SUMIFS(Base!$I:$I,Base!$A:$A,$A363)</f>
        <v>4760000</v>
      </c>
      <c r="H363" s="5"/>
    </row>
    <row r="364" customFormat="false" ht="15" hidden="true" customHeight="false" outlineLevel="1" collapsed="false">
      <c r="A364" s="7" t="s">
        <v>504</v>
      </c>
      <c r="B364" s="7" t="s">
        <v>505</v>
      </c>
      <c r="C364" s="7" t="s">
        <v>506</v>
      </c>
      <c r="D364" s="7" t="s">
        <v>20</v>
      </c>
      <c r="E364" s="8" t="n">
        <v>46291</v>
      </c>
      <c r="F364" s="9" t="n">
        <v>760000</v>
      </c>
      <c r="G364" s="9" t="n">
        <v>4760000</v>
      </c>
      <c r="H364" s="7" t="s">
        <v>40</v>
      </c>
    </row>
    <row r="365" customFormat="false" ht="15" hidden="false" customHeight="false" outlineLevel="0" collapsed="false">
      <c r="A365" s="5" t="s">
        <v>507</v>
      </c>
      <c r="B365" s="5" t="s">
        <v>508</v>
      </c>
      <c r="C365" s="5" t="s">
        <v>37</v>
      </c>
      <c r="D365" s="5" t="s">
        <v>13</v>
      </c>
      <c r="E365" s="5"/>
      <c r="F365" s="6" t="n">
        <f aca="false">SUMIFS(Base!$G:$G,Base!$A:$A,$A365)</f>
        <v>0</v>
      </c>
      <c r="G365" s="6" t="n">
        <f aca="false">SUMIFS(Base!$I:$I,Base!$A:$A,$A365)</f>
        <v>1044853</v>
      </c>
      <c r="H365" s="5"/>
    </row>
    <row r="366" customFormat="false" ht="15" hidden="true" customHeight="false" outlineLevel="1" collapsed="false">
      <c r="A366" s="7" t="s">
        <v>507</v>
      </c>
      <c r="B366" s="7" t="s">
        <v>508</v>
      </c>
      <c r="C366" s="7" t="s">
        <v>509</v>
      </c>
      <c r="D366" s="7" t="s">
        <v>20</v>
      </c>
      <c r="E366" s="8" t="n">
        <v>46266</v>
      </c>
      <c r="F366" s="9" t="n">
        <v>0</v>
      </c>
      <c r="G366" s="9" t="n">
        <v>437869</v>
      </c>
      <c r="H366" s="7" t="s">
        <v>16</v>
      </c>
    </row>
    <row r="367" customFormat="false" ht="15" hidden="true" customHeight="false" outlineLevel="1" collapsed="false">
      <c r="A367" s="7" t="s">
        <v>507</v>
      </c>
      <c r="B367" s="7" t="s">
        <v>508</v>
      </c>
      <c r="C367" s="7" t="s">
        <v>510</v>
      </c>
      <c r="D367" s="7" t="s">
        <v>20</v>
      </c>
      <c r="E367" s="8" t="n">
        <v>46281</v>
      </c>
      <c r="F367" s="9" t="n">
        <v>0</v>
      </c>
      <c r="G367" s="9" t="n">
        <v>598014</v>
      </c>
      <c r="H367" s="7" t="s">
        <v>16</v>
      </c>
    </row>
    <row r="368" customFormat="false" ht="15" hidden="true" customHeight="false" outlineLevel="1" collapsed="false">
      <c r="A368" s="7" t="s">
        <v>507</v>
      </c>
      <c r="B368" s="7" t="s">
        <v>508</v>
      </c>
      <c r="C368" s="7" t="s">
        <v>511</v>
      </c>
      <c r="D368" s="7" t="s">
        <v>20</v>
      </c>
      <c r="E368" s="8" t="n">
        <v>46288</v>
      </c>
      <c r="F368" s="9" t="n">
        <v>0</v>
      </c>
      <c r="G368" s="9" t="n">
        <v>8970</v>
      </c>
      <c r="H368" s="7" t="s">
        <v>26</v>
      </c>
    </row>
    <row r="369" customFormat="false" ht="15" hidden="false" customHeight="false" outlineLevel="0" collapsed="false">
      <c r="A369" s="5" t="s">
        <v>512</v>
      </c>
      <c r="B369" s="5" t="s">
        <v>513</v>
      </c>
      <c r="C369" s="5" t="s">
        <v>12</v>
      </c>
      <c r="D369" s="5" t="s">
        <v>13</v>
      </c>
      <c r="E369" s="5"/>
      <c r="F369" s="6" t="n">
        <f aca="false">SUMIFS(Base!$G:$G,Base!$A:$A,$A369)</f>
        <v>0</v>
      </c>
      <c r="G369" s="6" t="n">
        <f aca="false">SUMIFS(Base!$I:$I,Base!$A:$A,$A369)</f>
        <v>192600</v>
      </c>
      <c r="H369" s="5"/>
    </row>
    <row r="370" customFormat="false" ht="15" hidden="true" customHeight="false" outlineLevel="1" collapsed="false">
      <c r="A370" s="7" t="s">
        <v>512</v>
      </c>
      <c r="B370" s="7" t="s">
        <v>513</v>
      </c>
      <c r="C370" s="7" t="s">
        <v>514</v>
      </c>
      <c r="D370" s="7" t="s">
        <v>20</v>
      </c>
      <c r="E370" s="8" t="n">
        <v>46294</v>
      </c>
      <c r="F370" s="9" t="n">
        <v>0</v>
      </c>
      <c r="G370" s="9" t="n">
        <v>192600</v>
      </c>
      <c r="H370" s="7" t="s">
        <v>16</v>
      </c>
    </row>
    <row r="371" customFormat="false" ht="15" hidden="false" customHeight="false" outlineLevel="0" collapsed="false">
      <c r="A371" s="5" t="s">
        <v>515</v>
      </c>
      <c r="B371" s="5" t="s">
        <v>516</v>
      </c>
      <c r="C371" s="5" t="s">
        <v>99</v>
      </c>
      <c r="D371" s="5" t="s">
        <v>13</v>
      </c>
      <c r="E371" s="5"/>
      <c r="F371" s="6" t="n">
        <f aca="false">SUMIFS(Base!$G:$G,Base!$A:$A,$A371)</f>
        <v>83600</v>
      </c>
      <c r="G371" s="6" t="n">
        <f aca="false">SUMIFS(Base!$I:$I,Base!$A:$A,$A371)</f>
        <v>2804750</v>
      </c>
      <c r="H371" s="5"/>
    </row>
    <row r="372" customFormat="false" ht="15" hidden="true" customHeight="false" outlineLevel="1" collapsed="false">
      <c r="A372" s="7" t="s">
        <v>515</v>
      </c>
      <c r="B372" s="7" t="s">
        <v>516</v>
      </c>
      <c r="C372" s="7" t="s">
        <v>517</v>
      </c>
      <c r="D372" s="7" t="s">
        <v>20</v>
      </c>
      <c r="E372" s="8" t="n">
        <v>46269</v>
      </c>
      <c r="F372" s="9" t="n">
        <v>41800</v>
      </c>
      <c r="G372" s="9" t="n">
        <v>928210</v>
      </c>
      <c r="H372" s="7" t="s">
        <v>16</v>
      </c>
    </row>
    <row r="373" customFormat="false" ht="15" hidden="true" customHeight="false" outlineLevel="1" collapsed="false">
      <c r="A373" s="7" t="s">
        <v>515</v>
      </c>
      <c r="B373" s="7" t="s">
        <v>516</v>
      </c>
      <c r="C373" s="7" t="s">
        <v>518</v>
      </c>
      <c r="D373" s="7" t="s">
        <v>20</v>
      </c>
      <c r="E373" s="8" t="n">
        <v>46281</v>
      </c>
      <c r="F373" s="9" t="n">
        <v>41800</v>
      </c>
      <c r="G373" s="9" t="n">
        <v>1876540</v>
      </c>
      <c r="H373" s="7" t="s">
        <v>16</v>
      </c>
    </row>
    <row r="374" customFormat="false" ht="15" hidden="false" customHeight="false" outlineLevel="0" collapsed="false">
      <c r="A374" s="5" t="s">
        <v>519</v>
      </c>
      <c r="B374" s="5" t="s">
        <v>520</v>
      </c>
      <c r="C374" s="5" t="s">
        <v>99</v>
      </c>
      <c r="D374" s="5" t="s">
        <v>13</v>
      </c>
      <c r="E374" s="5"/>
      <c r="F374" s="6" t="n">
        <f aca="false">SUMIFS(Base!$G:$G,Base!$A:$A,$A374)</f>
        <v>0</v>
      </c>
      <c r="G374" s="6" t="n">
        <f aca="false">SUMIFS(Base!$I:$I,Base!$A:$A,$A374)</f>
        <v>36000</v>
      </c>
      <c r="H374" s="5"/>
    </row>
    <row r="375" customFormat="false" ht="15" hidden="true" customHeight="false" outlineLevel="1" collapsed="false">
      <c r="A375" s="7" t="s">
        <v>519</v>
      </c>
      <c r="B375" s="7" t="s">
        <v>520</v>
      </c>
      <c r="C375" s="7" t="s">
        <v>521</v>
      </c>
      <c r="D375" s="7" t="s">
        <v>20</v>
      </c>
      <c r="E375" s="8" t="n">
        <v>46268</v>
      </c>
      <c r="F375" s="9" t="n">
        <v>0</v>
      </c>
      <c r="G375" s="9" t="n">
        <v>18000</v>
      </c>
      <c r="H375" s="7" t="s">
        <v>26</v>
      </c>
    </row>
    <row r="376" customFormat="false" ht="15" hidden="true" customHeight="false" outlineLevel="1" collapsed="false">
      <c r="A376" s="7" t="s">
        <v>519</v>
      </c>
      <c r="B376" s="7" t="s">
        <v>520</v>
      </c>
      <c r="C376" s="7" t="s">
        <v>522</v>
      </c>
      <c r="D376" s="7" t="s">
        <v>20</v>
      </c>
      <c r="E376" s="8" t="n">
        <v>46287</v>
      </c>
      <c r="F376" s="9" t="n">
        <v>0</v>
      </c>
      <c r="G376" s="9" t="n">
        <v>18000</v>
      </c>
      <c r="H376" s="7" t="s">
        <v>26</v>
      </c>
    </row>
    <row r="377" customFormat="false" ht="15" hidden="false" customHeight="false" outlineLevel="0" collapsed="false">
      <c r="A377" s="5" t="s">
        <v>523</v>
      </c>
      <c r="B377" s="5" t="s">
        <v>524</v>
      </c>
      <c r="C377" s="5" t="s">
        <v>99</v>
      </c>
      <c r="D377" s="5" t="s">
        <v>13</v>
      </c>
      <c r="E377" s="5"/>
      <c r="F377" s="6" t="n">
        <f aca="false">SUMIFS(Base!$G:$G,Base!$A:$A,$A377)</f>
        <v>0</v>
      </c>
      <c r="G377" s="6" t="n">
        <f aca="false">SUMIFS(Base!$I:$I,Base!$A:$A,$A377)</f>
        <v>4789800</v>
      </c>
      <c r="H377" s="5"/>
    </row>
    <row r="378" customFormat="false" ht="15" hidden="true" customHeight="false" outlineLevel="1" collapsed="false">
      <c r="A378" s="7" t="s">
        <v>523</v>
      </c>
      <c r="B378" s="7" t="s">
        <v>524</v>
      </c>
      <c r="C378" s="7" t="s">
        <v>525</v>
      </c>
      <c r="D378" s="7" t="s">
        <v>20</v>
      </c>
      <c r="E378" s="8" t="n">
        <v>46266</v>
      </c>
      <c r="F378" s="9" t="n">
        <v>0</v>
      </c>
      <c r="G378" s="9" t="n">
        <v>139500</v>
      </c>
      <c r="H378" s="7" t="s">
        <v>40</v>
      </c>
    </row>
    <row r="379" customFormat="false" ht="15" hidden="true" customHeight="false" outlineLevel="1" collapsed="false">
      <c r="A379" s="7" t="s">
        <v>523</v>
      </c>
      <c r="B379" s="7" t="s">
        <v>524</v>
      </c>
      <c r="C379" s="7" t="s">
        <v>526</v>
      </c>
      <c r="D379" s="7" t="s">
        <v>20</v>
      </c>
      <c r="E379" s="8" t="n">
        <v>46282</v>
      </c>
      <c r="F379" s="9" t="n">
        <v>0</v>
      </c>
      <c r="G379" s="9" t="n">
        <v>4650300</v>
      </c>
      <c r="H379" s="7" t="s">
        <v>40</v>
      </c>
    </row>
    <row r="380" customFormat="false" ht="15" hidden="false" customHeight="false" outlineLevel="0" collapsed="false">
      <c r="A380" s="5" t="s">
        <v>527</v>
      </c>
      <c r="B380" s="5" t="s">
        <v>528</v>
      </c>
      <c r="C380" s="5" t="s">
        <v>99</v>
      </c>
      <c r="D380" s="5" t="s">
        <v>13</v>
      </c>
      <c r="E380" s="5"/>
      <c r="F380" s="6" t="n">
        <f aca="false">SUMIFS(Base!$G:$G,Base!$A:$A,$A380)</f>
        <v>0</v>
      </c>
      <c r="G380" s="6" t="n">
        <f aca="false">SUMIFS(Base!$I:$I,Base!$A:$A,$A380)</f>
        <v>4710000</v>
      </c>
      <c r="H380" s="5"/>
    </row>
    <row r="381" customFormat="false" ht="15" hidden="true" customHeight="false" outlineLevel="1" collapsed="false">
      <c r="A381" s="7" t="s">
        <v>527</v>
      </c>
      <c r="B381" s="7" t="s">
        <v>528</v>
      </c>
      <c r="C381" s="7" t="s">
        <v>529</v>
      </c>
      <c r="D381" s="7" t="s">
        <v>15</v>
      </c>
      <c r="E381" s="8" t="n">
        <v>46269</v>
      </c>
      <c r="F381" s="9" t="n">
        <v>0</v>
      </c>
      <c r="G381" s="9" t="n">
        <v>4500000</v>
      </c>
      <c r="H381" s="7" t="s">
        <v>16</v>
      </c>
    </row>
    <row r="382" customFormat="false" ht="15" hidden="true" customHeight="false" outlineLevel="1" collapsed="false">
      <c r="A382" s="7" t="s">
        <v>527</v>
      </c>
      <c r="B382" s="7" t="s">
        <v>528</v>
      </c>
      <c r="C382" s="7" t="s">
        <v>530</v>
      </c>
      <c r="D382" s="7" t="s">
        <v>15</v>
      </c>
      <c r="E382" s="8" t="n">
        <v>46279</v>
      </c>
      <c r="F382" s="9" t="n">
        <v>0</v>
      </c>
      <c r="G382" s="9" t="n">
        <v>210000</v>
      </c>
      <c r="H382" s="7" t="s">
        <v>16</v>
      </c>
    </row>
    <row r="383" customFormat="false" ht="15" hidden="false" customHeight="false" outlineLevel="0" collapsed="false">
      <c r="A383" s="5" t="s">
        <v>531</v>
      </c>
      <c r="B383" s="5" t="s">
        <v>532</v>
      </c>
      <c r="C383" s="5" t="s">
        <v>12</v>
      </c>
      <c r="D383" s="5" t="s">
        <v>13</v>
      </c>
      <c r="E383" s="5"/>
      <c r="F383" s="6" t="n">
        <f aca="false">SUMIFS(Base!$G:$G,Base!$A:$A,$A383)</f>
        <v>475000</v>
      </c>
      <c r="G383" s="6" t="n">
        <f aca="false">SUMIFS(Base!$I:$I,Base!$A:$A,$A383)</f>
        <v>2975000</v>
      </c>
      <c r="H383" s="5"/>
    </row>
    <row r="384" customFormat="false" ht="15" hidden="true" customHeight="false" outlineLevel="1" collapsed="false">
      <c r="A384" s="7" t="s">
        <v>531</v>
      </c>
      <c r="B384" s="7" t="s">
        <v>532</v>
      </c>
      <c r="C384" s="7" t="s">
        <v>533</v>
      </c>
      <c r="D384" s="7" t="s">
        <v>20</v>
      </c>
      <c r="E384" s="8" t="n">
        <v>46275</v>
      </c>
      <c r="F384" s="9" t="n">
        <v>475000</v>
      </c>
      <c r="G384" s="9" t="n">
        <v>2975000</v>
      </c>
      <c r="H384" s="7" t="s">
        <v>40</v>
      </c>
    </row>
    <row r="385" customFormat="false" ht="15" hidden="false" customHeight="false" outlineLevel="0" collapsed="false">
      <c r="A385" s="5" t="s">
        <v>534</v>
      </c>
      <c r="B385" s="5" t="s">
        <v>535</v>
      </c>
      <c r="C385" s="5" t="s">
        <v>12</v>
      </c>
      <c r="D385" s="5" t="s">
        <v>13</v>
      </c>
      <c r="E385" s="5"/>
      <c r="F385" s="6" t="n">
        <f aca="false">SUMIFS(Base!$G:$G,Base!$A:$A,$A385)</f>
        <v>0</v>
      </c>
      <c r="G385" s="6" t="n">
        <f aca="false">SUMIFS(Base!$I:$I,Base!$A:$A,$A385)</f>
        <v>500000</v>
      </c>
      <c r="H385" s="5"/>
    </row>
    <row r="386" customFormat="false" ht="15" hidden="true" customHeight="false" outlineLevel="1" collapsed="false">
      <c r="A386" s="7" t="s">
        <v>534</v>
      </c>
      <c r="B386" s="7" t="s">
        <v>535</v>
      </c>
      <c r="C386" s="7" t="s">
        <v>536</v>
      </c>
      <c r="D386" s="7" t="s">
        <v>15</v>
      </c>
      <c r="E386" s="8" t="n">
        <v>46287</v>
      </c>
      <c r="F386" s="9" t="n">
        <v>0</v>
      </c>
      <c r="G386" s="9" t="n">
        <v>500000</v>
      </c>
      <c r="H386" s="7" t="s">
        <v>16</v>
      </c>
    </row>
    <row r="387" customFormat="false" ht="15" hidden="false" customHeight="false" outlineLevel="0" collapsed="false">
      <c r="A387" s="5" t="s">
        <v>537</v>
      </c>
      <c r="B387" s="5" t="s">
        <v>538</v>
      </c>
      <c r="C387" s="5" t="s">
        <v>539</v>
      </c>
      <c r="D387" s="5" t="s">
        <v>13</v>
      </c>
      <c r="E387" s="5"/>
      <c r="F387" s="6" t="n">
        <f aca="false">SUMIFS(Base!$G:$G,Base!$A:$A,$A387)</f>
        <v>7280.4</v>
      </c>
      <c r="G387" s="6" t="n">
        <f aca="false">SUMIFS(Base!$I:$I,Base!$A:$A,$A387)</f>
        <v>264060</v>
      </c>
      <c r="H387" s="5"/>
    </row>
    <row r="388" customFormat="false" ht="15" hidden="true" customHeight="false" outlineLevel="1" collapsed="false">
      <c r="A388" s="7" t="s">
        <v>537</v>
      </c>
      <c r="B388" s="7" t="s">
        <v>538</v>
      </c>
      <c r="C388" s="7" t="s">
        <v>540</v>
      </c>
      <c r="D388" s="7" t="s">
        <v>20</v>
      </c>
      <c r="E388" s="8" t="n">
        <v>46266</v>
      </c>
      <c r="F388" s="9" t="n">
        <v>0</v>
      </c>
      <c r="G388" s="9" t="n">
        <v>13300</v>
      </c>
      <c r="H388" s="7" t="s">
        <v>26</v>
      </c>
    </row>
    <row r="389" customFormat="false" ht="15" hidden="true" customHeight="false" outlineLevel="1" collapsed="false">
      <c r="A389" s="7" t="s">
        <v>537</v>
      </c>
      <c r="B389" s="7" t="s">
        <v>538</v>
      </c>
      <c r="C389" s="7" t="s">
        <v>541</v>
      </c>
      <c r="D389" s="7" t="s">
        <v>20</v>
      </c>
      <c r="E389" s="8" t="n">
        <v>46266</v>
      </c>
      <c r="F389" s="9" t="n">
        <v>910</v>
      </c>
      <c r="G389" s="9" t="n">
        <v>5700</v>
      </c>
      <c r="H389" s="7" t="s">
        <v>26</v>
      </c>
    </row>
    <row r="390" customFormat="false" ht="15" hidden="true" customHeight="false" outlineLevel="1" collapsed="false">
      <c r="A390" s="7" t="s">
        <v>537</v>
      </c>
      <c r="B390" s="7" t="s">
        <v>538</v>
      </c>
      <c r="C390" s="7" t="s">
        <v>542</v>
      </c>
      <c r="D390" s="7" t="s">
        <v>20</v>
      </c>
      <c r="E390" s="8" t="n">
        <v>46267</v>
      </c>
      <c r="F390" s="9" t="n">
        <v>910</v>
      </c>
      <c r="G390" s="9" t="n">
        <v>5700</v>
      </c>
      <c r="H390" s="7" t="s">
        <v>26</v>
      </c>
    </row>
    <row r="391" customFormat="false" ht="15" hidden="true" customHeight="false" outlineLevel="1" collapsed="false">
      <c r="A391" s="7" t="s">
        <v>537</v>
      </c>
      <c r="B391" s="7" t="s">
        <v>538</v>
      </c>
      <c r="C391" s="7" t="s">
        <v>543</v>
      </c>
      <c r="D391" s="7" t="s">
        <v>20</v>
      </c>
      <c r="E391" s="8" t="n">
        <v>46267</v>
      </c>
      <c r="F391" s="9" t="n">
        <v>0</v>
      </c>
      <c r="G391" s="9" t="n">
        <v>13200</v>
      </c>
      <c r="H391" s="7" t="s">
        <v>26</v>
      </c>
    </row>
    <row r="392" customFormat="false" ht="15" hidden="true" customHeight="false" outlineLevel="1" collapsed="false">
      <c r="A392" s="7" t="s">
        <v>537</v>
      </c>
      <c r="B392" s="7" t="s">
        <v>538</v>
      </c>
      <c r="C392" s="7" t="s">
        <v>544</v>
      </c>
      <c r="D392" s="7" t="s">
        <v>20</v>
      </c>
      <c r="E392" s="8" t="n">
        <v>46267</v>
      </c>
      <c r="F392" s="9" t="n">
        <v>0</v>
      </c>
      <c r="G392" s="9" t="n">
        <v>13200</v>
      </c>
      <c r="H392" s="7" t="s">
        <v>26</v>
      </c>
    </row>
    <row r="393" customFormat="false" ht="15" hidden="true" customHeight="false" outlineLevel="1" collapsed="false">
      <c r="A393" s="7" t="s">
        <v>537</v>
      </c>
      <c r="B393" s="7" t="s">
        <v>538</v>
      </c>
      <c r="C393" s="7" t="s">
        <v>545</v>
      </c>
      <c r="D393" s="7" t="s">
        <v>20</v>
      </c>
      <c r="E393" s="8" t="n">
        <v>46268</v>
      </c>
      <c r="F393" s="9" t="n">
        <v>910</v>
      </c>
      <c r="G393" s="9" t="n">
        <v>5700</v>
      </c>
      <c r="H393" s="7" t="s">
        <v>26</v>
      </c>
    </row>
    <row r="394" customFormat="false" ht="15" hidden="true" customHeight="false" outlineLevel="1" collapsed="false">
      <c r="A394" s="7" t="s">
        <v>537</v>
      </c>
      <c r="B394" s="7" t="s">
        <v>538</v>
      </c>
      <c r="C394" s="7" t="s">
        <v>546</v>
      </c>
      <c r="D394" s="7" t="s">
        <v>20</v>
      </c>
      <c r="E394" s="8" t="n">
        <v>46269</v>
      </c>
      <c r="F394" s="9" t="n">
        <v>0</v>
      </c>
      <c r="G394" s="9" t="n">
        <v>13200</v>
      </c>
      <c r="H394" s="7" t="s">
        <v>26</v>
      </c>
    </row>
    <row r="395" customFormat="false" ht="15" hidden="true" customHeight="false" outlineLevel="1" collapsed="false">
      <c r="A395" s="7" t="s">
        <v>537</v>
      </c>
      <c r="B395" s="7" t="s">
        <v>538</v>
      </c>
      <c r="C395" s="7" t="s">
        <v>547</v>
      </c>
      <c r="D395" s="7" t="s">
        <v>20</v>
      </c>
      <c r="E395" s="8" t="n">
        <v>46272</v>
      </c>
      <c r="F395" s="9" t="n">
        <v>0</v>
      </c>
      <c r="G395" s="9" t="n">
        <v>13200</v>
      </c>
      <c r="H395" s="7" t="s">
        <v>26</v>
      </c>
    </row>
    <row r="396" customFormat="false" ht="15" hidden="true" customHeight="false" outlineLevel="1" collapsed="false">
      <c r="A396" s="7" t="s">
        <v>537</v>
      </c>
      <c r="B396" s="7" t="s">
        <v>538</v>
      </c>
      <c r="C396" s="7" t="s">
        <v>548</v>
      </c>
      <c r="D396" s="7" t="s">
        <v>20</v>
      </c>
      <c r="E396" s="8" t="n">
        <v>46272</v>
      </c>
      <c r="F396" s="9" t="n">
        <v>910.08</v>
      </c>
      <c r="G396" s="9" t="n">
        <v>5700</v>
      </c>
      <c r="H396" s="7" t="s">
        <v>26</v>
      </c>
    </row>
    <row r="397" customFormat="false" ht="15" hidden="true" customHeight="false" outlineLevel="1" collapsed="false">
      <c r="A397" s="7" t="s">
        <v>537</v>
      </c>
      <c r="B397" s="7" t="s">
        <v>538</v>
      </c>
      <c r="C397" s="7" t="s">
        <v>549</v>
      </c>
      <c r="D397" s="7" t="s">
        <v>20</v>
      </c>
      <c r="E397" s="8" t="n">
        <v>46273</v>
      </c>
      <c r="F397" s="9" t="n">
        <v>0</v>
      </c>
      <c r="G397" s="9" t="n">
        <v>13200</v>
      </c>
      <c r="H397" s="7" t="s">
        <v>26</v>
      </c>
    </row>
    <row r="398" customFormat="false" ht="15" hidden="true" customHeight="false" outlineLevel="1" collapsed="false">
      <c r="A398" s="7" t="s">
        <v>537</v>
      </c>
      <c r="B398" s="7" t="s">
        <v>538</v>
      </c>
      <c r="C398" s="7" t="s">
        <v>550</v>
      </c>
      <c r="D398" s="7" t="s">
        <v>20</v>
      </c>
      <c r="E398" s="8" t="n">
        <v>46273</v>
      </c>
      <c r="F398" s="9" t="n">
        <v>910.08</v>
      </c>
      <c r="G398" s="9" t="n">
        <v>5700</v>
      </c>
      <c r="H398" s="7" t="s">
        <v>26</v>
      </c>
    </row>
    <row r="399" customFormat="false" ht="15" hidden="true" customHeight="false" outlineLevel="1" collapsed="false">
      <c r="A399" s="7" t="s">
        <v>537</v>
      </c>
      <c r="B399" s="7" t="s">
        <v>538</v>
      </c>
      <c r="C399" s="7" t="s">
        <v>551</v>
      </c>
      <c r="D399" s="7" t="s">
        <v>20</v>
      </c>
      <c r="E399" s="8" t="n">
        <v>46273</v>
      </c>
      <c r="F399" s="9" t="n">
        <v>910.08</v>
      </c>
      <c r="G399" s="9" t="n">
        <v>5700</v>
      </c>
      <c r="H399" s="7" t="s">
        <v>26</v>
      </c>
    </row>
    <row r="400" customFormat="false" ht="15" hidden="true" customHeight="false" outlineLevel="1" collapsed="false">
      <c r="A400" s="7" t="s">
        <v>537</v>
      </c>
      <c r="B400" s="7" t="s">
        <v>538</v>
      </c>
      <c r="C400" s="7" t="s">
        <v>552</v>
      </c>
      <c r="D400" s="7" t="s">
        <v>20</v>
      </c>
      <c r="E400" s="8" t="n">
        <v>46274</v>
      </c>
      <c r="F400" s="9" t="n">
        <v>0</v>
      </c>
      <c r="G400" s="9" t="n">
        <v>13200</v>
      </c>
      <c r="H400" s="7" t="s">
        <v>26</v>
      </c>
    </row>
    <row r="401" customFormat="false" ht="15" hidden="true" customHeight="false" outlineLevel="1" collapsed="false">
      <c r="A401" s="7" t="s">
        <v>537</v>
      </c>
      <c r="B401" s="7" t="s">
        <v>538</v>
      </c>
      <c r="C401" s="7" t="s">
        <v>553</v>
      </c>
      <c r="D401" s="7" t="s">
        <v>20</v>
      </c>
      <c r="E401" s="8" t="n">
        <v>46277</v>
      </c>
      <c r="F401" s="9" t="n">
        <v>0</v>
      </c>
      <c r="G401" s="9" t="n">
        <v>7160</v>
      </c>
      <c r="H401" s="7" t="s">
        <v>26</v>
      </c>
    </row>
    <row r="402" customFormat="false" ht="15" hidden="true" customHeight="false" outlineLevel="1" collapsed="false">
      <c r="A402" s="7" t="s">
        <v>537</v>
      </c>
      <c r="B402" s="7" t="s">
        <v>538</v>
      </c>
      <c r="C402" s="7" t="s">
        <v>554</v>
      </c>
      <c r="D402" s="7" t="s">
        <v>20</v>
      </c>
      <c r="E402" s="8" t="n">
        <v>46277</v>
      </c>
      <c r="F402" s="9" t="n">
        <v>0</v>
      </c>
      <c r="G402" s="9" t="n">
        <v>13200</v>
      </c>
      <c r="H402" s="7" t="s">
        <v>26</v>
      </c>
    </row>
    <row r="403" customFormat="false" ht="15" hidden="true" customHeight="false" outlineLevel="1" collapsed="false">
      <c r="A403" s="7" t="s">
        <v>537</v>
      </c>
      <c r="B403" s="7" t="s">
        <v>538</v>
      </c>
      <c r="C403" s="7" t="s">
        <v>555</v>
      </c>
      <c r="D403" s="7" t="s">
        <v>20</v>
      </c>
      <c r="E403" s="8" t="n">
        <v>46277</v>
      </c>
      <c r="F403" s="9" t="n">
        <v>0</v>
      </c>
      <c r="G403" s="9" t="n">
        <v>13200</v>
      </c>
      <c r="H403" s="7" t="s">
        <v>26</v>
      </c>
    </row>
    <row r="404" customFormat="false" ht="15" hidden="true" customHeight="false" outlineLevel="1" collapsed="false">
      <c r="A404" s="7" t="s">
        <v>537</v>
      </c>
      <c r="B404" s="7" t="s">
        <v>538</v>
      </c>
      <c r="C404" s="7" t="s">
        <v>556</v>
      </c>
      <c r="D404" s="7" t="s">
        <v>20</v>
      </c>
      <c r="E404" s="8" t="n">
        <v>46279</v>
      </c>
      <c r="F404" s="9" t="n">
        <v>910.08</v>
      </c>
      <c r="G404" s="9" t="n">
        <v>5700</v>
      </c>
      <c r="H404" s="7" t="s">
        <v>26</v>
      </c>
    </row>
    <row r="405" customFormat="false" ht="15" hidden="true" customHeight="false" outlineLevel="1" collapsed="false">
      <c r="A405" s="7" t="s">
        <v>537</v>
      </c>
      <c r="B405" s="7" t="s">
        <v>538</v>
      </c>
      <c r="C405" s="7" t="s">
        <v>557</v>
      </c>
      <c r="D405" s="7" t="s">
        <v>20</v>
      </c>
      <c r="E405" s="8" t="n">
        <v>46281</v>
      </c>
      <c r="F405" s="9" t="n">
        <v>910.08</v>
      </c>
      <c r="G405" s="9" t="n">
        <v>5700</v>
      </c>
      <c r="H405" s="7" t="s">
        <v>26</v>
      </c>
    </row>
    <row r="406" customFormat="false" ht="15" hidden="true" customHeight="false" outlineLevel="1" collapsed="false">
      <c r="A406" s="7" t="s">
        <v>537</v>
      </c>
      <c r="B406" s="7" t="s">
        <v>538</v>
      </c>
      <c r="C406" s="7" t="s">
        <v>558</v>
      </c>
      <c r="D406" s="7" t="s">
        <v>20</v>
      </c>
      <c r="E406" s="8" t="n">
        <v>46282</v>
      </c>
      <c r="F406" s="9" t="n">
        <v>0</v>
      </c>
      <c r="G406" s="9" t="n">
        <v>13200</v>
      </c>
      <c r="H406" s="7" t="s">
        <v>26</v>
      </c>
    </row>
    <row r="407" customFormat="false" ht="15" hidden="true" customHeight="false" outlineLevel="1" collapsed="false">
      <c r="A407" s="7" t="s">
        <v>537</v>
      </c>
      <c r="B407" s="7" t="s">
        <v>538</v>
      </c>
      <c r="C407" s="7" t="s">
        <v>559</v>
      </c>
      <c r="D407" s="7" t="s">
        <v>20</v>
      </c>
      <c r="E407" s="8" t="n">
        <v>46282</v>
      </c>
      <c r="F407" s="9" t="n">
        <v>0</v>
      </c>
      <c r="G407" s="9" t="n">
        <v>13200</v>
      </c>
      <c r="H407" s="7" t="s">
        <v>26</v>
      </c>
    </row>
    <row r="408" customFormat="false" ht="15" hidden="true" customHeight="false" outlineLevel="1" collapsed="false">
      <c r="A408" s="7" t="s">
        <v>537</v>
      </c>
      <c r="B408" s="7" t="s">
        <v>538</v>
      </c>
      <c r="C408" s="7" t="s">
        <v>560</v>
      </c>
      <c r="D408" s="7" t="s">
        <v>20</v>
      </c>
      <c r="E408" s="8" t="n">
        <v>46283</v>
      </c>
      <c r="F408" s="9" t="n">
        <v>0</v>
      </c>
      <c r="G408" s="9" t="n">
        <v>13200</v>
      </c>
      <c r="H408" s="7" t="s">
        <v>26</v>
      </c>
    </row>
    <row r="409" customFormat="false" ht="15" hidden="true" customHeight="false" outlineLevel="1" collapsed="false">
      <c r="A409" s="7" t="s">
        <v>537</v>
      </c>
      <c r="B409" s="7" t="s">
        <v>538</v>
      </c>
      <c r="C409" s="7" t="s">
        <v>561</v>
      </c>
      <c r="D409" s="7" t="s">
        <v>20</v>
      </c>
      <c r="E409" s="8" t="n">
        <v>46284</v>
      </c>
      <c r="F409" s="9" t="n">
        <v>0</v>
      </c>
      <c r="G409" s="9" t="n">
        <v>13200</v>
      </c>
      <c r="H409" s="7" t="s">
        <v>26</v>
      </c>
    </row>
    <row r="410" customFormat="false" ht="15" hidden="true" customHeight="false" outlineLevel="1" collapsed="false">
      <c r="A410" s="7" t="s">
        <v>537</v>
      </c>
      <c r="B410" s="7" t="s">
        <v>538</v>
      </c>
      <c r="C410" s="7" t="s">
        <v>562</v>
      </c>
      <c r="D410" s="7" t="s">
        <v>20</v>
      </c>
      <c r="E410" s="8" t="n">
        <v>46287</v>
      </c>
      <c r="F410" s="9" t="n">
        <v>0</v>
      </c>
      <c r="G410" s="9" t="n">
        <v>13200</v>
      </c>
      <c r="H410" s="7" t="s">
        <v>26</v>
      </c>
    </row>
    <row r="411" customFormat="false" ht="15" hidden="true" customHeight="false" outlineLevel="1" collapsed="false">
      <c r="A411" s="7" t="s">
        <v>537</v>
      </c>
      <c r="B411" s="7" t="s">
        <v>538</v>
      </c>
      <c r="C411" s="7" t="s">
        <v>563</v>
      </c>
      <c r="D411" s="7" t="s">
        <v>20</v>
      </c>
      <c r="E411" s="8" t="n">
        <v>46288</v>
      </c>
      <c r="F411" s="9" t="n">
        <v>0</v>
      </c>
      <c r="G411" s="9" t="n">
        <v>13200</v>
      </c>
      <c r="H411" s="7" t="s">
        <v>26</v>
      </c>
    </row>
    <row r="412" customFormat="false" ht="15" hidden="true" customHeight="false" outlineLevel="1" collapsed="false">
      <c r="A412" s="7" t="s">
        <v>537</v>
      </c>
      <c r="B412" s="7" t="s">
        <v>538</v>
      </c>
      <c r="C412" s="7" t="s">
        <v>564</v>
      </c>
      <c r="D412" s="7" t="s">
        <v>20</v>
      </c>
      <c r="E412" s="8" t="n">
        <v>46291</v>
      </c>
      <c r="F412" s="9" t="n">
        <v>0</v>
      </c>
      <c r="G412" s="9" t="n">
        <v>13200</v>
      </c>
      <c r="H412" s="7" t="s">
        <v>26</v>
      </c>
    </row>
    <row r="413" customFormat="false" ht="15" hidden="false" customHeight="false" outlineLevel="0" collapsed="false">
      <c r="A413" s="5" t="s">
        <v>565</v>
      </c>
      <c r="B413" s="5" t="s">
        <v>566</v>
      </c>
      <c r="C413" s="5" t="s">
        <v>274</v>
      </c>
      <c r="D413" s="5" t="s">
        <v>13</v>
      </c>
      <c r="E413" s="5"/>
      <c r="F413" s="6" t="n">
        <f aca="false">SUMIFS(Base!$G:$G,Base!$A:$A,$A413)</f>
        <v>64515</v>
      </c>
      <c r="G413" s="6" t="n">
        <f aca="false">SUMIFS(Base!$I:$I,Base!$A:$A,$A413)</f>
        <v>407070</v>
      </c>
      <c r="H413" s="5"/>
    </row>
    <row r="414" customFormat="false" ht="15" hidden="true" customHeight="false" outlineLevel="1" collapsed="false">
      <c r="A414" s="7" t="s">
        <v>565</v>
      </c>
      <c r="B414" s="7" t="s">
        <v>566</v>
      </c>
      <c r="C414" s="7" t="s">
        <v>567</v>
      </c>
      <c r="D414" s="7" t="s">
        <v>20</v>
      </c>
      <c r="E414" s="8" t="n">
        <v>46272</v>
      </c>
      <c r="F414" s="9" t="n">
        <v>49176</v>
      </c>
      <c r="G414" s="9" t="n">
        <v>308000</v>
      </c>
      <c r="H414" s="7" t="s">
        <v>16</v>
      </c>
    </row>
    <row r="415" customFormat="false" ht="15" hidden="true" customHeight="false" outlineLevel="1" collapsed="false">
      <c r="A415" s="7" t="s">
        <v>565</v>
      </c>
      <c r="B415" s="7" t="s">
        <v>566</v>
      </c>
      <c r="C415" s="7" t="s">
        <v>568</v>
      </c>
      <c r="D415" s="7" t="s">
        <v>20</v>
      </c>
      <c r="E415" s="8" t="n">
        <v>46295</v>
      </c>
      <c r="F415" s="9" t="n">
        <v>0</v>
      </c>
      <c r="G415" s="9" t="n">
        <v>3000</v>
      </c>
      <c r="H415" s="7" t="s">
        <v>16</v>
      </c>
    </row>
    <row r="416" customFormat="false" ht="15" hidden="true" customHeight="false" outlineLevel="1" collapsed="false">
      <c r="A416" s="7" t="s">
        <v>565</v>
      </c>
      <c r="B416" s="7" t="s">
        <v>566</v>
      </c>
      <c r="C416" s="7" t="s">
        <v>569</v>
      </c>
      <c r="D416" s="7" t="s">
        <v>20</v>
      </c>
      <c r="E416" s="8" t="n">
        <v>46295</v>
      </c>
      <c r="F416" s="9" t="n">
        <v>4215</v>
      </c>
      <c r="G416" s="9" t="n">
        <v>26400</v>
      </c>
      <c r="H416" s="7" t="s">
        <v>16</v>
      </c>
    </row>
    <row r="417" customFormat="false" ht="15" hidden="true" customHeight="false" outlineLevel="1" collapsed="false">
      <c r="A417" s="7" t="s">
        <v>565</v>
      </c>
      <c r="B417" s="7" t="s">
        <v>566</v>
      </c>
      <c r="C417" s="7" t="s">
        <v>570</v>
      </c>
      <c r="D417" s="7" t="s">
        <v>20</v>
      </c>
      <c r="E417" s="8" t="n">
        <v>46295</v>
      </c>
      <c r="F417" s="9" t="n">
        <v>4418</v>
      </c>
      <c r="G417" s="9" t="n">
        <v>27670</v>
      </c>
      <c r="H417" s="7" t="s">
        <v>16</v>
      </c>
    </row>
    <row r="418" customFormat="false" ht="15" hidden="true" customHeight="false" outlineLevel="1" collapsed="false">
      <c r="A418" s="7" t="s">
        <v>565</v>
      </c>
      <c r="B418" s="7" t="s">
        <v>566</v>
      </c>
      <c r="C418" s="7" t="s">
        <v>571</v>
      </c>
      <c r="D418" s="7" t="s">
        <v>20</v>
      </c>
      <c r="E418" s="8" t="n">
        <v>46295</v>
      </c>
      <c r="F418" s="9" t="n">
        <v>3856</v>
      </c>
      <c r="G418" s="9" t="n">
        <v>24150</v>
      </c>
      <c r="H418" s="7" t="s">
        <v>16</v>
      </c>
    </row>
    <row r="419" customFormat="false" ht="15" hidden="true" customHeight="false" outlineLevel="1" collapsed="false">
      <c r="A419" s="7" t="s">
        <v>565</v>
      </c>
      <c r="B419" s="7" t="s">
        <v>566</v>
      </c>
      <c r="C419" s="7" t="s">
        <v>572</v>
      </c>
      <c r="D419" s="7" t="s">
        <v>20</v>
      </c>
      <c r="E419" s="8" t="n">
        <v>46295</v>
      </c>
      <c r="F419" s="9" t="n">
        <v>2850</v>
      </c>
      <c r="G419" s="9" t="n">
        <v>17850</v>
      </c>
      <c r="H419" s="7" t="s">
        <v>16</v>
      </c>
    </row>
    <row r="420" customFormat="false" ht="15" hidden="false" customHeight="false" outlineLevel="0" collapsed="false">
      <c r="A420" s="5" t="s">
        <v>573</v>
      </c>
      <c r="B420" s="5" t="s">
        <v>574</v>
      </c>
      <c r="C420" s="5" t="s">
        <v>12</v>
      </c>
      <c r="D420" s="5" t="s">
        <v>13</v>
      </c>
      <c r="E420" s="5"/>
      <c r="F420" s="6" t="n">
        <f aca="false">SUMIFS(Base!$G:$G,Base!$A:$A,$A420)</f>
        <v>0</v>
      </c>
      <c r="G420" s="6" t="n">
        <f aca="false">SUMIFS(Base!$I:$I,Base!$A:$A,$A420)</f>
        <v>8000</v>
      </c>
      <c r="H420" s="5"/>
    </row>
    <row r="421" customFormat="false" ht="15" hidden="true" customHeight="false" outlineLevel="1" collapsed="false">
      <c r="A421" s="7" t="s">
        <v>573</v>
      </c>
      <c r="B421" s="7" t="s">
        <v>574</v>
      </c>
      <c r="C421" s="7" t="s">
        <v>575</v>
      </c>
      <c r="D421" s="7" t="s">
        <v>20</v>
      </c>
      <c r="E421" s="8" t="n">
        <v>46273</v>
      </c>
      <c r="F421" s="9" t="n">
        <v>0</v>
      </c>
      <c r="G421" s="9" t="n">
        <v>8000</v>
      </c>
      <c r="H421" s="7" t="s">
        <v>16</v>
      </c>
    </row>
    <row r="422" customFormat="false" ht="15" hidden="false" customHeight="false" outlineLevel="0" collapsed="false">
      <c r="A422" s="5" t="s">
        <v>576</v>
      </c>
      <c r="B422" s="5" t="s">
        <v>577</v>
      </c>
      <c r="C422" s="5" t="s">
        <v>12</v>
      </c>
      <c r="D422" s="5" t="s">
        <v>13</v>
      </c>
      <c r="E422" s="5"/>
      <c r="F422" s="6" t="n">
        <f aca="false">SUMIFS(Base!$G:$G,Base!$A:$A,$A422)</f>
        <v>0</v>
      </c>
      <c r="G422" s="6" t="n">
        <f aca="false">SUMIFS(Base!$I:$I,Base!$A:$A,$A422)</f>
        <v>1773275</v>
      </c>
      <c r="H422" s="5"/>
    </row>
    <row r="423" customFormat="false" ht="15" hidden="true" customHeight="false" outlineLevel="1" collapsed="false">
      <c r="A423" s="7" t="s">
        <v>576</v>
      </c>
      <c r="B423" s="7" t="s">
        <v>577</v>
      </c>
      <c r="C423" s="7" t="s">
        <v>578</v>
      </c>
      <c r="D423" s="7" t="s">
        <v>15</v>
      </c>
      <c r="E423" s="8" t="n">
        <v>46279</v>
      </c>
      <c r="F423" s="9" t="n">
        <v>0</v>
      </c>
      <c r="G423" s="9" t="n">
        <v>1773275</v>
      </c>
      <c r="H423" s="7" t="s">
        <v>16</v>
      </c>
    </row>
    <row r="424" customFormat="false" ht="15" hidden="false" customHeight="false" outlineLevel="0" collapsed="false">
      <c r="A424" s="5" t="s">
        <v>579</v>
      </c>
      <c r="B424" s="5" t="s">
        <v>580</v>
      </c>
      <c r="C424" s="5" t="s">
        <v>99</v>
      </c>
      <c r="D424" s="5" t="s">
        <v>13</v>
      </c>
      <c r="E424" s="5"/>
      <c r="F424" s="6" t="n">
        <f aca="false">SUMIFS(Base!$G:$G,Base!$A:$A,$A424)</f>
        <v>0</v>
      </c>
      <c r="G424" s="6" t="n">
        <f aca="false">SUMIFS(Base!$I:$I,Base!$A:$A,$A424)</f>
        <v>4600000</v>
      </c>
      <c r="H424" s="5"/>
    </row>
    <row r="425" customFormat="false" ht="15" hidden="true" customHeight="false" outlineLevel="1" collapsed="false">
      <c r="A425" s="7" t="s">
        <v>579</v>
      </c>
      <c r="B425" s="7" t="s">
        <v>580</v>
      </c>
      <c r="C425" s="7" t="s">
        <v>581</v>
      </c>
      <c r="D425" s="7" t="s">
        <v>15</v>
      </c>
      <c r="E425" s="8" t="n">
        <v>46268</v>
      </c>
      <c r="F425" s="9" t="n">
        <v>0</v>
      </c>
      <c r="G425" s="9" t="n">
        <v>2300000</v>
      </c>
      <c r="H425" s="7" t="s">
        <v>40</v>
      </c>
    </row>
    <row r="426" customFormat="false" ht="15" hidden="true" customHeight="false" outlineLevel="1" collapsed="false">
      <c r="A426" s="7" t="s">
        <v>579</v>
      </c>
      <c r="B426" s="7" t="s">
        <v>580</v>
      </c>
      <c r="C426" s="7" t="s">
        <v>582</v>
      </c>
      <c r="D426" s="7" t="s">
        <v>15</v>
      </c>
      <c r="E426" s="8" t="n">
        <v>46294</v>
      </c>
      <c r="F426" s="9" t="n">
        <v>0</v>
      </c>
      <c r="G426" s="9" t="n">
        <v>2300000</v>
      </c>
      <c r="H426" s="7" t="s">
        <v>40</v>
      </c>
    </row>
    <row r="427" customFormat="false" ht="15" hidden="false" customHeight="false" outlineLevel="0" collapsed="false">
      <c r="A427" s="5" t="s">
        <v>583</v>
      </c>
      <c r="B427" s="5" t="s">
        <v>584</v>
      </c>
      <c r="C427" s="5" t="s">
        <v>12</v>
      </c>
      <c r="D427" s="5" t="s">
        <v>13</v>
      </c>
      <c r="E427" s="5"/>
      <c r="F427" s="6" t="n">
        <f aca="false">SUMIFS(Base!$G:$G,Base!$A:$A,$A427)</f>
        <v>0</v>
      </c>
      <c r="G427" s="6" t="n">
        <f aca="false">SUMIFS(Base!$I:$I,Base!$A:$A,$A427)</f>
        <v>300000</v>
      </c>
      <c r="H427" s="5"/>
    </row>
    <row r="428" customFormat="false" ht="15" hidden="true" customHeight="false" outlineLevel="1" collapsed="false">
      <c r="A428" s="7" t="s">
        <v>583</v>
      </c>
      <c r="B428" s="7" t="s">
        <v>584</v>
      </c>
      <c r="C428" s="7" t="s">
        <v>585</v>
      </c>
      <c r="D428" s="7" t="s">
        <v>15</v>
      </c>
      <c r="E428" s="8" t="n">
        <v>46289</v>
      </c>
      <c r="F428" s="9" t="n">
        <v>0</v>
      </c>
      <c r="G428" s="9" t="n">
        <v>300000</v>
      </c>
      <c r="H428" s="7" t="s">
        <v>16</v>
      </c>
    </row>
    <row r="429" customFormat="false" ht="15" hidden="false" customHeight="false" outlineLevel="0" collapsed="false">
      <c r="A429" s="5" t="s">
        <v>586</v>
      </c>
      <c r="B429" s="5" t="s">
        <v>587</v>
      </c>
      <c r="C429" s="5" t="s">
        <v>99</v>
      </c>
      <c r="D429" s="5" t="s">
        <v>13</v>
      </c>
      <c r="E429" s="5"/>
      <c r="F429" s="6" t="n">
        <f aca="false">SUMIFS(Base!$G:$G,Base!$A:$A,$A429)</f>
        <v>0</v>
      </c>
      <c r="G429" s="6" t="n">
        <f aca="false">SUMIFS(Base!$I:$I,Base!$A:$A,$A429)</f>
        <v>4000000</v>
      </c>
      <c r="H429" s="5"/>
    </row>
    <row r="430" customFormat="false" ht="15" hidden="true" customHeight="false" outlineLevel="1" collapsed="false">
      <c r="A430" s="7" t="s">
        <v>586</v>
      </c>
      <c r="B430" s="7" t="s">
        <v>587</v>
      </c>
      <c r="C430" s="7" t="s">
        <v>588</v>
      </c>
      <c r="D430" s="7" t="s">
        <v>15</v>
      </c>
      <c r="E430" s="8" t="n">
        <v>46268</v>
      </c>
      <c r="F430" s="9" t="n">
        <v>0</v>
      </c>
      <c r="G430" s="9" t="n">
        <v>2000000</v>
      </c>
      <c r="H430" s="7" t="s">
        <v>40</v>
      </c>
    </row>
    <row r="431" customFormat="false" ht="15" hidden="true" customHeight="false" outlineLevel="1" collapsed="false">
      <c r="A431" s="7" t="s">
        <v>586</v>
      </c>
      <c r="B431" s="7" t="s">
        <v>587</v>
      </c>
      <c r="C431" s="7" t="s">
        <v>589</v>
      </c>
      <c r="D431" s="7" t="s">
        <v>15</v>
      </c>
      <c r="E431" s="8" t="n">
        <v>46294</v>
      </c>
      <c r="F431" s="9" t="n">
        <v>0</v>
      </c>
      <c r="G431" s="9" t="n">
        <v>2000000</v>
      </c>
      <c r="H431" s="7" t="s">
        <v>40</v>
      </c>
    </row>
    <row r="432" customFormat="false" ht="15" hidden="false" customHeight="false" outlineLevel="0" collapsed="false">
      <c r="A432" s="5" t="s">
        <v>590</v>
      </c>
      <c r="B432" s="5" t="s">
        <v>591</v>
      </c>
      <c r="C432" s="5" t="s">
        <v>12</v>
      </c>
      <c r="D432" s="5" t="s">
        <v>13</v>
      </c>
      <c r="E432" s="5"/>
      <c r="F432" s="6" t="n">
        <f aca="false">SUMIFS(Base!$G:$G,Base!$A:$A,$A432)</f>
        <v>1597520</v>
      </c>
      <c r="G432" s="6" t="n">
        <f aca="false">SUMIFS(Base!$I:$I,Base!$A:$A,$A432)</f>
        <v>10005520</v>
      </c>
      <c r="H432" s="5"/>
    </row>
    <row r="433" customFormat="false" ht="15" hidden="true" customHeight="false" outlineLevel="1" collapsed="false">
      <c r="A433" s="7" t="s">
        <v>590</v>
      </c>
      <c r="B433" s="7" t="s">
        <v>591</v>
      </c>
      <c r="C433" s="7" t="s">
        <v>592</v>
      </c>
      <c r="D433" s="7" t="s">
        <v>20</v>
      </c>
      <c r="E433" s="8" t="n">
        <v>46268</v>
      </c>
      <c r="F433" s="9" t="n">
        <v>1597520</v>
      </c>
      <c r="G433" s="9" t="n">
        <v>10005520</v>
      </c>
      <c r="H433" s="7" t="s">
        <v>40</v>
      </c>
    </row>
    <row r="434" customFormat="false" ht="15" hidden="false" customHeight="false" outlineLevel="0" collapsed="false">
      <c r="A434" s="5" t="s">
        <v>593</v>
      </c>
      <c r="B434" s="5" t="s">
        <v>594</v>
      </c>
      <c r="C434" s="5" t="s">
        <v>99</v>
      </c>
      <c r="D434" s="5" t="s">
        <v>13</v>
      </c>
      <c r="E434" s="5"/>
      <c r="F434" s="6" t="n">
        <f aca="false">SUMIFS(Base!$G:$G,Base!$A:$A,$A434)</f>
        <v>0</v>
      </c>
      <c r="G434" s="6" t="n">
        <f aca="false">SUMIFS(Base!$I:$I,Base!$A:$A,$A434)</f>
        <v>24221</v>
      </c>
      <c r="H434" s="5"/>
    </row>
    <row r="435" customFormat="false" ht="15" hidden="true" customHeight="false" outlineLevel="1" collapsed="false">
      <c r="A435" s="7" t="s">
        <v>593</v>
      </c>
      <c r="B435" s="7" t="s">
        <v>594</v>
      </c>
      <c r="C435" s="7" t="s">
        <v>595</v>
      </c>
      <c r="D435" s="7" t="s">
        <v>20</v>
      </c>
      <c r="E435" s="8" t="n">
        <v>46286</v>
      </c>
      <c r="F435" s="9" t="n">
        <v>0</v>
      </c>
      <c r="G435" s="9" t="n">
        <v>14221</v>
      </c>
      <c r="H435" s="7" t="s">
        <v>26</v>
      </c>
    </row>
    <row r="436" customFormat="false" ht="15" hidden="true" customHeight="false" outlineLevel="1" collapsed="false">
      <c r="A436" s="7" t="s">
        <v>593</v>
      </c>
      <c r="B436" s="7" t="s">
        <v>594</v>
      </c>
      <c r="C436" s="7" t="s">
        <v>596</v>
      </c>
      <c r="D436" s="7" t="s">
        <v>20</v>
      </c>
      <c r="E436" s="8" t="n">
        <v>46286</v>
      </c>
      <c r="F436" s="9" t="n">
        <v>0</v>
      </c>
      <c r="G436" s="9" t="n">
        <v>10000</v>
      </c>
      <c r="H436" s="7" t="s">
        <v>26</v>
      </c>
    </row>
    <row r="437" customFormat="false" ht="15" hidden="false" customHeight="false" outlineLevel="0" collapsed="false">
      <c r="A437" s="5" t="s">
        <v>597</v>
      </c>
      <c r="B437" s="5" t="s">
        <v>598</v>
      </c>
      <c r="C437" s="5" t="s">
        <v>12</v>
      </c>
      <c r="D437" s="5" t="s">
        <v>13</v>
      </c>
      <c r="E437" s="5"/>
      <c r="F437" s="6" t="n">
        <f aca="false">SUMIFS(Base!$G:$G,Base!$A:$A,$A437)</f>
        <v>0</v>
      </c>
      <c r="G437" s="6" t="n">
        <f aca="false">SUMIFS(Base!$I:$I,Base!$A:$A,$A437)</f>
        <v>12666650</v>
      </c>
      <c r="H437" s="5"/>
    </row>
    <row r="438" customFormat="false" ht="15" hidden="true" customHeight="false" outlineLevel="1" collapsed="false">
      <c r="A438" s="7" t="s">
        <v>597</v>
      </c>
      <c r="B438" s="7" t="s">
        <v>598</v>
      </c>
      <c r="C438" s="7" t="s">
        <v>599</v>
      </c>
      <c r="D438" s="7" t="s">
        <v>20</v>
      </c>
      <c r="E438" s="8" t="n">
        <v>46293</v>
      </c>
      <c r="F438" s="9" t="n">
        <v>0</v>
      </c>
      <c r="G438" s="9" t="n">
        <v>12666650</v>
      </c>
      <c r="H438" s="7" t="s">
        <v>40</v>
      </c>
    </row>
    <row r="439" customFormat="false" ht="15" hidden="false" customHeight="false" outlineLevel="0" collapsed="false">
      <c r="A439" s="5" t="s">
        <v>600</v>
      </c>
      <c r="B439" s="5" t="s">
        <v>601</v>
      </c>
      <c r="C439" s="5" t="s">
        <v>99</v>
      </c>
      <c r="D439" s="5" t="s">
        <v>13</v>
      </c>
      <c r="E439" s="5"/>
      <c r="F439" s="6" t="n">
        <f aca="false">SUMIFS(Base!$G:$G,Base!$A:$A,$A439)</f>
        <v>0</v>
      </c>
      <c r="G439" s="6" t="n">
        <f aca="false">SUMIFS(Base!$I:$I,Base!$A:$A,$A439)</f>
        <v>48000</v>
      </c>
      <c r="H439" s="5"/>
    </row>
    <row r="440" customFormat="false" ht="15" hidden="true" customHeight="false" outlineLevel="1" collapsed="false">
      <c r="A440" s="7" t="s">
        <v>600</v>
      </c>
      <c r="B440" s="7" t="s">
        <v>601</v>
      </c>
      <c r="C440" s="7" t="s">
        <v>602</v>
      </c>
      <c r="D440" s="7" t="s">
        <v>15</v>
      </c>
      <c r="E440" s="8" t="n">
        <v>46287</v>
      </c>
      <c r="F440" s="9" t="n">
        <v>0</v>
      </c>
      <c r="G440" s="9" t="n">
        <v>24000</v>
      </c>
      <c r="H440" s="7" t="s">
        <v>16</v>
      </c>
    </row>
    <row r="441" customFormat="false" ht="15" hidden="true" customHeight="false" outlineLevel="1" collapsed="false">
      <c r="A441" s="7" t="s">
        <v>600</v>
      </c>
      <c r="B441" s="7" t="s">
        <v>601</v>
      </c>
      <c r="C441" s="7" t="s">
        <v>603</v>
      </c>
      <c r="D441" s="7" t="s">
        <v>15</v>
      </c>
      <c r="E441" s="8" t="n">
        <v>46289</v>
      </c>
      <c r="F441" s="9" t="n">
        <v>0</v>
      </c>
      <c r="G441" s="9" t="n">
        <v>24000</v>
      </c>
      <c r="H441" s="7" t="s">
        <v>16</v>
      </c>
    </row>
    <row r="442" customFormat="false" ht="15" hidden="false" customHeight="false" outlineLevel="0" collapsed="false">
      <c r="A442" s="5" t="s">
        <v>604</v>
      </c>
      <c r="B442" s="5" t="s">
        <v>605</v>
      </c>
      <c r="C442" s="5" t="s">
        <v>12</v>
      </c>
      <c r="D442" s="5" t="s">
        <v>13</v>
      </c>
      <c r="E442" s="5"/>
      <c r="F442" s="6" t="n">
        <f aca="false">SUMIFS(Base!$G:$G,Base!$A:$A,$A442)</f>
        <v>33750</v>
      </c>
      <c r="G442" s="6" t="n">
        <f aca="false">SUMIFS(Base!$I:$I,Base!$A:$A,$A442)</f>
        <v>708750</v>
      </c>
      <c r="H442" s="5"/>
    </row>
    <row r="443" customFormat="false" ht="15" hidden="true" customHeight="false" outlineLevel="1" collapsed="false">
      <c r="A443" s="7" t="s">
        <v>604</v>
      </c>
      <c r="B443" s="7" t="s">
        <v>605</v>
      </c>
      <c r="C443" s="7" t="s">
        <v>606</v>
      </c>
      <c r="D443" s="7" t="s">
        <v>20</v>
      </c>
      <c r="E443" s="8" t="n">
        <v>46267</v>
      </c>
      <c r="F443" s="9" t="n">
        <v>33750</v>
      </c>
      <c r="G443" s="9" t="n">
        <v>708750</v>
      </c>
      <c r="H443" s="7" t="s">
        <v>16</v>
      </c>
    </row>
    <row r="444" customFormat="false" ht="15" hidden="false" customHeight="false" outlineLevel="0" collapsed="false">
      <c r="A444" s="5" t="s">
        <v>607</v>
      </c>
      <c r="B444" s="5" t="s">
        <v>608</v>
      </c>
      <c r="C444" s="5" t="s">
        <v>12</v>
      </c>
      <c r="D444" s="5" t="s">
        <v>13</v>
      </c>
      <c r="E444" s="5"/>
      <c r="F444" s="6" t="n">
        <f aca="false">SUMIFS(Base!$G:$G,Base!$A:$A,$A444)</f>
        <v>47404.2</v>
      </c>
      <c r="G444" s="6" t="n">
        <f aca="false">SUMIFS(Base!$I:$I,Base!$A:$A,$A444)</f>
        <v>296900</v>
      </c>
      <c r="H444" s="5"/>
    </row>
    <row r="445" customFormat="false" ht="15" hidden="true" customHeight="false" outlineLevel="1" collapsed="false">
      <c r="A445" s="7" t="s">
        <v>607</v>
      </c>
      <c r="B445" s="7" t="s">
        <v>608</v>
      </c>
      <c r="C445" s="7" t="s">
        <v>609</v>
      </c>
      <c r="D445" s="7" t="s">
        <v>20</v>
      </c>
      <c r="E445" s="8" t="n">
        <v>46280</v>
      </c>
      <c r="F445" s="9" t="n">
        <v>47404.2</v>
      </c>
      <c r="G445" s="9" t="n">
        <v>296900</v>
      </c>
      <c r="H445" s="7" t="s">
        <v>16</v>
      </c>
    </row>
    <row r="446" customFormat="false" ht="15" hidden="false" customHeight="false" outlineLevel="0" collapsed="false">
      <c r="A446" s="5" t="s">
        <v>610</v>
      </c>
      <c r="B446" s="5" t="s">
        <v>611</v>
      </c>
      <c r="C446" s="5" t="s">
        <v>12</v>
      </c>
      <c r="D446" s="5" t="s">
        <v>13</v>
      </c>
      <c r="E446" s="5"/>
      <c r="F446" s="6" t="n">
        <f aca="false">SUMIFS(Base!$G:$G,Base!$A:$A,$A446)</f>
        <v>50312.69</v>
      </c>
      <c r="G446" s="6" t="n">
        <f aca="false">SUMIFS(Base!$I:$I,Base!$A:$A,$A446)</f>
        <v>315116.34</v>
      </c>
      <c r="H446" s="5"/>
    </row>
    <row r="447" customFormat="false" ht="15" hidden="true" customHeight="false" outlineLevel="1" collapsed="false">
      <c r="A447" s="7" t="s">
        <v>610</v>
      </c>
      <c r="B447" s="7" t="s">
        <v>611</v>
      </c>
      <c r="C447" s="7" t="s">
        <v>612</v>
      </c>
      <c r="D447" s="7" t="s">
        <v>20</v>
      </c>
      <c r="E447" s="8" t="n">
        <v>46286</v>
      </c>
      <c r="F447" s="9" t="n">
        <v>50312.69</v>
      </c>
      <c r="G447" s="9" t="n">
        <v>315116.34</v>
      </c>
      <c r="H447" s="7" t="s">
        <v>26</v>
      </c>
    </row>
    <row r="448" customFormat="false" ht="15" hidden="false" customHeight="false" outlineLevel="0" collapsed="false">
      <c r="A448" s="5" t="s">
        <v>613</v>
      </c>
      <c r="B448" s="5" t="s">
        <v>614</v>
      </c>
      <c r="C448" s="5" t="s">
        <v>99</v>
      </c>
      <c r="D448" s="5" t="s">
        <v>13</v>
      </c>
      <c r="E448" s="5"/>
      <c r="F448" s="6" t="n">
        <f aca="false">SUMIFS(Base!$G:$G,Base!$A:$A,$A448)</f>
        <v>0</v>
      </c>
      <c r="G448" s="6" t="n">
        <f aca="false">SUMIFS(Base!$I:$I,Base!$A:$A,$A448)</f>
        <v>6000</v>
      </c>
      <c r="H448" s="5"/>
    </row>
    <row r="449" customFormat="false" ht="15" hidden="true" customHeight="false" outlineLevel="1" collapsed="false">
      <c r="A449" s="7" t="s">
        <v>613</v>
      </c>
      <c r="B449" s="7" t="s">
        <v>614</v>
      </c>
      <c r="C449" s="7" t="s">
        <v>615</v>
      </c>
      <c r="D449" s="7" t="s">
        <v>15</v>
      </c>
      <c r="E449" s="8" t="n">
        <v>46279</v>
      </c>
      <c r="F449" s="9" t="n">
        <v>0</v>
      </c>
      <c r="G449" s="9" t="n">
        <v>2000</v>
      </c>
      <c r="H449" s="7" t="s">
        <v>16</v>
      </c>
    </row>
    <row r="450" customFormat="false" ht="15" hidden="true" customHeight="false" outlineLevel="1" collapsed="false">
      <c r="A450" s="7" t="s">
        <v>613</v>
      </c>
      <c r="B450" s="7" t="s">
        <v>614</v>
      </c>
      <c r="C450" s="7" t="s">
        <v>616</v>
      </c>
      <c r="D450" s="7" t="s">
        <v>15</v>
      </c>
      <c r="E450" s="8" t="n">
        <v>46290</v>
      </c>
      <c r="F450" s="9" t="n">
        <v>0</v>
      </c>
      <c r="G450" s="9" t="n">
        <v>4000</v>
      </c>
      <c r="H450" s="7" t="s">
        <v>16</v>
      </c>
    </row>
    <row r="451" customFormat="false" ht="15" hidden="false" customHeight="false" outlineLevel="0" collapsed="false">
      <c r="A451" s="5" t="s">
        <v>617</v>
      </c>
      <c r="B451" s="5" t="s">
        <v>618</v>
      </c>
      <c r="C451" s="5" t="s">
        <v>12</v>
      </c>
      <c r="D451" s="5" t="s">
        <v>13</v>
      </c>
      <c r="E451" s="5"/>
      <c r="F451" s="6" t="n">
        <f aca="false">SUMIFS(Base!$G:$G,Base!$A:$A,$A451)</f>
        <v>6386.55</v>
      </c>
      <c r="G451" s="6" t="n">
        <f aca="false">SUMIFS(Base!$I:$I,Base!$A:$A,$A451)</f>
        <v>40000</v>
      </c>
      <c r="H451" s="5"/>
    </row>
    <row r="452" customFormat="false" ht="15" hidden="true" customHeight="false" outlineLevel="1" collapsed="false">
      <c r="A452" s="7" t="s">
        <v>617</v>
      </c>
      <c r="B452" s="7" t="s">
        <v>618</v>
      </c>
      <c r="C452" s="7" t="s">
        <v>619</v>
      </c>
      <c r="D452" s="7" t="s">
        <v>20</v>
      </c>
      <c r="E452" s="8" t="n">
        <v>46293</v>
      </c>
      <c r="F452" s="9" t="n">
        <v>6386.55</v>
      </c>
      <c r="G452" s="9" t="n">
        <v>40000</v>
      </c>
      <c r="H452" s="7" t="s">
        <v>26</v>
      </c>
    </row>
    <row r="453" customFormat="false" ht="15" hidden="false" customHeight="false" outlineLevel="0" collapsed="false">
      <c r="A453" s="5" t="s">
        <v>620</v>
      </c>
      <c r="B453" s="5" t="s">
        <v>621</v>
      </c>
      <c r="C453" s="5" t="s">
        <v>37</v>
      </c>
      <c r="D453" s="5" t="s">
        <v>13</v>
      </c>
      <c r="E453" s="5"/>
      <c r="F453" s="6" t="n">
        <f aca="false">SUMIFS(Base!$G:$G,Base!$A:$A,$A453)</f>
        <v>0</v>
      </c>
      <c r="G453" s="6" t="n">
        <f aca="false">SUMIFS(Base!$I:$I,Base!$A:$A,$A453)</f>
        <v>265000</v>
      </c>
      <c r="H453" s="5"/>
    </row>
    <row r="454" customFormat="false" ht="15" hidden="true" customHeight="false" outlineLevel="1" collapsed="false">
      <c r="A454" s="7" t="s">
        <v>620</v>
      </c>
      <c r="B454" s="7" t="s">
        <v>621</v>
      </c>
      <c r="C454" s="7" t="s">
        <v>622</v>
      </c>
      <c r="D454" s="7" t="s">
        <v>20</v>
      </c>
      <c r="E454" s="8" t="n">
        <v>46286</v>
      </c>
      <c r="F454" s="9" t="n">
        <v>0</v>
      </c>
      <c r="G454" s="9" t="n">
        <v>195500</v>
      </c>
      <c r="H454" s="7" t="s">
        <v>16</v>
      </c>
    </row>
    <row r="455" customFormat="false" ht="15" hidden="true" customHeight="false" outlineLevel="1" collapsed="false">
      <c r="A455" s="7" t="s">
        <v>620</v>
      </c>
      <c r="B455" s="7" t="s">
        <v>621</v>
      </c>
      <c r="C455" s="7" t="s">
        <v>623</v>
      </c>
      <c r="D455" s="7" t="s">
        <v>20</v>
      </c>
      <c r="E455" s="8" t="n">
        <v>46293</v>
      </c>
      <c r="F455" s="9" t="n">
        <v>0</v>
      </c>
      <c r="G455" s="9" t="n">
        <v>49500</v>
      </c>
      <c r="H455" s="7" t="s">
        <v>16</v>
      </c>
    </row>
    <row r="456" customFormat="false" ht="15" hidden="true" customHeight="false" outlineLevel="1" collapsed="false">
      <c r="A456" s="7" t="s">
        <v>620</v>
      </c>
      <c r="B456" s="7" t="s">
        <v>621</v>
      </c>
      <c r="C456" s="7" t="s">
        <v>624</v>
      </c>
      <c r="D456" s="7" t="s">
        <v>20</v>
      </c>
      <c r="E456" s="8" t="n">
        <v>46293</v>
      </c>
      <c r="F456" s="9" t="n">
        <v>0</v>
      </c>
      <c r="G456" s="9" t="n">
        <v>20000</v>
      </c>
      <c r="H456" s="7" t="s">
        <v>26</v>
      </c>
    </row>
    <row r="457" customFormat="false" ht="15" hidden="false" customHeight="false" outlineLevel="0" collapsed="false">
      <c r="A457" s="5" t="s">
        <v>625</v>
      </c>
      <c r="B457" s="5" t="s">
        <v>626</v>
      </c>
      <c r="C457" s="5" t="s">
        <v>12</v>
      </c>
      <c r="D457" s="5" t="s">
        <v>13</v>
      </c>
      <c r="E457" s="5"/>
      <c r="F457" s="6" t="n">
        <f aca="false">SUMIFS(Base!$G:$G,Base!$A:$A,$A457)</f>
        <v>190000</v>
      </c>
      <c r="G457" s="6" t="n">
        <f aca="false">SUMIFS(Base!$I:$I,Base!$A:$A,$A457)</f>
        <v>1190000</v>
      </c>
      <c r="H457" s="5"/>
    </row>
    <row r="458" customFormat="false" ht="15" hidden="true" customHeight="false" outlineLevel="1" collapsed="false">
      <c r="A458" s="7" t="s">
        <v>625</v>
      </c>
      <c r="B458" s="7" t="s">
        <v>626</v>
      </c>
      <c r="C458" s="7" t="s">
        <v>627</v>
      </c>
      <c r="D458" s="7" t="s">
        <v>20</v>
      </c>
      <c r="E458" s="8" t="n">
        <v>46268</v>
      </c>
      <c r="F458" s="9" t="n">
        <v>190000</v>
      </c>
      <c r="G458" s="9" t="n">
        <v>1190000</v>
      </c>
      <c r="H458" s="7" t="s">
        <v>16</v>
      </c>
    </row>
    <row r="459" customFormat="false" ht="15" hidden="false" customHeight="false" outlineLevel="0" collapsed="false">
      <c r="A459" s="5" t="s">
        <v>628</v>
      </c>
      <c r="B459" s="5" t="s">
        <v>629</v>
      </c>
      <c r="C459" s="5" t="s">
        <v>12</v>
      </c>
      <c r="D459" s="5" t="s">
        <v>13</v>
      </c>
      <c r="E459" s="5"/>
      <c r="F459" s="6" t="n">
        <f aca="false">SUMIFS(Base!$G:$G,Base!$A:$A,$A459)</f>
        <v>11974.79</v>
      </c>
      <c r="G459" s="6" t="n">
        <f aca="false">SUMIFS(Base!$I:$I,Base!$A:$A,$A459)</f>
        <v>75000</v>
      </c>
      <c r="H459" s="5"/>
    </row>
    <row r="460" customFormat="false" ht="15" hidden="true" customHeight="false" outlineLevel="1" collapsed="false">
      <c r="A460" s="7" t="s">
        <v>628</v>
      </c>
      <c r="B460" s="7" t="s">
        <v>629</v>
      </c>
      <c r="C460" s="7" t="s">
        <v>630</v>
      </c>
      <c r="D460" s="7" t="s">
        <v>20</v>
      </c>
      <c r="E460" s="8" t="n">
        <v>46281</v>
      </c>
      <c r="F460" s="9" t="n">
        <v>11974.79</v>
      </c>
      <c r="G460" s="9" t="n">
        <v>75000</v>
      </c>
      <c r="H460" s="7" t="s">
        <v>16</v>
      </c>
    </row>
    <row r="461" customFormat="false" ht="15" hidden="false" customHeight="false" outlineLevel="0" collapsed="false">
      <c r="A461" s="5" t="s">
        <v>631</v>
      </c>
      <c r="B461" s="5" t="s">
        <v>632</v>
      </c>
      <c r="C461" s="5" t="s">
        <v>99</v>
      </c>
      <c r="D461" s="5" t="s">
        <v>13</v>
      </c>
      <c r="E461" s="5"/>
      <c r="F461" s="6" t="n">
        <f aca="false">SUMIFS(Base!$G:$G,Base!$A:$A,$A461)</f>
        <v>0</v>
      </c>
      <c r="G461" s="6" t="n">
        <f aca="false">SUMIFS(Base!$I:$I,Base!$A:$A,$A461)</f>
        <v>29015</v>
      </c>
      <c r="H461" s="5"/>
    </row>
    <row r="462" customFormat="false" ht="15" hidden="true" customHeight="false" outlineLevel="1" collapsed="false">
      <c r="A462" s="7" t="s">
        <v>631</v>
      </c>
      <c r="B462" s="7" t="s">
        <v>632</v>
      </c>
      <c r="C462" s="7" t="s">
        <v>633</v>
      </c>
      <c r="D462" s="7" t="s">
        <v>20</v>
      </c>
      <c r="E462" s="8" t="n">
        <v>46281</v>
      </c>
      <c r="F462" s="9" t="n">
        <v>0</v>
      </c>
      <c r="G462" s="9" t="n">
        <v>15000</v>
      </c>
      <c r="H462" s="7" t="s">
        <v>26</v>
      </c>
    </row>
    <row r="463" customFormat="false" ht="15" hidden="true" customHeight="false" outlineLevel="1" collapsed="false">
      <c r="A463" s="7" t="s">
        <v>631</v>
      </c>
      <c r="B463" s="7" t="s">
        <v>632</v>
      </c>
      <c r="C463" s="7" t="s">
        <v>634</v>
      </c>
      <c r="D463" s="7" t="s">
        <v>20</v>
      </c>
      <c r="E463" s="8" t="n">
        <v>46288</v>
      </c>
      <c r="F463" s="9" t="n">
        <v>0</v>
      </c>
      <c r="G463" s="9" t="n">
        <v>14015</v>
      </c>
      <c r="H463" s="7" t="s">
        <v>26</v>
      </c>
    </row>
    <row r="464" customFormat="false" ht="15" hidden="false" customHeight="false" outlineLevel="0" collapsed="false">
      <c r="A464" s="5" t="s">
        <v>635</v>
      </c>
      <c r="B464" s="5" t="s">
        <v>636</v>
      </c>
      <c r="C464" s="5" t="s">
        <v>12</v>
      </c>
      <c r="D464" s="5" t="s">
        <v>13</v>
      </c>
      <c r="E464" s="5"/>
      <c r="F464" s="6" t="n">
        <f aca="false">SUMIFS(Base!$G:$G,Base!$A:$A,$A464)</f>
        <v>11034</v>
      </c>
      <c r="G464" s="6" t="n">
        <f aca="false">SUMIFS(Base!$I:$I,Base!$A:$A,$A464)</f>
        <v>398202</v>
      </c>
      <c r="H464" s="5"/>
    </row>
    <row r="465" customFormat="false" ht="15" hidden="true" customHeight="false" outlineLevel="1" collapsed="false">
      <c r="A465" s="7" t="s">
        <v>635</v>
      </c>
      <c r="B465" s="7" t="s">
        <v>636</v>
      </c>
      <c r="C465" s="7" t="s">
        <v>637</v>
      </c>
      <c r="D465" s="7" t="s">
        <v>20</v>
      </c>
      <c r="E465" s="8" t="n">
        <v>46266</v>
      </c>
      <c r="F465" s="9" t="n">
        <v>11034</v>
      </c>
      <c r="G465" s="9" t="n">
        <v>398202</v>
      </c>
      <c r="H465" s="7" t="s">
        <v>16</v>
      </c>
    </row>
    <row r="466" customFormat="false" ht="15" hidden="false" customHeight="false" outlineLevel="0" collapsed="false">
      <c r="A466" s="5" t="s">
        <v>638</v>
      </c>
      <c r="B466" s="5" t="s">
        <v>639</v>
      </c>
      <c r="C466" s="5" t="s">
        <v>12</v>
      </c>
      <c r="D466" s="5" t="s">
        <v>13</v>
      </c>
      <c r="E466" s="5"/>
      <c r="F466" s="6" t="n">
        <f aca="false">SUMIFS(Base!$G:$G,Base!$A:$A,$A466)</f>
        <v>67260</v>
      </c>
      <c r="G466" s="6" t="n">
        <f aca="false">SUMIFS(Base!$I:$I,Base!$A:$A,$A466)</f>
        <v>421260</v>
      </c>
      <c r="H466" s="5"/>
    </row>
    <row r="467" customFormat="false" ht="15" hidden="true" customHeight="false" outlineLevel="1" collapsed="false">
      <c r="A467" s="7" t="s">
        <v>638</v>
      </c>
      <c r="B467" s="7" t="s">
        <v>639</v>
      </c>
      <c r="C467" s="7" t="s">
        <v>640</v>
      </c>
      <c r="D467" s="7" t="s">
        <v>20</v>
      </c>
      <c r="E467" s="8" t="n">
        <v>46281</v>
      </c>
      <c r="F467" s="9" t="n">
        <v>67260</v>
      </c>
      <c r="G467" s="9" t="n">
        <v>421260</v>
      </c>
      <c r="H467" s="7" t="s">
        <v>16</v>
      </c>
    </row>
    <row r="468" customFormat="false" ht="15" hidden="false" customHeight="false" outlineLevel="0" collapsed="false">
      <c r="A468" s="5" t="s">
        <v>641</v>
      </c>
      <c r="B468" s="5" t="s">
        <v>642</v>
      </c>
      <c r="C468" s="5" t="s">
        <v>12</v>
      </c>
      <c r="D468" s="5" t="s">
        <v>13</v>
      </c>
      <c r="E468" s="5"/>
      <c r="F468" s="6" t="n">
        <f aca="false">SUMIFS(Base!$G:$G,Base!$A:$A,$A468)</f>
        <v>0</v>
      </c>
      <c r="G468" s="6" t="n">
        <f aca="false">SUMIFS(Base!$I:$I,Base!$A:$A,$A468)</f>
        <v>1330374</v>
      </c>
      <c r="H468" s="5"/>
    </row>
    <row r="469" customFormat="false" ht="15" hidden="true" customHeight="false" outlineLevel="1" collapsed="false">
      <c r="A469" s="7" t="s">
        <v>641</v>
      </c>
      <c r="B469" s="7" t="s">
        <v>642</v>
      </c>
      <c r="C469" s="7" t="s">
        <v>643</v>
      </c>
      <c r="D469" s="7" t="s">
        <v>20</v>
      </c>
      <c r="E469" s="8" t="n">
        <v>46271</v>
      </c>
      <c r="F469" s="9" t="n">
        <v>0</v>
      </c>
      <c r="G469" s="9" t="n">
        <v>1330374</v>
      </c>
      <c r="H469" s="7" t="s">
        <v>26</v>
      </c>
    </row>
    <row r="470" customFormat="false" ht="15" hidden="false" customHeight="false" outlineLevel="0" collapsed="false">
      <c r="A470" s="5" t="s">
        <v>644</v>
      </c>
      <c r="B470" s="5" t="s">
        <v>645</v>
      </c>
      <c r="C470" s="5" t="s">
        <v>12</v>
      </c>
      <c r="D470" s="5" t="s">
        <v>13</v>
      </c>
      <c r="E470" s="5"/>
      <c r="F470" s="6" t="n">
        <f aca="false">SUMIFS(Base!$G:$G,Base!$A:$A,$A470)</f>
        <v>1435469.76</v>
      </c>
      <c r="G470" s="6" t="n">
        <f aca="false">SUMIFS(Base!$I:$I,Base!$A:$A,$A470)</f>
        <v>8990573.76</v>
      </c>
      <c r="H470" s="5"/>
    </row>
    <row r="471" customFormat="false" ht="15" hidden="true" customHeight="false" outlineLevel="1" collapsed="false">
      <c r="A471" s="7" t="s">
        <v>644</v>
      </c>
      <c r="B471" s="7" t="s">
        <v>645</v>
      </c>
      <c r="C471" s="7" t="s">
        <v>646</v>
      </c>
      <c r="D471" s="7" t="s">
        <v>20</v>
      </c>
      <c r="E471" s="8" t="n">
        <v>46269</v>
      </c>
      <c r="F471" s="9" t="n">
        <v>1435469.76</v>
      </c>
      <c r="G471" s="9" t="n">
        <v>8990573.76</v>
      </c>
      <c r="H471" s="7" t="s">
        <v>26</v>
      </c>
    </row>
    <row r="472" customFormat="false" ht="15" hidden="false" customHeight="false" outlineLevel="0" collapsed="false">
      <c r="A472" s="5" t="s">
        <v>647</v>
      </c>
      <c r="B472" s="5" t="s">
        <v>648</v>
      </c>
      <c r="C472" s="5" t="s">
        <v>176</v>
      </c>
      <c r="D472" s="5" t="s">
        <v>13</v>
      </c>
      <c r="E472" s="5"/>
      <c r="F472" s="6" t="n">
        <f aca="false">SUMIFS(Base!$G:$G,Base!$A:$A,$A472)</f>
        <v>0</v>
      </c>
      <c r="G472" s="6" t="n">
        <f aca="false">SUMIFS(Base!$I:$I,Base!$A:$A,$A472)</f>
        <v>63800</v>
      </c>
      <c r="H472" s="5"/>
    </row>
    <row r="473" customFormat="false" ht="15" hidden="true" customHeight="false" outlineLevel="1" collapsed="false">
      <c r="A473" s="7" t="s">
        <v>647</v>
      </c>
      <c r="B473" s="7" t="s">
        <v>648</v>
      </c>
      <c r="C473" s="7" t="s">
        <v>649</v>
      </c>
      <c r="D473" s="7" t="s">
        <v>20</v>
      </c>
      <c r="E473" s="8" t="n">
        <v>46266</v>
      </c>
      <c r="F473" s="9" t="n">
        <v>0</v>
      </c>
      <c r="G473" s="9" t="n">
        <v>17783</v>
      </c>
      <c r="H473" s="7" t="s">
        <v>26</v>
      </c>
    </row>
    <row r="474" customFormat="false" ht="15" hidden="true" customHeight="false" outlineLevel="1" collapsed="false">
      <c r="A474" s="7" t="s">
        <v>647</v>
      </c>
      <c r="B474" s="7" t="s">
        <v>648</v>
      </c>
      <c r="C474" s="7" t="s">
        <v>650</v>
      </c>
      <c r="D474" s="7" t="s">
        <v>20</v>
      </c>
      <c r="E474" s="8" t="n">
        <v>46275</v>
      </c>
      <c r="F474" s="9" t="n">
        <v>0</v>
      </c>
      <c r="G474" s="9" t="n">
        <v>15000</v>
      </c>
      <c r="H474" s="7" t="s">
        <v>26</v>
      </c>
    </row>
    <row r="475" customFormat="false" ht="15" hidden="true" customHeight="false" outlineLevel="1" collapsed="false">
      <c r="A475" s="7" t="s">
        <v>647</v>
      </c>
      <c r="B475" s="7" t="s">
        <v>648</v>
      </c>
      <c r="C475" s="7" t="s">
        <v>651</v>
      </c>
      <c r="D475" s="7" t="s">
        <v>20</v>
      </c>
      <c r="E475" s="8" t="n">
        <v>46282</v>
      </c>
      <c r="F475" s="9" t="n">
        <v>0</v>
      </c>
      <c r="G475" s="9" t="n">
        <v>17017</v>
      </c>
      <c r="H475" s="7" t="s">
        <v>26</v>
      </c>
    </row>
    <row r="476" customFormat="false" ht="15" hidden="true" customHeight="false" outlineLevel="1" collapsed="false">
      <c r="A476" s="7" t="s">
        <v>647</v>
      </c>
      <c r="B476" s="7" t="s">
        <v>648</v>
      </c>
      <c r="C476" s="7" t="s">
        <v>652</v>
      </c>
      <c r="D476" s="7" t="s">
        <v>20</v>
      </c>
      <c r="E476" s="8" t="n">
        <v>46289</v>
      </c>
      <c r="F476" s="9" t="n">
        <v>0</v>
      </c>
      <c r="G476" s="9" t="n">
        <v>14000</v>
      </c>
      <c r="H476" s="7" t="s">
        <v>26</v>
      </c>
    </row>
    <row r="477" customFormat="false" ht="15" hidden="false" customHeight="false" outlineLevel="0" collapsed="false">
      <c r="A477" s="5" t="s">
        <v>653</v>
      </c>
      <c r="B477" s="5" t="s">
        <v>654</v>
      </c>
      <c r="C477" s="5" t="s">
        <v>12</v>
      </c>
      <c r="D477" s="5" t="s">
        <v>13</v>
      </c>
      <c r="E477" s="5"/>
      <c r="F477" s="6" t="n">
        <f aca="false">SUMIFS(Base!$G:$G,Base!$A:$A,$A477)</f>
        <v>4731</v>
      </c>
      <c r="G477" s="6" t="n">
        <f aca="false">SUMIFS(Base!$I:$I,Base!$A:$A,$A477)</f>
        <v>329535</v>
      </c>
      <c r="H477" s="5"/>
    </row>
    <row r="478" customFormat="false" ht="15" hidden="true" customHeight="false" outlineLevel="1" collapsed="false">
      <c r="A478" s="7" t="s">
        <v>653</v>
      </c>
      <c r="B478" s="7" t="s">
        <v>654</v>
      </c>
      <c r="C478" s="7" t="s">
        <v>655</v>
      </c>
      <c r="D478" s="7" t="s">
        <v>20</v>
      </c>
      <c r="E478" s="8" t="n">
        <v>46266</v>
      </c>
      <c r="F478" s="9" t="n">
        <v>4731</v>
      </c>
      <c r="G478" s="9" t="n">
        <v>329535</v>
      </c>
      <c r="H478" s="7" t="s">
        <v>16</v>
      </c>
    </row>
    <row r="479" customFormat="false" ht="15" hidden="false" customHeight="false" outlineLevel="0" collapsed="false">
      <c r="A479" s="5" t="s">
        <v>656</v>
      </c>
      <c r="B479" s="5" t="s">
        <v>657</v>
      </c>
      <c r="C479" s="5" t="s">
        <v>12</v>
      </c>
      <c r="D479" s="5" t="s">
        <v>13</v>
      </c>
      <c r="E479" s="5"/>
      <c r="F479" s="6" t="n">
        <f aca="false">SUMIFS(Base!$G:$G,Base!$A:$A,$A479)</f>
        <v>0</v>
      </c>
      <c r="G479" s="6" t="n">
        <f aca="false">SUMIFS(Base!$I:$I,Base!$A:$A,$A479)</f>
        <v>165920</v>
      </c>
      <c r="H479" s="5"/>
    </row>
    <row r="480" customFormat="false" ht="15" hidden="true" customHeight="false" outlineLevel="1" collapsed="false">
      <c r="A480" s="7" t="s">
        <v>656</v>
      </c>
      <c r="B480" s="7" t="s">
        <v>657</v>
      </c>
      <c r="C480" s="7" t="s">
        <v>658</v>
      </c>
      <c r="D480" s="7" t="s">
        <v>20</v>
      </c>
      <c r="E480" s="8" t="n">
        <v>46289</v>
      </c>
      <c r="F480" s="9" t="n">
        <v>0</v>
      </c>
      <c r="G480" s="9" t="n">
        <v>165920</v>
      </c>
      <c r="H480" s="7" t="s">
        <v>26</v>
      </c>
    </row>
    <row r="481" customFormat="false" ht="15" hidden="false" customHeight="false" outlineLevel="0" collapsed="false">
      <c r="A481" s="5" t="s">
        <v>659</v>
      </c>
      <c r="B481" s="5" t="s">
        <v>660</v>
      </c>
      <c r="C481" s="5" t="s">
        <v>12</v>
      </c>
      <c r="D481" s="5" t="s">
        <v>13</v>
      </c>
      <c r="E481" s="5"/>
      <c r="F481" s="6" t="n">
        <f aca="false">SUMIFS(Base!$G:$G,Base!$A:$A,$A481)</f>
        <v>119109.24</v>
      </c>
      <c r="G481" s="6" t="n">
        <f aca="false">SUMIFS(Base!$I:$I,Base!$A:$A,$A481)</f>
        <v>746000</v>
      </c>
      <c r="H481" s="5"/>
    </row>
    <row r="482" customFormat="false" ht="15" hidden="true" customHeight="false" outlineLevel="1" collapsed="false">
      <c r="A482" s="7" t="s">
        <v>659</v>
      </c>
      <c r="B482" s="7" t="s">
        <v>660</v>
      </c>
      <c r="C482" s="7" t="s">
        <v>661</v>
      </c>
      <c r="D482" s="7" t="s">
        <v>20</v>
      </c>
      <c r="E482" s="8" t="n">
        <v>46289</v>
      </c>
      <c r="F482" s="9" t="n">
        <v>119109.24</v>
      </c>
      <c r="G482" s="9" t="n">
        <v>746000</v>
      </c>
      <c r="H482" s="7" t="s">
        <v>16</v>
      </c>
    </row>
    <row r="483" customFormat="false" ht="15" hidden="false" customHeight="false" outlineLevel="0" collapsed="false">
      <c r="A483" s="5" t="s">
        <v>662</v>
      </c>
      <c r="B483" s="5" t="s">
        <v>663</v>
      </c>
      <c r="C483" s="5" t="s">
        <v>37</v>
      </c>
      <c r="D483" s="5" t="s">
        <v>13</v>
      </c>
      <c r="E483" s="5"/>
      <c r="F483" s="6" t="n">
        <f aca="false">SUMIFS(Base!$G:$G,Base!$A:$A,$A483)</f>
        <v>213152</v>
      </c>
      <c r="G483" s="6" t="n">
        <f aca="false">SUMIFS(Base!$I:$I,Base!$A:$A,$A483)</f>
        <v>3666990</v>
      </c>
      <c r="H483" s="5"/>
    </row>
    <row r="484" customFormat="false" ht="15" hidden="true" customHeight="false" outlineLevel="1" collapsed="false">
      <c r="A484" s="7" t="s">
        <v>662</v>
      </c>
      <c r="B484" s="7" t="s">
        <v>663</v>
      </c>
      <c r="C484" s="7" t="s">
        <v>664</v>
      </c>
      <c r="D484" s="7" t="s">
        <v>20</v>
      </c>
      <c r="E484" s="8" t="n">
        <v>46267</v>
      </c>
      <c r="F484" s="9" t="n">
        <v>19284</v>
      </c>
      <c r="G484" s="9" t="n">
        <v>865063</v>
      </c>
      <c r="H484" s="7" t="s">
        <v>16</v>
      </c>
    </row>
    <row r="485" customFormat="false" ht="15" hidden="true" customHeight="false" outlineLevel="1" collapsed="false">
      <c r="A485" s="7" t="s">
        <v>662</v>
      </c>
      <c r="B485" s="7" t="s">
        <v>663</v>
      </c>
      <c r="C485" s="7" t="s">
        <v>665</v>
      </c>
      <c r="D485" s="7" t="s">
        <v>20</v>
      </c>
      <c r="E485" s="8" t="n">
        <v>46267</v>
      </c>
      <c r="F485" s="9" t="n">
        <v>170983</v>
      </c>
      <c r="G485" s="9" t="n">
        <v>2658597</v>
      </c>
      <c r="H485" s="7" t="s">
        <v>16</v>
      </c>
    </row>
    <row r="486" customFormat="false" ht="15" hidden="true" customHeight="false" outlineLevel="1" collapsed="false">
      <c r="A486" s="7" t="s">
        <v>662</v>
      </c>
      <c r="B486" s="7" t="s">
        <v>663</v>
      </c>
      <c r="C486" s="7" t="s">
        <v>666</v>
      </c>
      <c r="D486" s="7" t="s">
        <v>20</v>
      </c>
      <c r="E486" s="8" t="n">
        <v>46278</v>
      </c>
      <c r="F486" s="9" t="n">
        <v>22885</v>
      </c>
      <c r="G486" s="9" t="n">
        <v>143330</v>
      </c>
      <c r="H486" s="7" t="s">
        <v>16</v>
      </c>
    </row>
    <row r="487" customFormat="false" ht="15" hidden="false" customHeight="false" outlineLevel="0" collapsed="false">
      <c r="A487" s="5" t="s">
        <v>667</v>
      </c>
      <c r="B487" s="5" t="s">
        <v>668</v>
      </c>
      <c r="C487" s="5" t="s">
        <v>37</v>
      </c>
      <c r="D487" s="5" t="s">
        <v>13</v>
      </c>
      <c r="E487" s="5"/>
      <c r="F487" s="6" t="n">
        <f aca="false">SUMIFS(Base!$G:$G,Base!$A:$A,$A487)</f>
        <v>0</v>
      </c>
      <c r="G487" s="6" t="n">
        <f aca="false">SUMIFS(Base!$I:$I,Base!$A:$A,$A487)</f>
        <v>958402</v>
      </c>
      <c r="H487" s="5"/>
    </row>
    <row r="488" customFormat="false" ht="15" hidden="true" customHeight="false" outlineLevel="1" collapsed="false">
      <c r="A488" s="7" t="s">
        <v>667</v>
      </c>
      <c r="B488" s="7" t="s">
        <v>668</v>
      </c>
      <c r="C488" s="7" t="s">
        <v>669</v>
      </c>
      <c r="D488" s="7" t="s">
        <v>20</v>
      </c>
      <c r="E488" s="8" t="n">
        <v>46268</v>
      </c>
      <c r="F488" s="9" t="n">
        <v>0</v>
      </c>
      <c r="G488" s="9" t="n">
        <v>672643</v>
      </c>
      <c r="H488" s="7" t="s">
        <v>40</v>
      </c>
    </row>
    <row r="489" customFormat="false" ht="15" hidden="true" customHeight="false" outlineLevel="1" collapsed="false">
      <c r="A489" s="7" t="s">
        <v>667</v>
      </c>
      <c r="B489" s="7" t="s">
        <v>668</v>
      </c>
      <c r="C489" s="7" t="s">
        <v>670</v>
      </c>
      <c r="D489" s="7" t="s">
        <v>20</v>
      </c>
      <c r="E489" s="8" t="n">
        <v>46268</v>
      </c>
      <c r="F489" s="9" t="n">
        <v>0</v>
      </c>
      <c r="G489" s="9" t="n">
        <v>401614</v>
      </c>
      <c r="H489" s="7" t="s">
        <v>40</v>
      </c>
    </row>
    <row r="490" customFormat="false" ht="15" hidden="true" customHeight="false" outlineLevel="1" collapsed="false">
      <c r="A490" s="7" t="s">
        <v>667</v>
      </c>
      <c r="B490" s="7" t="s">
        <v>668</v>
      </c>
      <c r="C490" s="7" t="s">
        <v>671</v>
      </c>
      <c r="D490" s="7" t="s">
        <v>31</v>
      </c>
      <c r="E490" s="8" t="n">
        <v>46274</v>
      </c>
      <c r="F490" s="9" t="n">
        <v>0</v>
      </c>
      <c r="G490" s="9" t="n">
        <v>-115855</v>
      </c>
      <c r="H490" s="7" t="s">
        <v>26</v>
      </c>
    </row>
    <row r="491" customFormat="false" ht="15" hidden="false" customHeight="false" outlineLevel="0" collapsed="false">
      <c r="A491" s="5" t="s">
        <v>672</v>
      </c>
      <c r="B491" s="5" t="s">
        <v>673</v>
      </c>
      <c r="C491" s="5" t="s">
        <v>674</v>
      </c>
      <c r="D491" s="5" t="s">
        <v>13</v>
      </c>
      <c r="E491" s="5"/>
      <c r="F491" s="6" t="n">
        <f aca="false">SUMIFS(Base!$G:$G,Base!$A:$A,$A491)</f>
        <v>1034044.83</v>
      </c>
      <c r="G491" s="6" t="n">
        <f aca="false">SUMIFS(Base!$I:$I,Base!$A:$A,$A491)</f>
        <v>5589186</v>
      </c>
      <c r="H491" s="5"/>
    </row>
    <row r="492" customFormat="false" ht="15" hidden="true" customHeight="false" outlineLevel="1" collapsed="false">
      <c r="A492" s="7" t="s">
        <v>672</v>
      </c>
      <c r="B492" s="7" t="s">
        <v>673</v>
      </c>
      <c r="C492" s="7" t="s">
        <v>675</v>
      </c>
      <c r="D492" s="7" t="s">
        <v>20</v>
      </c>
      <c r="E492" s="8" t="n">
        <v>46266</v>
      </c>
      <c r="F492" s="9" t="n">
        <v>8526.05</v>
      </c>
      <c r="G492" s="9" t="n">
        <v>53400</v>
      </c>
      <c r="H492" s="7" t="s">
        <v>26</v>
      </c>
    </row>
    <row r="493" customFormat="false" ht="15" hidden="true" customHeight="false" outlineLevel="1" collapsed="false">
      <c r="A493" s="7" t="s">
        <v>672</v>
      </c>
      <c r="B493" s="7" t="s">
        <v>673</v>
      </c>
      <c r="C493" s="7" t="s">
        <v>676</v>
      </c>
      <c r="D493" s="7" t="s">
        <v>20</v>
      </c>
      <c r="E493" s="8" t="n">
        <v>46274</v>
      </c>
      <c r="F493" s="9" t="n">
        <v>136752.1</v>
      </c>
      <c r="G493" s="9" t="n">
        <v>856500</v>
      </c>
      <c r="H493" s="7" t="s">
        <v>16</v>
      </c>
    </row>
    <row r="494" customFormat="false" ht="15" hidden="true" customHeight="false" outlineLevel="1" collapsed="false">
      <c r="A494" s="7" t="s">
        <v>672</v>
      </c>
      <c r="B494" s="7" t="s">
        <v>673</v>
      </c>
      <c r="C494" s="7" t="s">
        <v>677</v>
      </c>
      <c r="D494" s="7" t="s">
        <v>20</v>
      </c>
      <c r="E494" s="8" t="n">
        <v>46274</v>
      </c>
      <c r="F494" s="9" t="n">
        <v>7631.93</v>
      </c>
      <c r="G494" s="9" t="n">
        <v>47800</v>
      </c>
      <c r="H494" s="7" t="s">
        <v>16</v>
      </c>
    </row>
    <row r="495" customFormat="false" ht="15" hidden="true" customHeight="false" outlineLevel="1" collapsed="false">
      <c r="A495" s="7" t="s">
        <v>672</v>
      </c>
      <c r="B495" s="7" t="s">
        <v>673</v>
      </c>
      <c r="C495" s="7" t="s">
        <v>678</v>
      </c>
      <c r="D495" s="7" t="s">
        <v>31</v>
      </c>
      <c r="E495" s="8" t="n">
        <v>46275</v>
      </c>
      <c r="F495" s="9" t="n">
        <v>16716.81</v>
      </c>
      <c r="G495" s="9" t="n">
        <v>-104700</v>
      </c>
      <c r="H495" s="7" t="s">
        <v>26</v>
      </c>
    </row>
    <row r="496" customFormat="false" ht="15" hidden="true" customHeight="false" outlineLevel="1" collapsed="false">
      <c r="A496" s="7" t="s">
        <v>672</v>
      </c>
      <c r="B496" s="7" t="s">
        <v>673</v>
      </c>
      <c r="C496" s="7" t="s">
        <v>679</v>
      </c>
      <c r="D496" s="7" t="s">
        <v>20</v>
      </c>
      <c r="E496" s="8" t="n">
        <v>46275</v>
      </c>
      <c r="F496" s="9" t="n">
        <v>62524.37</v>
      </c>
      <c r="G496" s="9" t="n">
        <v>391600</v>
      </c>
      <c r="H496" s="7" t="s">
        <v>16</v>
      </c>
    </row>
    <row r="497" customFormat="false" ht="15" hidden="true" customHeight="false" outlineLevel="1" collapsed="false">
      <c r="A497" s="7" t="s">
        <v>672</v>
      </c>
      <c r="B497" s="7" t="s">
        <v>673</v>
      </c>
      <c r="C497" s="7" t="s">
        <v>680</v>
      </c>
      <c r="D497" s="7" t="s">
        <v>20</v>
      </c>
      <c r="E497" s="8" t="n">
        <v>46275</v>
      </c>
      <c r="F497" s="9" t="n">
        <v>17115.97</v>
      </c>
      <c r="G497" s="9" t="n">
        <v>292400</v>
      </c>
      <c r="H497" s="7" t="s">
        <v>16</v>
      </c>
    </row>
    <row r="498" customFormat="false" ht="15" hidden="true" customHeight="false" outlineLevel="1" collapsed="false">
      <c r="A498" s="7" t="s">
        <v>672</v>
      </c>
      <c r="B498" s="7" t="s">
        <v>673</v>
      </c>
      <c r="C498" s="7" t="s">
        <v>681</v>
      </c>
      <c r="D498" s="7" t="s">
        <v>31</v>
      </c>
      <c r="E498" s="8" t="n">
        <v>46275</v>
      </c>
      <c r="F498" s="9" t="n">
        <v>62524.37</v>
      </c>
      <c r="G498" s="9" t="n">
        <v>-391600</v>
      </c>
      <c r="H498" s="7" t="s">
        <v>26</v>
      </c>
    </row>
    <row r="499" customFormat="false" ht="15" hidden="true" customHeight="false" outlineLevel="1" collapsed="false">
      <c r="A499" s="7" t="s">
        <v>672</v>
      </c>
      <c r="B499" s="7" t="s">
        <v>673</v>
      </c>
      <c r="C499" s="7" t="s">
        <v>682</v>
      </c>
      <c r="D499" s="7" t="s">
        <v>20</v>
      </c>
      <c r="E499" s="8" t="n">
        <v>46275</v>
      </c>
      <c r="F499" s="9" t="n">
        <v>384462.6</v>
      </c>
      <c r="G499" s="9" t="n">
        <v>2407950</v>
      </c>
      <c r="H499" s="7" t="s">
        <v>16</v>
      </c>
    </row>
    <row r="500" customFormat="false" ht="15" hidden="true" customHeight="false" outlineLevel="1" collapsed="false">
      <c r="A500" s="7" t="s">
        <v>672</v>
      </c>
      <c r="B500" s="7" t="s">
        <v>673</v>
      </c>
      <c r="C500" s="7" t="s">
        <v>683</v>
      </c>
      <c r="D500" s="7" t="s">
        <v>20</v>
      </c>
      <c r="E500" s="8" t="n">
        <v>46275</v>
      </c>
      <c r="F500" s="9" t="n">
        <v>31916.81</v>
      </c>
      <c r="G500" s="9" t="n">
        <v>199900</v>
      </c>
      <c r="H500" s="7" t="s">
        <v>16</v>
      </c>
    </row>
    <row r="501" customFormat="false" ht="15" hidden="true" customHeight="false" outlineLevel="1" collapsed="false">
      <c r="A501" s="7" t="s">
        <v>672</v>
      </c>
      <c r="B501" s="7" t="s">
        <v>673</v>
      </c>
      <c r="C501" s="7" t="s">
        <v>684</v>
      </c>
      <c r="D501" s="7" t="s">
        <v>20</v>
      </c>
      <c r="E501" s="8" t="n">
        <v>46275</v>
      </c>
      <c r="F501" s="9" t="n">
        <v>142891.18</v>
      </c>
      <c r="G501" s="9" t="n">
        <v>894950</v>
      </c>
      <c r="H501" s="7" t="s">
        <v>16</v>
      </c>
    </row>
    <row r="502" customFormat="false" ht="15" hidden="true" customHeight="false" outlineLevel="1" collapsed="false">
      <c r="A502" s="7" t="s">
        <v>672</v>
      </c>
      <c r="B502" s="7" t="s">
        <v>673</v>
      </c>
      <c r="C502" s="7" t="s">
        <v>685</v>
      </c>
      <c r="D502" s="7" t="s">
        <v>20</v>
      </c>
      <c r="E502" s="8" t="n">
        <v>46279</v>
      </c>
      <c r="F502" s="9" t="n">
        <v>40347.06</v>
      </c>
      <c r="G502" s="9" t="n">
        <v>252700</v>
      </c>
      <c r="H502" s="7" t="s">
        <v>16</v>
      </c>
    </row>
    <row r="503" customFormat="false" ht="15" hidden="true" customHeight="false" outlineLevel="1" collapsed="false">
      <c r="A503" s="7" t="s">
        <v>672</v>
      </c>
      <c r="B503" s="7" t="s">
        <v>673</v>
      </c>
      <c r="C503" s="7" t="s">
        <v>686</v>
      </c>
      <c r="D503" s="7" t="s">
        <v>20</v>
      </c>
      <c r="E503" s="8" t="n">
        <v>46279</v>
      </c>
      <c r="F503" s="9" t="n">
        <v>19255.47</v>
      </c>
      <c r="G503" s="9" t="n">
        <v>120600</v>
      </c>
      <c r="H503" s="7" t="s">
        <v>26</v>
      </c>
    </row>
    <row r="504" customFormat="false" ht="15" hidden="true" customHeight="false" outlineLevel="1" collapsed="false">
      <c r="A504" s="7" t="s">
        <v>672</v>
      </c>
      <c r="B504" s="7" t="s">
        <v>673</v>
      </c>
      <c r="C504" s="7" t="s">
        <v>687</v>
      </c>
      <c r="D504" s="7" t="s">
        <v>20</v>
      </c>
      <c r="E504" s="8" t="n">
        <v>46281</v>
      </c>
      <c r="F504" s="9" t="n">
        <v>5173.11</v>
      </c>
      <c r="G504" s="9" t="n">
        <v>32400</v>
      </c>
      <c r="H504" s="7" t="s">
        <v>16</v>
      </c>
    </row>
    <row r="505" customFormat="false" ht="15" hidden="true" customHeight="false" outlineLevel="1" collapsed="false">
      <c r="A505" s="7" t="s">
        <v>672</v>
      </c>
      <c r="B505" s="7" t="s">
        <v>673</v>
      </c>
      <c r="C505" s="7" t="s">
        <v>688</v>
      </c>
      <c r="D505" s="7" t="s">
        <v>31</v>
      </c>
      <c r="E505" s="8" t="n">
        <v>46286</v>
      </c>
      <c r="F505" s="9" t="n">
        <v>6370.59</v>
      </c>
      <c r="G505" s="9" t="n">
        <v>-39900</v>
      </c>
      <c r="H505" s="7" t="s">
        <v>26</v>
      </c>
    </row>
    <row r="506" customFormat="false" ht="15" hidden="true" customHeight="false" outlineLevel="1" collapsed="false">
      <c r="A506" s="7" t="s">
        <v>672</v>
      </c>
      <c r="B506" s="7" t="s">
        <v>673</v>
      </c>
      <c r="C506" s="7" t="s">
        <v>689</v>
      </c>
      <c r="D506" s="7" t="s">
        <v>20</v>
      </c>
      <c r="E506" s="8" t="n">
        <v>46286</v>
      </c>
      <c r="F506" s="9" t="n">
        <v>47021.02</v>
      </c>
      <c r="G506" s="9" t="n">
        <v>294500</v>
      </c>
      <c r="H506" s="7" t="s">
        <v>16</v>
      </c>
    </row>
    <row r="507" customFormat="false" ht="15" hidden="true" customHeight="false" outlineLevel="1" collapsed="false">
      <c r="A507" s="7" t="s">
        <v>672</v>
      </c>
      <c r="B507" s="7" t="s">
        <v>673</v>
      </c>
      <c r="C507" s="7" t="s">
        <v>690</v>
      </c>
      <c r="D507" s="7" t="s">
        <v>20</v>
      </c>
      <c r="E507" s="8" t="n">
        <v>46289</v>
      </c>
      <c r="F507" s="9" t="n">
        <v>2538.66</v>
      </c>
      <c r="G507" s="9" t="n">
        <v>15900</v>
      </c>
      <c r="H507" s="7" t="s">
        <v>16</v>
      </c>
    </row>
    <row r="508" customFormat="false" ht="15" hidden="true" customHeight="false" outlineLevel="1" collapsed="false">
      <c r="A508" s="7" t="s">
        <v>672</v>
      </c>
      <c r="B508" s="7" t="s">
        <v>673</v>
      </c>
      <c r="C508" s="7" t="s">
        <v>691</v>
      </c>
      <c r="D508" s="7" t="s">
        <v>20</v>
      </c>
      <c r="E508" s="8" t="n">
        <v>46290</v>
      </c>
      <c r="F508" s="9" t="n">
        <v>12821</v>
      </c>
      <c r="G508" s="9" t="n">
        <v>80300</v>
      </c>
      <c r="H508" s="7" t="s">
        <v>16</v>
      </c>
    </row>
    <row r="509" customFormat="false" ht="15" hidden="true" customHeight="false" outlineLevel="1" collapsed="false">
      <c r="A509" s="7" t="s">
        <v>672</v>
      </c>
      <c r="B509" s="7" t="s">
        <v>673</v>
      </c>
      <c r="C509" s="7" t="s">
        <v>692</v>
      </c>
      <c r="D509" s="7" t="s">
        <v>20</v>
      </c>
      <c r="E509" s="8" t="n">
        <v>46291</v>
      </c>
      <c r="F509" s="9" t="n">
        <v>14479.27</v>
      </c>
      <c r="G509" s="9" t="n">
        <v>90686</v>
      </c>
      <c r="H509" s="7" t="s">
        <v>16</v>
      </c>
    </row>
    <row r="510" customFormat="false" ht="15" hidden="true" customHeight="false" outlineLevel="1" collapsed="false">
      <c r="A510" s="7" t="s">
        <v>672</v>
      </c>
      <c r="B510" s="7" t="s">
        <v>673</v>
      </c>
      <c r="C510" s="7" t="s">
        <v>693</v>
      </c>
      <c r="D510" s="7" t="s">
        <v>20</v>
      </c>
      <c r="E510" s="8" t="n">
        <v>46293</v>
      </c>
      <c r="F510" s="9" t="n">
        <v>14976.46</v>
      </c>
      <c r="G510" s="9" t="n">
        <v>93800</v>
      </c>
      <c r="H510" s="7" t="s">
        <v>26</v>
      </c>
    </row>
    <row r="511" customFormat="false" ht="15" hidden="false" customHeight="false" outlineLevel="0" collapsed="false">
      <c r="A511" s="5" t="s">
        <v>694</v>
      </c>
      <c r="B511" s="5" t="s">
        <v>695</v>
      </c>
      <c r="C511" s="5" t="s">
        <v>99</v>
      </c>
      <c r="D511" s="5" t="s">
        <v>13</v>
      </c>
      <c r="E511" s="5"/>
      <c r="F511" s="6" t="n">
        <f aca="false">SUMIFS(Base!$G:$G,Base!$A:$A,$A511)</f>
        <v>1972688.87</v>
      </c>
      <c r="G511" s="6" t="n">
        <f aca="false">SUMIFS(Base!$I:$I,Base!$A:$A,$A511)</f>
        <v>23199561.87</v>
      </c>
      <c r="H511" s="5"/>
    </row>
    <row r="512" customFormat="false" ht="15" hidden="true" customHeight="false" outlineLevel="1" collapsed="false">
      <c r="A512" s="7" t="s">
        <v>694</v>
      </c>
      <c r="B512" s="7" t="s">
        <v>695</v>
      </c>
      <c r="C512" s="7" t="s">
        <v>696</v>
      </c>
      <c r="D512" s="7" t="s">
        <v>20</v>
      </c>
      <c r="E512" s="8" t="n">
        <v>46280</v>
      </c>
      <c r="F512" s="9" t="n">
        <v>1167796.05</v>
      </c>
      <c r="G512" s="9" t="n">
        <v>14542891.05</v>
      </c>
      <c r="H512" s="7" t="s">
        <v>26</v>
      </c>
    </row>
    <row r="513" customFormat="false" ht="15" hidden="true" customHeight="false" outlineLevel="1" collapsed="false">
      <c r="A513" s="7" t="s">
        <v>694</v>
      </c>
      <c r="B513" s="7" t="s">
        <v>695</v>
      </c>
      <c r="C513" s="7" t="s">
        <v>697</v>
      </c>
      <c r="D513" s="7" t="s">
        <v>20</v>
      </c>
      <c r="E513" s="8" t="n">
        <v>46280</v>
      </c>
      <c r="F513" s="9" t="n">
        <v>804892.82</v>
      </c>
      <c r="G513" s="9" t="n">
        <v>8656670.82</v>
      </c>
      <c r="H513" s="7" t="s">
        <v>26</v>
      </c>
    </row>
    <row r="514" customFormat="false" ht="15" hidden="false" customHeight="false" outlineLevel="0" collapsed="false">
      <c r="A514" s="5" t="s">
        <v>698</v>
      </c>
      <c r="B514" s="5" t="s">
        <v>699</v>
      </c>
      <c r="C514" s="5" t="s">
        <v>12</v>
      </c>
      <c r="D514" s="5" t="s">
        <v>13</v>
      </c>
      <c r="E514" s="5"/>
      <c r="F514" s="6" t="n">
        <f aca="false">SUMIFS(Base!$G:$G,Base!$A:$A,$A514)</f>
        <v>89539</v>
      </c>
      <c r="G514" s="6" t="n">
        <f aca="false">SUMIFS(Base!$I:$I,Base!$A:$A,$A514)</f>
        <v>560799</v>
      </c>
      <c r="H514" s="5"/>
    </row>
    <row r="515" customFormat="false" ht="15" hidden="true" customHeight="false" outlineLevel="1" collapsed="false">
      <c r="A515" s="7" t="s">
        <v>698</v>
      </c>
      <c r="B515" s="7" t="s">
        <v>699</v>
      </c>
      <c r="C515" s="7" t="s">
        <v>700</v>
      </c>
      <c r="D515" s="7" t="s">
        <v>20</v>
      </c>
      <c r="E515" s="8" t="n">
        <v>46276</v>
      </c>
      <c r="F515" s="9" t="n">
        <v>89539</v>
      </c>
      <c r="G515" s="9" t="n">
        <v>560799</v>
      </c>
      <c r="H515" s="7" t="s">
        <v>16</v>
      </c>
    </row>
    <row r="516" customFormat="false" ht="15" hidden="false" customHeight="false" outlineLevel="0" collapsed="false">
      <c r="A516" s="5" t="s">
        <v>701</v>
      </c>
      <c r="B516" s="5" t="s">
        <v>702</v>
      </c>
      <c r="C516" s="5" t="s">
        <v>12</v>
      </c>
      <c r="D516" s="5" t="s">
        <v>13</v>
      </c>
      <c r="E516" s="5"/>
      <c r="F516" s="6" t="n">
        <f aca="false">SUMIFS(Base!$G:$G,Base!$A:$A,$A516)</f>
        <v>0</v>
      </c>
      <c r="G516" s="6" t="n">
        <f aca="false">SUMIFS(Base!$I:$I,Base!$A:$A,$A516)</f>
        <v>1626400</v>
      </c>
      <c r="H516" s="5"/>
    </row>
    <row r="517" customFormat="false" ht="15" hidden="true" customHeight="false" outlineLevel="1" collapsed="false">
      <c r="A517" s="7" t="s">
        <v>701</v>
      </c>
      <c r="B517" s="7" t="s">
        <v>702</v>
      </c>
      <c r="C517" s="7" t="s">
        <v>703</v>
      </c>
      <c r="D517" s="7" t="s">
        <v>15</v>
      </c>
      <c r="E517" s="8" t="n">
        <v>46279</v>
      </c>
      <c r="F517" s="9" t="n">
        <v>0</v>
      </c>
      <c r="G517" s="9" t="n">
        <v>1626400</v>
      </c>
      <c r="H517" s="7" t="s">
        <v>40</v>
      </c>
    </row>
    <row r="518" customFormat="false" ht="15" hidden="false" customHeight="false" outlineLevel="0" collapsed="false">
      <c r="A518" s="5" t="s">
        <v>704</v>
      </c>
      <c r="B518" s="5" t="s">
        <v>705</v>
      </c>
      <c r="C518" s="5" t="s">
        <v>99</v>
      </c>
      <c r="D518" s="5" t="s">
        <v>13</v>
      </c>
      <c r="E518" s="5"/>
      <c r="F518" s="6" t="n">
        <f aca="false">SUMIFS(Base!$G:$G,Base!$A:$A,$A518)</f>
        <v>13731.09</v>
      </c>
      <c r="G518" s="6" t="n">
        <f aca="false">SUMIFS(Base!$I:$I,Base!$A:$A,$A518)</f>
        <v>86000</v>
      </c>
      <c r="H518" s="5"/>
    </row>
    <row r="519" customFormat="false" ht="15" hidden="true" customHeight="false" outlineLevel="1" collapsed="false">
      <c r="A519" s="7" t="s">
        <v>704</v>
      </c>
      <c r="B519" s="7" t="s">
        <v>705</v>
      </c>
      <c r="C519" s="7" t="s">
        <v>706</v>
      </c>
      <c r="D519" s="7" t="s">
        <v>20</v>
      </c>
      <c r="E519" s="8" t="n">
        <v>46289</v>
      </c>
      <c r="F519" s="9" t="n">
        <v>10537.81</v>
      </c>
      <c r="G519" s="9" t="n">
        <v>66000</v>
      </c>
      <c r="H519" s="7" t="s">
        <v>16</v>
      </c>
    </row>
    <row r="520" customFormat="false" ht="15" hidden="true" customHeight="false" outlineLevel="1" collapsed="false">
      <c r="A520" s="7" t="s">
        <v>704</v>
      </c>
      <c r="B520" s="7" t="s">
        <v>705</v>
      </c>
      <c r="C520" s="7" t="s">
        <v>707</v>
      </c>
      <c r="D520" s="7" t="s">
        <v>20</v>
      </c>
      <c r="E520" s="8" t="n">
        <v>46290</v>
      </c>
      <c r="F520" s="9" t="n">
        <v>3193.28</v>
      </c>
      <c r="G520" s="9" t="n">
        <v>20000</v>
      </c>
      <c r="H520" s="7" t="s">
        <v>16</v>
      </c>
    </row>
    <row r="521" customFormat="false" ht="15" hidden="false" customHeight="false" outlineLevel="0" collapsed="false">
      <c r="A521" s="5" t="s">
        <v>708</v>
      </c>
      <c r="B521" s="5" t="s">
        <v>709</v>
      </c>
      <c r="C521" s="5" t="s">
        <v>99</v>
      </c>
      <c r="D521" s="5" t="s">
        <v>13</v>
      </c>
      <c r="E521" s="5"/>
      <c r="F521" s="6" t="n">
        <f aca="false">SUMIFS(Base!$G:$G,Base!$A:$A,$A521)</f>
        <v>0</v>
      </c>
      <c r="G521" s="6" t="n">
        <f aca="false">SUMIFS(Base!$I:$I,Base!$A:$A,$A521)</f>
        <v>683480</v>
      </c>
      <c r="H521" s="5"/>
    </row>
    <row r="522" customFormat="false" ht="15" hidden="true" customHeight="false" outlineLevel="1" collapsed="false">
      <c r="A522" s="7" t="s">
        <v>708</v>
      </c>
      <c r="B522" s="7" t="s">
        <v>709</v>
      </c>
      <c r="C522" s="7" t="s">
        <v>710</v>
      </c>
      <c r="D522" s="7" t="s">
        <v>20</v>
      </c>
      <c r="E522" s="8" t="n">
        <v>46286</v>
      </c>
      <c r="F522" s="9" t="n">
        <v>0</v>
      </c>
      <c r="G522" s="9" t="n">
        <v>43820</v>
      </c>
      <c r="H522" s="7" t="s">
        <v>16</v>
      </c>
    </row>
    <row r="523" customFormat="false" ht="15" hidden="true" customHeight="false" outlineLevel="1" collapsed="false">
      <c r="A523" s="7" t="s">
        <v>708</v>
      </c>
      <c r="B523" s="7" t="s">
        <v>709</v>
      </c>
      <c r="C523" s="7" t="s">
        <v>711</v>
      </c>
      <c r="D523" s="7" t="s">
        <v>20</v>
      </c>
      <c r="E523" s="8" t="n">
        <v>46287</v>
      </c>
      <c r="F523" s="9" t="n">
        <v>0</v>
      </c>
      <c r="G523" s="9" t="n">
        <v>639660</v>
      </c>
      <c r="H523" s="7" t="s">
        <v>16</v>
      </c>
    </row>
    <row r="524" customFormat="false" ht="15" hidden="false" customHeight="false" outlineLevel="0" collapsed="false">
      <c r="A524" s="5" t="s">
        <v>712</v>
      </c>
      <c r="B524" s="5" t="s">
        <v>713</v>
      </c>
      <c r="C524" s="5" t="s">
        <v>37</v>
      </c>
      <c r="D524" s="5" t="s">
        <v>13</v>
      </c>
      <c r="E524" s="5"/>
      <c r="F524" s="6" t="n">
        <f aca="false">SUMIFS(Base!$G:$G,Base!$A:$A,$A524)</f>
        <v>27781.5</v>
      </c>
      <c r="G524" s="6" t="n">
        <f aca="false">SUMIFS(Base!$I:$I,Base!$A:$A,$A524)</f>
        <v>174000</v>
      </c>
      <c r="H524" s="5"/>
    </row>
    <row r="525" customFormat="false" ht="15" hidden="true" customHeight="false" outlineLevel="1" collapsed="false">
      <c r="A525" s="7" t="s">
        <v>712</v>
      </c>
      <c r="B525" s="7" t="s">
        <v>713</v>
      </c>
      <c r="C525" s="7" t="s">
        <v>714</v>
      </c>
      <c r="D525" s="7" t="s">
        <v>20</v>
      </c>
      <c r="E525" s="8" t="n">
        <v>46266</v>
      </c>
      <c r="F525" s="9" t="n">
        <v>7983.19</v>
      </c>
      <c r="G525" s="9" t="n">
        <v>50000</v>
      </c>
      <c r="H525" s="7" t="s">
        <v>16</v>
      </c>
    </row>
    <row r="526" customFormat="false" ht="15" hidden="true" customHeight="false" outlineLevel="1" collapsed="false">
      <c r="A526" s="7" t="s">
        <v>712</v>
      </c>
      <c r="B526" s="7" t="s">
        <v>713</v>
      </c>
      <c r="C526" s="7" t="s">
        <v>715</v>
      </c>
      <c r="D526" s="7" t="s">
        <v>20</v>
      </c>
      <c r="E526" s="8" t="n">
        <v>46269</v>
      </c>
      <c r="F526" s="9" t="n">
        <v>5588.23</v>
      </c>
      <c r="G526" s="9" t="n">
        <v>35000</v>
      </c>
      <c r="H526" s="7" t="s">
        <v>16</v>
      </c>
    </row>
    <row r="527" customFormat="false" ht="15" hidden="true" customHeight="false" outlineLevel="1" collapsed="false">
      <c r="A527" s="7" t="s">
        <v>712</v>
      </c>
      <c r="B527" s="7" t="s">
        <v>713</v>
      </c>
      <c r="C527" s="7" t="s">
        <v>716</v>
      </c>
      <c r="D527" s="7" t="s">
        <v>20</v>
      </c>
      <c r="E527" s="8" t="n">
        <v>46293</v>
      </c>
      <c r="F527" s="9" t="n">
        <v>14210.08</v>
      </c>
      <c r="G527" s="9" t="n">
        <v>89000</v>
      </c>
      <c r="H527" s="7" t="s">
        <v>16</v>
      </c>
    </row>
    <row r="528" customFormat="false" ht="15" hidden="false" customHeight="false" outlineLevel="0" collapsed="false">
      <c r="A528" s="5" t="s">
        <v>717</v>
      </c>
      <c r="B528" s="5" t="s">
        <v>718</v>
      </c>
      <c r="C528" s="5" t="s">
        <v>176</v>
      </c>
      <c r="D528" s="5" t="s">
        <v>13</v>
      </c>
      <c r="E528" s="5"/>
      <c r="F528" s="6" t="n">
        <f aca="false">SUMIFS(Base!$G:$G,Base!$A:$A,$A528)</f>
        <v>0</v>
      </c>
      <c r="G528" s="6" t="n">
        <f aca="false">SUMIFS(Base!$I:$I,Base!$A:$A,$A528)</f>
        <v>2460590</v>
      </c>
      <c r="H528" s="5"/>
    </row>
    <row r="529" customFormat="false" ht="15" hidden="true" customHeight="false" outlineLevel="1" collapsed="false">
      <c r="A529" s="7" t="s">
        <v>717</v>
      </c>
      <c r="B529" s="7" t="s">
        <v>718</v>
      </c>
      <c r="C529" s="7" t="s">
        <v>719</v>
      </c>
      <c r="D529" s="7" t="s">
        <v>20</v>
      </c>
      <c r="E529" s="8" t="n">
        <v>46272</v>
      </c>
      <c r="F529" s="9" t="n">
        <v>0</v>
      </c>
      <c r="G529" s="9" t="n">
        <v>806247</v>
      </c>
      <c r="H529" s="7" t="s">
        <v>16</v>
      </c>
    </row>
    <row r="530" customFormat="false" ht="15" hidden="true" customHeight="false" outlineLevel="1" collapsed="false">
      <c r="A530" s="7" t="s">
        <v>717</v>
      </c>
      <c r="B530" s="7" t="s">
        <v>718</v>
      </c>
      <c r="C530" s="7" t="s">
        <v>720</v>
      </c>
      <c r="D530" s="7" t="s">
        <v>20</v>
      </c>
      <c r="E530" s="8" t="n">
        <v>46279</v>
      </c>
      <c r="F530" s="9" t="n">
        <v>0</v>
      </c>
      <c r="G530" s="9" t="n">
        <v>725860</v>
      </c>
      <c r="H530" s="7" t="s">
        <v>16</v>
      </c>
    </row>
    <row r="531" customFormat="false" ht="15" hidden="true" customHeight="false" outlineLevel="1" collapsed="false">
      <c r="A531" s="7" t="s">
        <v>717</v>
      </c>
      <c r="B531" s="7" t="s">
        <v>718</v>
      </c>
      <c r="C531" s="7" t="s">
        <v>721</v>
      </c>
      <c r="D531" s="7" t="s">
        <v>20</v>
      </c>
      <c r="E531" s="8" t="n">
        <v>46286</v>
      </c>
      <c r="F531" s="9" t="n">
        <v>0</v>
      </c>
      <c r="G531" s="9" t="n">
        <v>444843</v>
      </c>
      <c r="H531" s="7" t="s">
        <v>16</v>
      </c>
    </row>
    <row r="532" customFormat="false" ht="15" hidden="true" customHeight="false" outlineLevel="1" collapsed="false">
      <c r="A532" s="7" t="s">
        <v>717</v>
      </c>
      <c r="B532" s="7" t="s">
        <v>718</v>
      </c>
      <c r="C532" s="7" t="s">
        <v>722</v>
      </c>
      <c r="D532" s="7" t="s">
        <v>20</v>
      </c>
      <c r="E532" s="8" t="n">
        <v>46293</v>
      </c>
      <c r="F532" s="9" t="n">
        <v>0</v>
      </c>
      <c r="G532" s="9" t="n">
        <v>483640</v>
      </c>
      <c r="H532" s="7" t="s">
        <v>16</v>
      </c>
    </row>
    <row r="533" customFormat="false" ht="15" hidden="false" customHeight="false" outlineLevel="0" collapsed="false">
      <c r="A533" s="5" t="s">
        <v>723</v>
      </c>
      <c r="B533" s="5" t="s">
        <v>724</v>
      </c>
      <c r="C533" s="5" t="s">
        <v>12</v>
      </c>
      <c r="D533" s="5" t="s">
        <v>13</v>
      </c>
      <c r="E533" s="5"/>
      <c r="F533" s="6" t="n">
        <f aca="false">SUMIFS(Base!$G:$G,Base!$A:$A,$A533)</f>
        <v>447.07</v>
      </c>
      <c r="G533" s="6" t="n">
        <f aca="false">SUMIFS(Base!$I:$I,Base!$A:$A,$A533)</f>
        <v>2800.07</v>
      </c>
      <c r="H533" s="5"/>
    </row>
    <row r="534" customFormat="false" ht="15" hidden="true" customHeight="false" outlineLevel="1" collapsed="false">
      <c r="A534" s="7" t="s">
        <v>723</v>
      </c>
      <c r="B534" s="7" t="s">
        <v>724</v>
      </c>
      <c r="C534" s="7" t="s">
        <v>725</v>
      </c>
      <c r="D534" s="7" t="s">
        <v>20</v>
      </c>
      <c r="E534" s="8" t="n">
        <v>46275</v>
      </c>
      <c r="F534" s="9" t="n">
        <v>447.07</v>
      </c>
      <c r="G534" s="9" t="n">
        <v>2800.07</v>
      </c>
      <c r="H534" s="7" t="s">
        <v>26</v>
      </c>
    </row>
    <row r="535" customFormat="false" ht="15" hidden="false" customHeight="false" outlineLevel="0" collapsed="false">
      <c r="A535" s="5" t="s">
        <v>726</v>
      </c>
      <c r="B535" s="5" t="s">
        <v>727</v>
      </c>
      <c r="C535" s="5" t="s">
        <v>12</v>
      </c>
      <c r="D535" s="5" t="s">
        <v>13</v>
      </c>
      <c r="E535" s="5"/>
      <c r="F535" s="6" t="n">
        <f aca="false">SUMIFS(Base!$G:$G,Base!$A:$A,$A535)</f>
        <v>0</v>
      </c>
      <c r="G535" s="6" t="n">
        <f aca="false">SUMIFS(Base!$I:$I,Base!$A:$A,$A535)</f>
        <v>7500000</v>
      </c>
      <c r="H535" s="5"/>
    </row>
    <row r="536" customFormat="false" ht="15" hidden="true" customHeight="false" outlineLevel="1" collapsed="false">
      <c r="A536" s="7" t="s">
        <v>726</v>
      </c>
      <c r="B536" s="7" t="s">
        <v>727</v>
      </c>
      <c r="C536" s="7" t="s">
        <v>728</v>
      </c>
      <c r="D536" s="7" t="s">
        <v>20</v>
      </c>
      <c r="E536" s="8" t="n">
        <v>46267</v>
      </c>
      <c r="F536" s="9" t="n">
        <v>0</v>
      </c>
      <c r="G536" s="9" t="n">
        <v>7500000</v>
      </c>
      <c r="H536" s="7" t="s">
        <v>16</v>
      </c>
    </row>
    <row r="537" customFormat="false" ht="15" hidden="false" customHeight="false" outlineLevel="0" collapsed="false">
      <c r="A537" s="5" t="s">
        <v>729</v>
      </c>
      <c r="B537" s="5" t="s">
        <v>730</v>
      </c>
      <c r="C537" s="5" t="s">
        <v>99</v>
      </c>
      <c r="D537" s="5" t="s">
        <v>13</v>
      </c>
      <c r="E537" s="5"/>
      <c r="F537" s="6" t="n">
        <f aca="false">SUMIFS(Base!$G:$G,Base!$A:$A,$A537)</f>
        <v>0</v>
      </c>
      <c r="G537" s="6" t="n">
        <f aca="false">SUMIFS(Base!$I:$I,Base!$A:$A,$A537)</f>
        <v>993000</v>
      </c>
      <c r="H537" s="5"/>
    </row>
    <row r="538" customFormat="false" ht="15" hidden="true" customHeight="false" outlineLevel="1" collapsed="false">
      <c r="A538" s="7" t="s">
        <v>729</v>
      </c>
      <c r="B538" s="7" t="s">
        <v>730</v>
      </c>
      <c r="C538" s="7" t="s">
        <v>731</v>
      </c>
      <c r="D538" s="7" t="s">
        <v>20</v>
      </c>
      <c r="E538" s="8" t="n">
        <v>46275</v>
      </c>
      <c r="F538" s="9" t="n">
        <v>0</v>
      </c>
      <c r="G538" s="9" t="n">
        <v>690000</v>
      </c>
      <c r="H538" s="7" t="s">
        <v>16</v>
      </c>
    </row>
    <row r="539" customFormat="false" ht="15" hidden="true" customHeight="false" outlineLevel="1" collapsed="false">
      <c r="A539" s="7" t="s">
        <v>729</v>
      </c>
      <c r="B539" s="7" t="s">
        <v>730</v>
      </c>
      <c r="C539" s="7" t="s">
        <v>732</v>
      </c>
      <c r="D539" s="7" t="s">
        <v>20</v>
      </c>
      <c r="E539" s="8" t="n">
        <v>46277</v>
      </c>
      <c r="F539" s="9" t="n">
        <v>0</v>
      </c>
      <c r="G539" s="9" t="n">
        <v>303000</v>
      </c>
      <c r="H539" s="7" t="s">
        <v>16</v>
      </c>
    </row>
    <row r="540" customFormat="false" ht="15" hidden="false" customHeight="false" outlineLevel="0" collapsed="false">
      <c r="A540" s="5" t="s">
        <v>733</v>
      </c>
      <c r="B540" s="5" t="s">
        <v>734</v>
      </c>
      <c r="C540" s="5" t="s">
        <v>12</v>
      </c>
      <c r="D540" s="5" t="s">
        <v>13</v>
      </c>
      <c r="E540" s="5"/>
      <c r="F540" s="6" t="n">
        <f aca="false">SUMIFS(Base!$G:$G,Base!$A:$A,$A540)</f>
        <v>357960</v>
      </c>
      <c r="G540" s="6" t="n">
        <f aca="false">SUMIFS(Base!$I:$I,Base!$A:$A,$A540)</f>
        <v>2241960</v>
      </c>
      <c r="H540" s="5"/>
    </row>
    <row r="541" customFormat="false" ht="15" hidden="true" customHeight="false" outlineLevel="1" collapsed="false">
      <c r="A541" s="7" t="s">
        <v>733</v>
      </c>
      <c r="B541" s="7" t="s">
        <v>734</v>
      </c>
      <c r="C541" s="7" t="s">
        <v>735</v>
      </c>
      <c r="D541" s="7" t="s">
        <v>20</v>
      </c>
      <c r="E541" s="8" t="n">
        <v>46279</v>
      </c>
      <c r="F541" s="9" t="n">
        <v>357960</v>
      </c>
      <c r="G541" s="9" t="n">
        <v>2241960</v>
      </c>
      <c r="H541" s="7" t="s">
        <v>16</v>
      </c>
    </row>
    <row r="542" customFormat="false" ht="15" hidden="false" customHeight="false" outlineLevel="0" collapsed="false">
      <c r="A542" s="5" t="s">
        <v>736</v>
      </c>
      <c r="B542" s="5" t="s">
        <v>737</v>
      </c>
      <c r="C542" s="5" t="s">
        <v>99</v>
      </c>
      <c r="D542" s="5" t="s">
        <v>13</v>
      </c>
      <c r="E542" s="5"/>
      <c r="F542" s="6" t="n">
        <f aca="false">SUMIFS(Base!$G:$G,Base!$A:$A,$A542)</f>
        <v>0</v>
      </c>
      <c r="G542" s="6" t="n">
        <f aca="false">SUMIFS(Base!$I:$I,Base!$A:$A,$A542)</f>
        <v>3460000</v>
      </c>
      <c r="H542" s="5"/>
    </row>
    <row r="543" customFormat="false" ht="15" hidden="true" customHeight="false" outlineLevel="1" collapsed="false">
      <c r="A543" s="7" t="s">
        <v>736</v>
      </c>
      <c r="B543" s="7" t="s">
        <v>737</v>
      </c>
      <c r="C543" s="7" t="s">
        <v>738</v>
      </c>
      <c r="D543" s="7" t="s">
        <v>15</v>
      </c>
      <c r="E543" s="8" t="n">
        <v>46274</v>
      </c>
      <c r="F543" s="9" t="n">
        <v>0</v>
      </c>
      <c r="G543" s="9" t="n">
        <v>1735000</v>
      </c>
      <c r="H543" s="7" t="s">
        <v>16</v>
      </c>
    </row>
    <row r="544" customFormat="false" ht="15" hidden="true" customHeight="false" outlineLevel="1" collapsed="false">
      <c r="A544" s="7" t="s">
        <v>736</v>
      </c>
      <c r="B544" s="7" t="s">
        <v>737</v>
      </c>
      <c r="C544" s="7" t="s">
        <v>739</v>
      </c>
      <c r="D544" s="7" t="s">
        <v>15</v>
      </c>
      <c r="E544" s="8" t="n">
        <v>46274</v>
      </c>
      <c r="F544" s="9" t="n">
        <v>0</v>
      </c>
      <c r="G544" s="9" t="n">
        <v>1725000</v>
      </c>
      <c r="H544" s="7" t="s">
        <v>16</v>
      </c>
    </row>
    <row r="545" customFormat="false" ht="15" hidden="false" customHeight="false" outlineLevel="0" collapsed="false">
      <c r="A545" s="5" t="s">
        <v>740</v>
      </c>
      <c r="B545" s="5" t="s">
        <v>741</v>
      </c>
      <c r="C545" s="5" t="s">
        <v>12</v>
      </c>
      <c r="D545" s="5" t="s">
        <v>13</v>
      </c>
      <c r="E545" s="5"/>
      <c r="F545" s="6" t="n">
        <f aca="false">SUMIFS(Base!$G:$G,Base!$A:$A,$A545)</f>
        <v>0</v>
      </c>
      <c r="G545" s="6" t="n">
        <f aca="false">SUMIFS(Base!$I:$I,Base!$A:$A,$A545)</f>
        <v>704700</v>
      </c>
      <c r="H545" s="5"/>
    </row>
    <row r="546" customFormat="false" ht="15" hidden="true" customHeight="false" outlineLevel="1" collapsed="false">
      <c r="A546" s="7" t="s">
        <v>740</v>
      </c>
      <c r="B546" s="7" t="s">
        <v>741</v>
      </c>
      <c r="C546" s="7" t="s">
        <v>742</v>
      </c>
      <c r="D546" s="7" t="s">
        <v>20</v>
      </c>
      <c r="E546" s="8" t="n">
        <v>46266</v>
      </c>
      <c r="F546" s="9" t="n">
        <v>0</v>
      </c>
      <c r="G546" s="9" t="n">
        <v>704700</v>
      </c>
      <c r="H546" s="7" t="s">
        <v>16</v>
      </c>
    </row>
  </sheetData>
  <autoFilter ref="A4:H54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6"/>
    <col collapsed="false" customWidth="true" hidden="false" outlineLevel="0" max="3" min="3" style="0" width="22"/>
    <col collapsed="false" customWidth="true" hidden="false" outlineLevel="0" max="4" min="4" style="0" width="44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9" min="8" style="0" width="16"/>
    <col collapsed="false" customWidth="true" hidden="false" outlineLevel="0" max="11" min="10" style="0" width="26"/>
  </cols>
  <sheetData>
    <row r="1" customFormat="false" ht="15" hidden="false" customHeight="false" outlineLevel="0" collapsed="false">
      <c r="A1" s="10" t="s">
        <v>2</v>
      </c>
      <c r="B1" s="10" t="s">
        <v>3</v>
      </c>
      <c r="C1" s="10" t="s">
        <v>4</v>
      </c>
      <c r="D1" s="10" t="s">
        <v>5</v>
      </c>
      <c r="E1" s="10" t="s">
        <v>743</v>
      </c>
      <c r="F1" s="10" t="s">
        <v>6</v>
      </c>
      <c r="G1" s="10" t="s">
        <v>7</v>
      </c>
      <c r="H1" s="10" t="s">
        <v>744</v>
      </c>
      <c r="I1" s="10" t="s">
        <v>8</v>
      </c>
      <c r="J1" s="10" t="s">
        <v>745</v>
      </c>
      <c r="K1" s="10" t="s">
        <v>9</v>
      </c>
    </row>
    <row r="2" customFormat="false" ht="15" hidden="false" customHeight="false" outlineLevel="0" collapsed="false">
      <c r="A2" s="0" t="s">
        <v>10</v>
      </c>
      <c r="B2" s="0" t="s">
        <v>11</v>
      </c>
      <c r="C2" s="0" t="s">
        <v>14</v>
      </c>
      <c r="D2" s="0" t="s">
        <v>15</v>
      </c>
      <c r="E2" s="0" t="s">
        <v>746</v>
      </c>
      <c r="F2" s="11" t="n">
        <v>46273</v>
      </c>
      <c r="G2" s="12" t="n">
        <v>0</v>
      </c>
      <c r="H2" s="12" t="n">
        <v>289000</v>
      </c>
      <c r="I2" s="12" t="n">
        <v>289000</v>
      </c>
      <c r="J2" s="10" t="s">
        <v>747</v>
      </c>
      <c r="K2" s="10" t="s">
        <v>16</v>
      </c>
    </row>
    <row r="3" customFormat="false" ht="15" hidden="false" customHeight="false" outlineLevel="0" collapsed="false">
      <c r="A3" s="0" t="s">
        <v>17</v>
      </c>
      <c r="B3" s="0" t="s">
        <v>18</v>
      </c>
      <c r="C3" s="0" t="s">
        <v>19</v>
      </c>
      <c r="D3" s="0" t="s">
        <v>20</v>
      </c>
      <c r="E3" s="0" t="s">
        <v>748</v>
      </c>
      <c r="F3" s="11" t="n">
        <v>46266</v>
      </c>
      <c r="G3" s="12" t="n">
        <v>2726120</v>
      </c>
      <c r="H3" s="12" t="n">
        <v>17074120</v>
      </c>
      <c r="I3" s="12" t="n">
        <v>17074120</v>
      </c>
      <c r="J3" s="10" t="s">
        <v>747</v>
      </c>
      <c r="K3" s="10" t="s">
        <v>16</v>
      </c>
    </row>
    <row r="4" customFormat="false" ht="15" hidden="false" customHeight="false" outlineLevel="0" collapsed="false">
      <c r="A4" s="0" t="s">
        <v>21</v>
      </c>
      <c r="B4" s="0" t="s">
        <v>22</v>
      </c>
      <c r="C4" s="0" t="s">
        <v>24</v>
      </c>
      <c r="D4" s="0" t="s">
        <v>25</v>
      </c>
      <c r="E4" s="0" t="s">
        <v>748</v>
      </c>
      <c r="F4" s="11" t="n">
        <v>46273</v>
      </c>
      <c r="G4" s="12" t="n">
        <v>521750</v>
      </c>
      <c r="H4" s="12" t="n">
        <v>3317339</v>
      </c>
      <c r="I4" s="12" t="n">
        <v>3317339</v>
      </c>
      <c r="J4" s="10" t="s">
        <v>747</v>
      </c>
      <c r="K4" s="10" t="s">
        <v>26</v>
      </c>
    </row>
    <row r="5" customFormat="false" ht="15" hidden="false" customHeight="false" outlineLevel="0" collapsed="false">
      <c r="A5" s="0" t="s">
        <v>21</v>
      </c>
      <c r="B5" s="0" t="s">
        <v>22</v>
      </c>
      <c r="C5" s="0" t="s">
        <v>27</v>
      </c>
      <c r="D5" s="0" t="s">
        <v>20</v>
      </c>
      <c r="E5" s="0" t="s">
        <v>748</v>
      </c>
      <c r="F5" s="11" t="n">
        <v>46280</v>
      </c>
      <c r="G5" s="12" t="n">
        <v>0</v>
      </c>
      <c r="H5" s="12" t="n">
        <v>13701380</v>
      </c>
      <c r="I5" s="12" t="n">
        <v>13701380</v>
      </c>
      <c r="J5" s="10" t="s">
        <v>747</v>
      </c>
      <c r="K5" s="10" t="s">
        <v>16</v>
      </c>
    </row>
    <row r="6" customFormat="false" ht="15" hidden="false" customHeight="false" outlineLevel="0" collapsed="false">
      <c r="A6" s="0" t="s">
        <v>21</v>
      </c>
      <c r="B6" s="0" t="s">
        <v>22</v>
      </c>
      <c r="C6" s="0" t="s">
        <v>28</v>
      </c>
      <c r="D6" s="0" t="s">
        <v>25</v>
      </c>
      <c r="E6" s="0" t="s">
        <v>748</v>
      </c>
      <c r="F6" s="11" t="n">
        <v>46281</v>
      </c>
      <c r="G6" s="12" t="n">
        <v>66740</v>
      </c>
      <c r="H6" s="12" t="n">
        <v>417940</v>
      </c>
      <c r="I6" s="12" t="n">
        <v>417940</v>
      </c>
      <c r="J6" s="10" t="s">
        <v>747</v>
      </c>
      <c r="K6" s="10" t="s">
        <v>26</v>
      </c>
    </row>
    <row r="7" customFormat="false" ht="15" hidden="false" customHeight="false" outlineLevel="0" collapsed="false">
      <c r="A7" s="0" t="s">
        <v>21</v>
      </c>
      <c r="B7" s="0" t="s">
        <v>22</v>
      </c>
      <c r="C7" s="0" t="s">
        <v>29</v>
      </c>
      <c r="D7" s="0" t="s">
        <v>20</v>
      </c>
      <c r="E7" s="0" t="s">
        <v>748</v>
      </c>
      <c r="F7" s="11" t="n">
        <v>46295</v>
      </c>
      <c r="G7" s="12" t="n">
        <v>0</v>
      </c>
      <c r="H7" s="12" t="n">
        <v>4535050</v>
      </c>
      <c r="I7" s="12" t="n">
        <v>4535050</v>
      </c>
      <c r="J7" s="10" t="s">
        <v>747</v>
      </c>
      <c r="K7" s="10" t="s">
        <v>16</v>
      </c>
    </row>
    <row r="8" customFormat="false" ht="15" hidden="false" customHeight="false" outlineLevel="0" collapsed="false">
      <c r="A8" s="0" t="s">
        <v>21</v>
      </c>
      <c r="B8" s="0" t="s">
        <v>22</v>
      </c>
      <c r="C8" s="0" t="s">
        <v>30</v>
      </c>
      <c r="D8" s="0" t="s">
        <v>31</v>
      </c>
      <c r="E8" s="0" t="s">
        <v>748</v>
      </c>
      <c r="F8" s="11" t="n">
        <v>46295</v>
      </c>
      <c r="G8" s="12" t="n">
        <v>0</v>
      </c>
      <c r="H8" s="12" t="n">
        <v>939272</v>
      </c>
      <c r="I8" s="12" t="n">
        <v>-939272</v>
      </c>
      <c r="J8" s="10" t="s">
        <v>747</v>
      </c>
      <c r="K8" s="10" t="s">
        <v>16</v>
      </c>
    </row>
    <row r="9" customFormat="false" ht="15" hidden="false" customHeight="false" outlineLevel="0" collapsed="false">
      <c r="A9" s="0" t="s">
        <v>32</v>
      </c>
      <c r="B9" s="0" t="s">
        <v>33</v>
      </c>
      <c r="C9" s="0" t="s">
        <v>34</v>
      </c>
      <c r="D9" s="0" t="s">
        <v>20</v>
      </c>
      <c r="E9" s="0" t="s">
        <v>748</v>
      </c>
      <c r="F9" s="11" t="n">
        <v>46275</v>
      </c>
      <c r="G9" s="12" t="n">
        <v>84360</v>
      </c>
      <c r="H9" s="12" t="n">
        <v>553160</v>
      </c>
      <c r="I9" s="12" t="n">
        <v>553160</v>
      </c>
      <c r="J9" s="10" t="s">
        <v>747</v>
      </c>
      <c r="K9" s="10" t="s">
        <v>16</v>
      </c>
    </row>
    <row r="10" customFormat="false" ht="15" hidden="false" customHeight="false" outlineLevel="0" collapsed="false">
      <c r="A10" s="0" t="s">
        <v>35</v>
      </c>
      <c r="B10" s="0" t="s">
        <v>36</v>
      </c>
      <c r="C10" s="0" t="s">
        <v>38</v>
      </c>
      <c r="D10" s="0" t="s">
        <v>20</v>
      </c>
      <c r="E10" s="0" t="s">
        <v>748</v>
      </c>
      <c r="F10" s="11" t="n">
        <v>46275</v>
      </c>
      <c r="G10" s="12" t="n">
        <v>0</v>
      </c>
      <c r="H10" s="12" t="n">
        <v>450000</v>
      </c>
      <c r="I10" s="12" t="n">
        <v>450000</v>
      </c>
      <c r="J10" s="10" t="s">
        <v>747</v>
      </c>
      <c r="K10" s="10" t="s">
        <v>16</v>
      </c>
    </row>
    <row r="11" customFormat="false" ht="15" hidden="false" customHeight="false" outlineLevel="0" collapsed="false">
      <c r="A11" s="0" t="s">
        <v>35</v>
      </c>
      <c r="B11" s="0" t="s">
        <v>36</v>
      </c>
      <c r="C11" s="0" t="s">
        <v>39</v>
      </c>
      <c r="D11" s="0" t="s">
        <v>20</v>
      </c>
      <c r="E11" s="0" t="s">
        <v>748</v>
      </c>
      <c r="F11" s="11" t="n">
        <v>46295</v>
      </c>
      <c r="G11" s="12" t="n">
        <v>0</v>
      </c>
      <c r="H11" s="12" t="n">
        <v>3150000</v>
      </c>
      <c r="I11" s="12" t="n">
        <v>3150000</v>
      </c>
      <c r="J11" s="10" t="s">
        <v>747</v>
      </c>
      <c r="K11" s="10" t="s">
        <v>40</v>
      </c>
    </row>
    <row r="12" customFormat="false" ht="15" hidden="false" customHeight="false" outlineLevel="0" collapsed="false">
      <c r="A12" s="0" t="s">
        <v>35</v>
      </c>
      <c r="B12" s="0" t="s">
        <v>36</v>
      </c>
      <c r="C12" s="0" t="s">
        <v>41</v>
      </c>
      <c r="D12" s="0" t="s">
        <v>20</v>
      </c>
      <c r="E12" s="0" t="s">
        <v>748</v>
      </c>
      <c r="F12" s="11" t="n">
        <v>46295</v>
      </c>
      <c r="G12" s="12" t="n">
        <v>0</v>
      </c>
      <c r="H12" s="12" t="n">
        <v>450000</v>
      </c>
      <c r="I12" s="12" t="n">
        <v>450000</v>
      </c>
      <c r="J12" s="10" t="s">
        <v>747</v>
      </c>
      <c r="K12" s="10" t="s">
        <v>26</v>
      </c>
    </row>
    <row r="13" customFormat="false" ht="15" hidden="false" customHeight="false" outlineLevel="0" collapsed="false">
      <c r="A13" s="0" t="s">
        <v>42</v>
      </c>
      <c r="B13" s="0" t="s">
        <v>43</v>
      </c>
      <c r="C13" s="0" t="s">
        <v>44</v>
      </c>
      <c r="D13" s="0" t="s">
        <v>20</v>
      </c>
      <c r="E13" s="0" t="s">
        <v>748</v>
      </c>
      <c r="F13" s="11" t="n">
        <v>46282</v>
      </c>
      <c r="G13" s="12" t="n">
        <v>126453.78</v>
      </c>
      <c r="H13" s="12" t="n">
        <v>792000.02</v>
      </c>
      <c r="I13" s="12" t="n">
        <v>792000.02</v>
      </c>
      <c r="J13" s="10" t="s">
        <v>747</v>
      </c>
      <c r="K13" s="10" t="s">
        <v>26</v>
      </c>
    </row>
    <row r="14" customFormat="false" ht="15" hidden="false" customHeight="false" outlineLevel="0" collapsed="false">
      <c r="A14" s="0" t="s">
        <v>45</v>
      </c>
      <c r="B14" s="0" t="s">
        <v>46</v>
      </c>
      <c r="C14" s="0" t="s">
        <v>47</v>
      </c>
      <c r="D14" s="0" t="s">
        <v>20</v>
      </c>
      <c r="E14" s="0" t="s">
        <v>748</v>
      </c>
      <c r="F14" s="11" t="n">
        <v>46288</v>
      </c>
      <c r="G14" s="12" t="n">
        <v>5920.34</v>
      </c>
      <c r="H14" s="12" t="n">
        <v>37080</v>
      </c>
      <c r="I14" s="12" t="n">
        <v>37080</v>
      </c>
      <c r="J14" s="10" t="s">
        <v>747</v>
      </c>
      <c r="K14" s="10" t="s">
        <v>16</v>
      </c>
    </row>
    <row r="15" customFormat="false" ht="15" hidden="false" customHeight="false" outlineLevel="0" collapsed="false">
      <c r="A15" s="0" t="s">
        <v>48</v>
      </c>
      <c r="B15" s="0" t="s">
        <v>49</v>
      </c>
      <c r="C15" s="0" t="s">
        <v>50</v>
      </c>
      <c r="D15" s="0" t="s">
        <v>20</v>
      </c>
      <c r="E15" s="0" t="s">
        <v>748</v>
      </c>
      <c r="F15" s="11" t="n">
        <v>46273</v>
      </c>
      <c r="G15" s="12" t="n">
        <v>0</v>
      </c>
      <c r="H15" s="12" t="n">
        <v>1850000</v>
      </c>
      <c r="I15" s="12" t="n">
        <v>1850000</v>
      </c>
      <c r="J15" s="10" t="s">
        <v>747</v>
      </c>
      <c r="K15" s="10" t="s">
        <v>40</v>
      </c>
    </row>
    <row r="16" customFormat="false" ht="15" hidden="false" customHeight="false" outlineLevel="0" collapsed="false">
      <c r="A16" s="0" t="s">
        <v>51</v>
      </c>
      <c r="B16" s="0" t="s">
        <v>52</v>
      </c>
      <c r="C16" s="0" t="s">
        <v>53</v>
      </c>
      <c r="D16" s="0" t="s">
        <v>20</v>
      </c>
      <c r="E16" s="0" t="s">
        <v>748</v>
      </c>
      <c r="F16" s="11" t="n">
        <v>46295</v>
      </c>
      <c r="G16" s="12" t="n">
        <v>96115.3</v>
      </c>
      <c r="H16" s="12" t="n">
        <v>601985.3</v>
      </c>
      <c r="I16" s="12" t="n">
        <v>601985.3</v>
      </c>
      <c r="J16" s="10" t="s">
        <v>747</v>
      </c>
      <c r="K16" s="10" t="s">
        <v>26</v>
      </c>
    </row>
    <row r="17" customFormat="false" ht="15" hidden="false" customHeight="false" outlineLevel="0" collapsed="false">
      <c r="A17" s="0" t="s">
        <v>54</v>
      </c>
      <c r="B17" s="0" t="s">
        <v>55</v>
      </c>
      <c r="C17" s="0" t="s">
        <v>56</v>
      </c>
      <c r="D17" s="0" t="s">
        <v>20</v>
      </c>
      <c r="E17" s="0" t="s">
        <v>748</v>
      </c>
      <c r="F17" s="11" t="n">
        <v>46269</v>
      </c>
      <c r="G17" s="12" t="n">
        <v>22177.31</v>
      </c>
      <c r="H17" s="12" t="n">
        <v>138900</v>
      </c>
      <c r="I17" s="12" t="n">
        <v>138900</v>
      </c>
      <c r="J17" s="10" t="s">
        <v>747</v>
      </c>
      <c r="K17" s="10" t="s">
        <v>16</v>
      </c>
    </row>
    <row r="18" customFormat="false" ht="15" hidden="false" customHeight="false" outlineLevel="0" collapsed="false">
      <c r="A18" s="0" t="s">
        <v>57</v>
      </c>
      <c r="B18" s="0" t="s">
        <v>58</v>
      </c>
      <c r="C18" s="0" t="s">
        <v>59</v>
      </c>
      <c r="D18" s="0" t="s">
        <v>20</v>
      </c>
      <c r="E18" s="0" t="s">
        <v>748</v>
      </c>
      <c r="F18" s="11" t="n">
        <v>46276</v>
      </c>
      <c r="G18" s="12" t="n">
        <v>1111500</v>
      </c>
      <c r="H18" s="12" t="n">
        <v>6961500</v>
      </c>
      <c r="I18" s="12" t="n">
        <v>6961500</v>
      </c>
      <c r="J18" s="10" t="s">
        <v>747</v>
      </c>
      <c r="K18" s="10" t="s">
        <v>26</v>
      </c>
    </row>
    <row r="19" customFormat="false" ht="15" hidden="false" customHeight="false" outlineLevel="0" collapsed="false">
      <c r="A19" s="0" t="s">
        <v>60</v>
      </c>
      <c r="B19" s="0" t="s">
        <v>61</v>
      </c>
      <c r="C19" s="0" t="s">
        <v>62</v>
      </c>
      <c r="D19" s="0" t="s">
        <v>20</v>
      </c>
      <c r="E19" s="0" t="s">
        <v>748</v>
      </c>
      <c r="F19" s="11" t="n">
        <v>46289</v>
      </c>
      <c r="G19" s="12" t="n">
        <v>0</v>
      </c>
      <c r="H19" s="12" t="n">
        <v>561300</v>
      </c>
      <c r="I19" s="12" t="n">
        <v>561300</v>
      </c>
      <c r="J19" s="10" t="s">
        <v>747</v>
      </c>
      <c r="K19" s="10" t="s">
        <v>16</v>
      </c>
    </row>
    <row r="20" customFormat="false" ht="15" hidden="false" customHeight="false" outlineLevel="0" collapsed="false">
      <c r="A20" s="0" t="s">
        <v>63</v>
      </c>
      <c r="B20" s="0" t="s">
        <v>64</v>
      </c>
      <c r="C20" s="0" t="s">
        <v>65</v>
      </c>
      <c r="D20" s="0" t="s">
        <v>15</v>
      </c>
      <c r="E20" s="0" t="s">
        <v>746</v>
      </c>
      <c r="F20" s="11" t="n">
        <v>46269</v>
      </c>
      <c r="G20" s="12" t="n">
        <v>0</v>
      </c>
      <c r="H20" s="12" t="n">
        <v>1620000</v>
      </c>
      <c r="I20" s="12" t="n">
        <v>1620000</v>
      </c>
      <c r="J20" s="10" t="s">
        <v>747</v>
      </c>
      <c r="K20" s="10" t="s">
        <v>16</v>
      </c>
    </row>
    <row r="21" customFormat="false" ht="15" hidden="false" customHeight="false" outlineLevel="0" collapsed="false">
      <c r="A21" s="0" t="s">
        <v>63</v>
      </c>
      <c r="B21" s="0" t="s">
        <v>64</v>
      </c>
      <c r="C21" s="0" t="s">
        <v>66</v>
      </c>
      <c r="D21" s="0" t="s">
        <v>15</v>
      </c>
      <c r="E21" s="0" t="s">
        <v>746</v>
      </c>
      <c r="F21" s="11" t="n">
        <v>46275</v>
      </c>
      <c r="G21" s="12" t="n">
        <v>0</v>
      </c>
      <c r="H21" s="12" t="n">
        <v>3000000</v>
      </c>
      <c r="I21" s="12" t="n">
        <v>3000000</v>
      </c>
      <c r="J21" s="10" t="s">
        <v>747</v>
      </c>
      <c r="K21" s="10" t="s">
        <v>16</v>
      </c>
    </row>
    <row r="22" customFormat="false" ht="15" hidden="false" customHeight="false" outlineLevel="0" collapsed="false">
      <c r="A22" s="0" t="s">
        <v>63</v>
      </c>
      <c r="B22" s="0" t="s">
        <v>64</v>
      </c>
      <c r="C22" s="0" t="s">
        <v>67</v>
      </c>
      <c r="D22" s="0" t="s">
        <v>15</v>
      </c>
      <c r="E22" s="0" t="s">
        <v>746</v>
      </c>
      <c r="F22" s="11" t="n">
        <v>46294</v>
      </c>
      <c r="G22" s="12" t="n">
        <v>0</v>
      </c>
      <c r="H22" s="12" t="n">
        <v>636500</v>
      </c>
      <c r="I22" s="12" t="n">
        <v>636500</v>
      </c>
      <c r="J22" s="10" t="s">
        <v>747</v>
      </c>
      <c r="K22" s="10" t="s">
        <v>16</v>
      </c>
    </row>
    <row r="23" customFormat="false" ht="15" hidden="false" customHeight="false" outlineLevel="0" collapsed="false">
      <c r="A23" s="0" t="s">
        <v>68</v>
      </c>
      <c r="B23" s="0" t="s">
        <v>69</v>
      </c>
      <c r="C23" s="0" t="s">
        <v>70</v>
      </c>
      <c r="D23" s="0" t="s">
        <v>20</v>
      </c>
      <c r="E23" s="0" t="s">
        <v>748</v>
      </c>
      <c r="F23" s="11" t="n">
        <v>46266</v>
      </c>
      <c r="G23" s="12" t="n">
        <v>0</v>
      </c>
      <c r="H23" s="12" t="n">
        <v>275000</v>
      </c>
      <c r="I23" s="12" t="n">
        <v>275000</v>
      </c>
      <c r="J23" s="10" t="s">
        <v>747</v>
      </c>
      <c r="K23" s="10" t="s">
        <v>40</v>
      </c>
    </row>
    <row r="24" customFormat="false" ht="15" hidden="false" customHeight="false" outlineLevel="0" collapsed="false">
      <c r="A24" s="0" t="s">
        <v>71</v>
      </c>
      <c r="B24" s="0" t="s">
        <v>72</v>
      </c>
      <c r="C24" s="0" t="s">
        <v>73</v>
      </c>
      <c r="D24" s="0" t="s">
        <v>20</v>
      </c>
      <c r="E24" s="0" t="s">
        <v>748</v>
      </c>
      <c r="F24" s="11" t="n">
        <v>46276</v>
      </c>
      <c r="G24" s="12" t="n">
        <v>0</v>
      </c>
      <c r="H24" s="12" t="n">
        <v>24000</v>
      </c>
      <c r="I24" s="12" t="n">
        <v>24000</v>
      </c>
      <c r="J24" s="10" t="s">
        <v>747</v>
      </c>
      <c r="K24" s="10" t="s">
        <v>16</v>
      </c>
    </row>
    <row r="25" customFormat="false" ht="15" hidden="false" customHeight="false" outlineLevel="0" collapsed="false">
      <c r="A25" s="0" t="s">
        <v>71</v>
      </c>
      <c r="B25" s="0" t="s">
        <v>72</v>
      </c>
      <c r="C25" s="0" t="s">
        <v>74</v>
      </c>
      <c r="D25" s="0" t="s">
        <v>20</v>
      </c>
      <c r="E25" s="0" t="s">
        <v>748</v>
      </c>
      <c r="F25" s="11" t="n">
        <v>46276</v>
      </c>
      <c r="G25" s="12" t="n">
        <v>0</v>
      </c>
      <c r="H25" s="12" t="n">
        <v>26000</v>
      </c>
      <c r="I25" s="12" t="n">
        <v>26000</v>
      </c>
      <c r="J25" s="10" t="s">
        <v>747</v>
      </c>
      <c r="K25" s="10" t="s">
        <v>16</v>
      </c>
    </row>
    <row r="26" customFormat="false" ht="15" hidden="false" customHeight="false" outlineLevel="0" collapsed="false">
      <c r="A26" s="0" t="s">
        <v>71</v>
      </c>
      <c r="B26" s="0" t="s">
        <v>72</v>
      </c>
      <c r="C26" s="0" t="s">
        <v>75</v>
      </c>
      <c r="D26" s="0" t="s">
        <v>20</v>
      </c>
      <c r="E26" s="0" t="s">
        <v>748</v>
      </c>
      <c r="F26" s="11" t="n">
        <v>46276</v>
      </c>
      <c r="G26" s="12" t="n">
        <v>0</v>
      </c>
      <c r="H26" s="12" t="n">
        <v>10000</v>
      </c>
      <c r="I26" s="12" t="n">
        <v>10000</v>
      </c>
      <c r="J26" s="10" t="s">
        <v>747</v>
      </c>
      <c r="K26" s="10" t="s">
        <v>26</v>
      </c>
    </row>
    <row r="27" customFormat="false" ht="15" hidden="false" customHeight="false" outlineLevel="0" collapsed="false">
      <c r="A27" s="0" t="s">
        <v>76</v>
      </c>
      <c r="B27" s="0" t="s">
        <v>77</v>
      </c>
      <c r="C27" s="0" t="s">
        <v>78</v>
      </c>
      <c r="D27" s="0" t="s">
        <v>20</v>
      </c>
      <c r="E27" s="0" t="s">
        <v>748</v>
      </c>
      <c r="F27" s="11" t="n">
        <v>46287</v>
      </c>
      <c r="G27" s="12" t="n">
        <v>323000</v>
      </c>
      <c r="H27" s="12" t="n">
        <v>2023000</v>
      </c>
      <c r="I27" s="12" t="n">
        <v>2023000</v>
      </c>
      <c r="J27" s="10" t="s">
        <v>747</v>
      </c>
      <c r="K27" s="10" t="s">
        <v>16</v>
      </c>
    </row>
    <row r="28" customFormat="false" ht="15" hidden="false" customHeight="false" outlineLevel="0" collapsed="false">
      <c r="A28" s="0" t="s">
        <v>79</v>
      </c>
      <c r="B28" s="0" t="s">
        <v>80</v>
      </c>
      <c r="C28" s="0" t="s">
        <v>81</v>
      </c>
      <c r="D28" s="0" t="s">
        <v>20</v>
      </c>
      <c r="E28" s="0" t="s">
        <v>748</v>
      </c>
      <c r="F28" s="11" t="n">
        <v>46269</v>
      </c>
      <c r="G28" s="12" t="n">
        <v>28478</v>
      </c>
      <c r="H28" s="12" t="n">
        <v>178364</v>
      </c>
      <c r="I28" s="12" t="n">
        <v>178364</v>
      </c>
      <c r="J28" s="10" t="s">
        <v>747</v>
      </c>
      <c r="K28" s="10" t="s">
        <v>16</v>
      </c>
    </row>
    <row r="29" customFormat="false" ht="15" hidden="false" customHeight="false" outlineLevel="0" collapsed="false">
      <c r="A29" s="0" t="s">
        <v>82</v>
      </c>
      <c r="B29" s="0" t="s">
        <v>83</v>
      </c>
      <c r="C29" s="0" t="s">
        <v>84</v>
      </c>
      <c r="D29" s="0" t="s">
        <v>20</v>
      </c>
      <c r="E29" s="0" t="s">
        <v>748</v>
      </c>
      <c r="F29" s="11" t="n">
        <v>46287</v>
      </c>
      <c r="G29" s="12" t="n">
        <v>150562</v>
      </c>
      <c r="H29" s="12" t="n">
        <v>942994</v>
      </c>
      <c r="I29" s="12" t="n">
        <v>942994</v>
      </c>
      <c r="J29" s="10" t="s">
        <v>747</v>
      </c>
      <c r="K29" s="10" t="s">
        <v>16</v>
      </c>
    </row>
    <row r="30" customFormat="false" ht="15" hidden="false" customHeight="false" outlineLevel="0" collapsed="false">
      <c r="A30" s="0" t="s">
        <v>85</v>
      </c>
      <c r="B30" s="0" t="s">
        <v>86</v>
      </c>
      <c r="C30" s="0" t="s">
        <v>87</v>
      </c>
      <c r="D30" s="0" t="s">
        <v>15</v>
      </c>
      <c r="E30" s="0" t="s">
        <v>746</v>
      </c>
      <c r="F30" s="11" t="n">
        <v>46279</v>
      </c>
      <c r="G30" s="12" t="n">
        <v>0</v>
      </c>
      <c r="H30" s="12" t="n">
        <v>11480000</v>
      </c>
      <c r="I30" s="12" t="n">
        <v>11480000</v>
      </c>
      <c r="J30" s="10" t="s">
        <v>747</v>
      </c>
      <c r="K30" s="10" t="s">
        <v>16</v>
      </c>
    </row>
    <row r="31" customFormat="false" ht="15" hidden="false" customHeight="false" outlineLevel="0" collapsed="false">
      <c r="A31" s="0" t="s">
        <v>88</v>
      </c>
      <c r="B31" s="0" t="s">
        <v>89</v>
      </c>
      <c r="C31" s="0" t="s">
        <v>90</v>
      </c>
      <c r="D31" s="0" t="s">
        <v>20</v>
      </c>
      <c r="E31" s="0" t="s">
        <v>748</v>
      </c>
      <c r="F31" s="11" t="n">
        <v>46287</v>
      </c>
      <c r="G31" s="12" t="n">
        <v>0</v>
      </c>
      <c r="H31" s="12" t="n">
        <v>20000</v>
      </c>
      <c r="I31" s="12" t="n">
        <v>20000</v>
      </c>
      <c r="J31" s="10" t="s">
        <v>747</v>
      </c>
      <c r="K31" s="10" t="s">
        <v>16</v>
      </c>
    </row>
    <row r="32" customFormat="false" ht="15" hidden="false" customHeight="false" outlineLevel="0" collapsed="false">
      <c r="A32" s="0" t="s">
        <v>91</v>
      </c>
      <c r="B32" s="0" t="s">
        <v>92</v>
      </c>
      <c r="C32" s="0" t="s">
        <v>93</v>
      </c>
      <c r="D32" s="0" t="s">
        <v>15</v>
      </c>
      <c r="E32" s="0" t="s">
        <v>746</v>
      </c>
      <c r="F32" s="11" t="n">
        <v>46294</v>
      </c>
      <c r="G32" s="12" t="n">
        <v>0</v>
      </c>
      <c r="H32" s="12" t="n">
        <v>145000</v>
      </c>
      <c r="I32" s="12" t="n">
        <v>145000</v>
      </c>
      <c r="J32" s="10" t="s">
        <v>747</v>
      </c>
      <c r="K32" s="10" t="s">
        <v>16</v>
      </c>
    </row>
    <row r="33" customFormat="false" ht="15" hidden="false" customHeight="false" outlineLevel="0" collapsed="false">
      <c r="A33" s="0" t="s">
        <v>94</v>
      </c>
      <c r="B33" s="0" t="s">
        <v>95</v>
      </c>
      <c r="C33" s="0" t="s">
        <v>96</v>
      </c>
      <c r="D33" s="0" t="s">
        <v>20</v>
      </c>
      <c r="E33" s="0" t="s">
        <v>748</v>
      </c>
      <c r="F33" s="11" t="n">
        <v>46273</v>
      </c>
      <c r="G33" s="12" t="n">
        <v>16581.73</v>
      </c>
      <c r="H33" s="12" t="n">
        <v>137076.57</v>
      </c>
      <c r="I33" s="12" t="n">
        <v>137076.57</v>
      </c>
      <c r="J33" s="10" t="s">
        <v>747</v>
      </c>
      <c r="K33" s="10" t="s">
        <v>26</v>
      </c>
    </row>
    <row r="34" customFormat="false" ht="15" hidden="false" customHeight="false" outlineLevel="0" collapsed="false">
      <c r="A34" s="0" t="s">
        <v>97</v>
      </c>
      <c r="B34" s="0" t="s">
        <v>98</v>
      </c>
      <c r="C34" s="0" t="s">
        <v>100</v>
      </c>
      <c r="D34" s="0" t="s">
        <v>15</v>
      </c>
      <c r="E34" s="0" t="s">
        <v>746</v>
      </c>
      <c r="F34" s="11" t="n">
        <v>46274</v>
      </c>
      <c r="G34" s="12" t="n">
        <v>0</v>
      </c>
      <c r="H34" s="12" t="n">
        <v>1730560</v>
      </c>
      <c r="I34" s="12" t="n">
        <v>1730560</v>
      </c>
      <c r="J34" s="10" t="s">
        <v>747</v>
      </c>
      <c r="K34" s="10" t="s">
        <v>16</v>
      </c>
    </row>
    <row r="35" customFormat="false" ht="15" hidden="false" customHeight="false" outlineLevel="0" collapsed="false">
      <c r="A35" s="0" t="s">
        <v>97</v>
      </c>
      <c r="B35" s="0" t="s">
        <v>98</v>
      </c>
      <c r="C35" s="0" t="s">
        <v>101</v>
      </c>
      <c r="D35" s="0" t="s">
        <v>15</v>
      </c>
      <c r="E35" s="0" t="s">
        <v>746</v>
      </c>
      <c r="F35" s="11" t="n">
        <v>46274</v>
      </c>
      <c r="G35" s="12" t="n">
        <v>0</v>
      </c>
      <c r="H35" s="12" t="n">
        <v>1732000</v>
      </c>
      <c r="I35" s="12" t="n">
        <v>1732000</v>
      </c>
      <c r="J35" s="10" t="s">
        <v>747</v>
      </c>
      <c r="K35" s="10" t="s">
        <v>16</v>
      </c>
    </row>
    <row r="36" customFormat="false" ht="15" hidden="false" customHeight="false" outlineLevel="0" collapsed="false">
      <c r="A36" s="0" t="s">
        <v>102</v>
      </c>
      <c r="B36" s="0" t="s">
        <v>103</v>
      </c>
      <c r="C36" s="0" t="s">
        <v>104</v>
      </c>
      <c r="D36" s="0" t="s">
        <v>15</v>
      </c>
      <c r="E36" s="0" t="s">
        <v>746</v>
      </c>
      <c r="F36" s="11" t="n">
        <v>46289</v>
      </c>
      <c r="G36" s="12" t="n">
        <v>0</v>
      </c>
      <c r="H36" s="12" t="n">
        <v>79000</v>
      </c>
      <c r="I36" s="12" t="n">
        <v>79000</v>
      </c>
      <c r="J36" s="10" t="s">
        <v>747</v>
      </c>
      <c r="K36" s="10" t="s">
        <v>16</v>
      </c>
    </row>
    <row r="37" customFormat="false" ht="15" hidden="false" customHeight="false" outlineLevel="0" collapsed="false">
      <c r="A37" s="0" t="s">
        <v>102</v>
      </c>
      <c r="B37" s="0" t="s">
        <v>103</v>
      </c>
      <c r="C37" s="0" t="s">
        <v>105</v>
      </c>
      <c r="D37" s="0" t="s">
        <v>15</v>
      </c>
      <c r="E37" s="0" t="s">
        <v>746</v>
      </c>
      <c r="F37" s="11" t="n">
        <v>46289</v>
      </c>
      <c r="G37" s="12" t="n">
        <v>0</v>
      </c>
      <c r="H37" s="12" t="n">
        <v>119000</v>
      </c>
      <c r="I37" s="12" t="n">
        <v>119000</v>
      </c>
      <c r="J37" s="10" t="s">
        <v>747</v>
      </c>
      <c r="K37" s="10" t="s">
        <v>16</v>
      </c>
    </row>
    <row r="38" customFormat="false" ht="15" hidden="false" customHeight="false" outlineLevel="0" collapsed="false">
      <c r="A38" s="0" t="s">
        <v>102</v>
      </c>
      <c r="B38" s="0" t="s">
        <v>103</v>
      </c>
      <c r="C38" s="0" t="s">
        <v>106</v>
      </c>
      <c r="D38" s="0" t="s">
        <v>15</v>
      </c>
      <c r="E38" s="0" t="s">
        <v>746</v>
      </c>
      <c r="F38" s="11" t="n">
        <v>46293</v>
      </c>
      <c r="G38" s="12" t="n">
        <v>0</v>
      </c>
      <c r="H38" s="12" t="n">
        <v>316000</v>
      </c>
      <c r="I38" s="12" t="n">
        <v>316000</v>
      </c>
      <c r="J38" s="10" t="s">
        <v>747</v>
      </c>
      <c r="K38" s="10" t="s">
        <v>16</v>
      </c>
    </row>
    <row r="39" customFormat="false" ht="15" hidden="false" customHeight="false" outlineLevel="0" collapsed="false">
      <c r="A39" s="0" t="s">
        <v>107</v>
      </c>
      <c r="B39" s="0" t="s">
        <v>108</v>
      </c>
      <c r="C39" s="0" t="s">
        <v>109</v>
      </c>
      <c r="D39" s="0" t="s">
        <v>15</v>
      </c>
      <c r="E39" s="0" t="s">
        <v>746</v>
      </c>
      <c r="F39" s="11" t="n">
        <v>46279</v>
      </c>
      <c r="G39" s="12" t="n">
        <v>0</v>
      </c>
      <c r="H39" s="12" t="n">
        <v>2400</v>
      </c>
      <c r="I39" s="12" t="n">
        <v>2400</v>
      </c>
      <c r="J39" s="10" t="s">
        <v>747</v>
      </c>
      <c r="K39" s="10" t="s">
        <v>16</v>
      </c>
    </row>
    <row r="40" customFormat="false" ht="15" hidden="false" customHeight="false" outlineLevel="0" collapsed="false">
      <c r="A40" s="0" t="s">
        <v>110</v>
      </c>
      <c r="B40" s="0" t="s">
        <v>111</v>
      </c>
      <c r="C40" s="0" t="s">
        <v>112</v>
      </c>
      <c r="D40" s="0" t="s">
        <v>20</v>
      </c>
      <c r="E40" s="0" t="s">
        <v>748</v>
      </c>
      <c r="F40" s="11" t="n">
        <v>46268</v>
      </c>
      <c r="G40" s="12" t="n">
        <v>1117512</v>
      </c>
      <c r="H40" s="12" t="n">
        <v>6999152</v>
      </c>
      <c r="I40" s="12" t="n">
        <v>6999152</v>
      </c>
      <c r="J40" s="10" t="s">
        <v>747</v>
      </c>
      <c r="K40" s="10" t="s">
        <v>16</v>
      </c>
    </row>
    <row r="41" customFormat="false" ht="15" hidden="false" customHeight="false" outlineLevel="0" collapsed="false">
      <c r="A41" s="0" t="s">
        <v>113</v>
      </c>
      <c r="B41" s="0" t="s">
        <v>114</v>
      </c>
      <c r="C41" s="0" t="s">
        <v>115</v>
      </c>
      <c r="D41" s="0" t="s">
        <v>20</v>
      </c>
      <c r="E41" s="0" t="s">
        <v>748</v>
      </c>
      <c r="F41" s="11" t="n">
        <v>46267</v>
      </c>
      <c r="G41" s="12" t="n">
        <v>22823.94</v>
      </c>
      <c r="H41" s="12" t="n">
        <v>142949.94</v>
      </c>
      <c r="I41" s="12" t="n">
        <v>142949.94</v>
      </c>
      <c r="J41" s="10" t="s">
        <v>747</v>
      </c>
      <c r="K41" s="10" t="s">
        <v>26</v>
      </c>
    </row>
    <row r="42" customFormat="false" ht="15" hidden="false" customHeight="false" outlineLevel="0" collapsed="false">
      <c r="A42" s="0" t="s">
        <v>116</v>
      </c>
      <c r="B42" s="0" t="s">
        <v>117</v>
      </c>
      <c r="C42" s="0" t="s">
        <v>118</v>
      </c>
      <c r="D42" s="0" t="s">
        <v>15</v>
      </c>
      <c r="E42" s="0" t="s">
        <v>746</v>
      </c>
      <c r="F42" s="11" t="n">
        <v>46295</v>
      </c>
      <c r="G42" s="12" t="n">
        <v>0</v>
      </c>
      <c r="H42" s="12" t="n">
        <v>133000</v>
      </c>
      <c r="I42" s="12" t="n">
        <v>133000</v>
      </c>
      <c r="J42" s="10" t="s">
        <v>747</v>
      </c>
      <c r="K42" s="10" t="s">
        <v>16</v>
      </c>
    </row>
    <row r="43" customFormat="false" ht="15" hidden="false" customHeight="false" outlineLevel="0" collapsed="false">
      <c r="A43" s="0" t="s">
        <v>119</v>
      </c>
      <c r="B43" s="0" t="s">
        <v>120</v>
      </c>
      <c r="C43" s="0" t="s">
        <v>121</v>
      </c>
      <c r="D43" s="0" t="s">
        <v>20</v>
      </c>
      <c r="E43" s="0" t="s">
        <v>748</v>
      </c>
      <c r="F43" s="11" t="n">
        <v>46268</v>
      </c>
      <c r="G43" s="12" t="n">
        <v>1710000</v>
      </c>
      <c r="H43" s="12" t="n">
        <v>10710000</v>
      </c>
      <c r="I43" s="12" t="n">
        <v>10710000</v>
      </c>
      <c r="J43" s="10" t="s">
        <v>747</v>
      </c>
      <c r="K43" s="10" t="s">
        <v>16</v>
      </c>
    </row>
    <row r="44" customFormat="false" ht="15" hidden="false" customHeight="false" outlineLevel="0" collapsed="false">
      <c r="A44" s="0" t="s">
        <v>119</v>
      </c>
      <c r="B44" s="0" t="s">
        <v>120</v>
      </c>
      <c r="C44" s="0" t="s">
        <v>122</v>
      </c>
      <c r="D44" s="0" t="s">
        <v>20</v>
      </c>
      <c r="E44" s="0" t="s">
        <v>748</v>
      </c>
      <c r="F44" s="11" t="n">
        <v>46295</v>
      </c>
      <c r="G44" s="12" t="n">
        <v>1710000</v>
      </c>
      <c r="H44" s="12" t="n">
        <v>10710000</v>
      </c>
      <c r="I44" s="12" t="n">
        <v>10710000</v>
      </c>
      <c r="J44" s="10" t="s">
        <v>747</v>
      </c>
      <c r="K44" s="10" t="s">
        <v>16</v>
      </c>
    </row>
    <row r="45" customFormat="false" ht="15" hidden="false" customHeight="false" outlineLevel="0" collapsed="false">
      <c r="A45" s="0" t="s">
        <v>123</v>
      </c>
      <c r="B45" s="0" t="s">
        <v>124</v>
      </c>
      <c r="C45" s="0" t="s">
        <v>125</v>
      </c>
      <c r="D45" s="0" t="s">
        <v>20</v>
      </c>
      <c r="E45" s="0" t="s">
        <v>748</v>
      </c>
      <c r="F45" s="11" t="n">
        <v>46287</v>
      </c>
      <c r="G45" s="12" t="n">
        <v>5428.55</v>
      </c>
      <c r="H45" s="12" t="n">
        <v>34000</v>
      </c>
      <c r="I45" s="12" t="n">
        <v>34000</v>
      </c>
      <c r="J45" s="10" t="s">
        <v>747</v>
      </c>
      <c r="K45" s="10" t="s">
        <v>26</v>
      </c>
    </row>
    <row r="46" customFormat="false" ht="15" hidden="false" customHeight="false" outlineLevel="0" collapsed="false">
      <c r="A46" s="0" t="s">
        <v>126</v>
      </c>
      <c r="B46" s="0" t="s">
        <v>127</v>
      </c>
      <c r="C46" s="0" t="s">
        <v>128</v>
      </c>
      <c r="D46" s="0" t="s">
        <v>15</v>
      </c>
      <c r="E46" s="0" t="s">
        <v>746</v>
      </c>
      <c r="F46" s="11" t="n">
        <v>46279</v>
      </c>
      <c r="G46" s="12" t="n">
        <v>0</v>
      </c>
      <c r="H46" s="12" t="n">
        <v>450000</v>
      </c>
      <c r="I46" s="12" t="n">
        <v>450000</v>
      </c>
      <c r="J46" s="10" t="s">
        <v>747</v>
      </c>
      <c r="K46" s="10" t="s">
        <v>16</v>
      </c>
    </row>
    <row r="47" customFormat="false" ht="15" hidden="false" customHeight="false" outlineLevel="0" collapsed="false">
      <c r="A47" s="0" t="s">
        <v>129</v>
      </c>
      <c r="B47" s="0" t="s">
        <v>130</v>
      </c>
      <c r="C47" s="0" t="s">
        <v>131</v>
      </c>
      <c r="D47" s="0" t="s">
        <v>20</v>
      </c>
      <c r="E47" s="0" t="s">
        <v>748</v>
      </c>
      <c r="F47" s="11" t="n">
        <v>46270</v>
      </c>
      <c r="G47" s="12" t="n">
        <v>0</v>
      </c>
      <c r="H47" s="12" t="n">
        <v>28000</v>
      </c>
      <c r="I47" s="12" t="n">
        <v>28000</v>
      </c>
      <c r="J47" s="10" t="s">
        <v>747</v>
      </c>
      <c r="K47" s="10" t="s">
        <v>26</v>
      </c>
    </row>
    <row r="48" customFormat="false" ht="15" hidden="false" customHeight="false" outlineLevel="0" collapsed="false">
      <c r="A48" s="0" t="s">
        <v>129</v>
      </c>
      <c r="B48" s="0" t="s">
        <v>130</v>
      </c>
      <c r="C48" s="0" t="s">
        <v>132</v>
      </c>
      <c r="D48" s="0" t="s">
        <v>20</v>
      </c>
      <c r="E48" s="0" t="s">
        <v>748</v>
      </c>
      <c r="F48" s="11" t="n">
        <v>46284</v>
      </c>
      <c r="G48" s="12" t="n">
        <v>0</v>
      </c>
      <c r="H48" s="12" t="n">
        <v>23000</v>
      </c>
      <c r="I48" s="12" t="n">
        <v>23000</v>
      </c>
      <c r="J48" s="10" t="s">
        <v>747</v>
      </c>
      <c r="K48" s="10" t="s">
        <v>26</v>
      </c>
    </row>
    <row r="49" customFormat="false" ht="15" hidden="false" customHeight="false" outlineLevel="0" collapsed="false">
      <c r="A49" s="0" t="s">
        <v>133</v>
      </c>
      <c r="B49" s="0" t="s">
        <v>134</v>
      </c>
      <c r="C49" s="0" t="s">
        <v>135</v>
      </c>
      <c r="D49" s="0" t="s">
        <v>20</v>
      </c>
      <c r="E49" s="0" t="s">
        <v>748</v>
      </c>
      <c r="F49" s="11" t="n">
        <v>46273</v>
      </c>
      <c r="G49" s="12" t="n">
        <v>0</v>
      </c>
      <c r="H49" s="12" t="n">
        <v>28000</v>
      </c>
      <c r="I49" s="12" t="n">
        <v>28000</v>
      </c>
      <c r="J49" s="10" t="s">
        <v>747</v>
      </c>
      <c r="K49" s="10" t="s">
        <v>16</v>
      </c>
    </row>
    <row r="50" customFormat="false" ht="15" hidden="false" customHeight="false" outlineLevel="0" collapsed="false">
      <c r="A50" s="0" t="s">
        <v>133</v>
      </c>
      <c r="B50" s="0" t="s">
        <v>134</v>
      </c>
      <c r="C50" s="0" t="s">
        <v>136</v>
      </c>
      <c r="D50" s="0" t="s">
        <v>20</v>
      </c>
      <c r="E50" s="0" t="s">
        <v>748</v>
      </c>
      <c r="F50" s="11" t="n">
        <v>46282</v>
      </c>
      <c r="G50" s="12" t="n">
        <v>4789.9</v>
      </c>
      <c r="H50" s="12" t="n">
        <v>60999.9</v>
      </c>
      <c r="I50" s="12" t="n">
        <v>60999.9</v>
      </c>
      <c r="J50" s="10" t="s">
        <v>747</v>
      </c>
      <c r="K50" s="10" t="s">
        <v>26</v>
      </c>
    </row>
    <row r="51" customFormat="false" ht="15" hidden="false" customHeight="false" outlineLevel="0" collapsed="false">
      <c r="A51" s="0" t="s">
        <v>137</v>
      </c>
      <c r="B51" s="0" t="s">
        <v>138</v>
      </c>
      <c r="C51" s="0" t="s">
        <v>139</v>
      </c>
      <c r="D51" s="0" t="s">
        <v>20</v>
      </c>
      <c r="E51" s="0" t="s">
        <v>748</v>
      </c>
      <c r="F51" s="11" t="n">
        <v>46276</v>
      </c>
      <c r="G51" s="12" t="n">
        <v>66739.5</v>
      </c>
      <c r="H51" s="12" t="n">
        <v>418000</v>
      </c>
      <c r="I51" s="12" t="n">
        <v>418000</v>
      </c>
      <c r="J51" s="10" t="s">
        <v>747</v>
      </c>
      <c r="K51" s="10" t="s">
        <v>26</v>
      </c>
    </row>
    <row r="52" customFormat="false" ht="15" hidden="false" customHeight="false" outlineLevel="0" collapsed="false">
      <c r="A52" s="0" t="s">
        <v>140</v>
      </c>
      <c r="B52" s="0" t="s">
        <v>141</v>
      </c>
      <c r="C52" s="0" t="s">
        <v>142</v>
      </c>
      <c r="D52" s="0" t="s">
        <v>20</v>
      </c>
      <c r="E52" s="0" t="s">
        <v>748</v>
      </c>
      <c r="F52" s="11" t="n">
        <v>46266</v>
      </c>
      <c r="G52" s="12" t="n">
        <v>0</v>
      </c>
      <c r="H52" s="12" t="n">
        <v>310000</v>
      </c>
      <c r="I52" s="12" t="n">
        <v>310000</v>
      </c>
      <c r="J52" s="10" t="s">
        <v>747</v>
      </c>
      <c r="K52" s="10" t="s">
        <v>40</v>
      </c>
    </row>
    <row r="53" customFormat="false" ht="15" hidden="false" customHeight="false" outlineLevel="0" collapsed="false">
      <c r="A53" s="0" t="s">
        <v>143</v>
      </c>
      <c r="B53" s="0" t="s">
        <v>144</v>
      </c>
      <c r="C53" s="0" t="s">
        <v>145</v>
      </c>
      <c r="D53" s="0" t="s">
        <v>20</v>
      </c>
      <c r="E53" s="0" t="s">
        <v>748</v>
      </c>
      <c r="F53" s="11" t="n">
        <v>46272</v>
      </c>
      <c r="G53" s="12" t="n">
        <v>0</v>
      </c>
      <c r="H53" s="12" t="n">
        <v>15000</v>
      </c>
      <c r="I53" s="12" t="n">
        <v>15000</v>
      </c>
      <c r="J53" s="10" t="s">
        <v>747</v>
      </c>
      <c r="K53" s="10" t="s">
        <v>26</v>
      </c>
    </row>
    <row r="54" customFormat="false" ht="15" hidden="false" customHeight="false" outlineLevel="0" collapsed="false">
      <c r="A54" s="0" t="s">
        <v>143</v>
      </c>
      <c r="B54" s="0" t="s">
        <v>144</v>
      </c>
      <c r="C54" s="0" t="s">
        <v>146</v>
      </c>
      <c r="D54" s="0" t="s">
        <v>20</v>
      </c>
      <c r="E54" s="0" t="s">
        <v>748</v>
      </c>
      <c r="F54" s="11" t="n">
        <v>46293</v>
      </c>
      <c r="G54" s="12" t="n">
        <v>0</v>
      </c>
      <c r="H54" s="12" t="n">
        <v>10000</v>
      </c>
      <c r="I54" s="12" t="n">
        <v>10000</v>
      </c>
      <c r="J54" s="10" t="s">
        <v>747</v>
      </c>
      <c r="K54" s="10" t="s">
        <v>26</v>
      </c>
    </row>
    <row r="55" customFormat="false" ht="15" hidden="false" customHeight="false" outlineLevel="0" collapsed="false">
      <c r="A55" s="0" t="s">
        <v>147</v>
      </c>
      <c r="B55" s="0" t="s">
        <v>148</v>
      </c>
      <c r="C55" s="0" t="s">
        <v>149</v>
      </c>
      <c r="D55" s="0" t="s">
        <v>20</v>
      </c>
      <c r="E55" s="0" t="s">
        <v>748</v>
      </c>
      <c r="F55" s="11" t="n">
        <v>46276</v>
      </c>
      <c r="G55" s="12" t="n">
        <v>59809.17</v>
      </c>
      <c r="H55" s="12" t="n">
        <v>374594.27</v>
      </c>
      <c r="I55" s="12" t="n">
        <v>374594.27</v>
      </c>
      <c r="J55" s="10" t="s">
        <v>747</v>
      </c>
      <c r="K55" s="10" t="s">
        <v>26</v>
      </c>
    </row>
    <row r="56" customFormat="false" ht="15" hidden="false" customHeight="false" outlineLevel="0" collapsed="false">
      <c r="A56" s="0" t="s">
        <v>150</v>
      </c>
      <c r="B56" s="0" t="s">
        <v>151</v>
      </c>
      <c r="C56" s="0" t="s">
        <v>153</v>
      </c>
      <c r="D56" s="0" t="s">
        <v>20</v>
      </c>
      <c r="E56" s="0" t="s">
        <v>748</v>
      </c>
      <c r="F56" s="11" t="n">
        <v>46276</v>
      </c>
      <c r="G56" s="12" t="n">
        <v>1916</v>
      </c>
      <c r="H56" s="12" t="n">
        <v>12000</v>
      </c>
      <c r="I56" s="12" t="n">
        <v>12000</v>
      </c>
      <c r="J56" s="10" t="s">
        <v>747</v>
      </c>
      <c r="K56" s="10" t="s">
        <v>16</v>
      </c>
    </row>
    <row r="57" customFormat="false" ht="15" hidden="false" customHeight="false" outlineLevel="0" collapsed="false">
      <c r="A57" s="0" t="s">
        <v>150</v>
      </c>
      <c r="B57" s="0" t="s">
        <v>151</v>
      </c>
      <c r="C57" s="0" t="s">
        <v>170</v>
      </c>
      <c r="D57" s="0" t="s">
        <v>20</v>
      </c>
      <c r="E57" s="0" t="s">
        <v>748</v>
      </c>
      <c r="F57" s="11" t="n">
        <v>46276</v>
      </c>
      <c r="G57" s="12" t="n">
        <v>1756</v>
      </c>
      <c r="H57" s="12" t="n">
        <v>10996</v>
      </c>
      <c r="I57" s="12" t="n">
        <v>10996</v>
      </c>
      <c r="J57" s="10" t="s">
        <v>747</v>
      </c>
      <c r="K57" s="10" t="s">
        <v>16</v>
      </c>
    </row>
    <row r="58" customFormat="false" ht="15" hidden="false" customHeight="false" outlineLevel="0" collapsed="false">
      <c r="A58" s="0" t="s">
        <v>150</v>
      </c>
      <c r="B58" s="0" t="s">
        <v>151</v>
      </c>
      <c r="C58" s="0" t="s">
        <v>169</v>
      </c>
      <c r="D58" s="0" t="s">
        <v>20</v>
      </c>
      <c r="E58" s="0" t="s">
        <v>748</v>
      </c>
      <c r="F58" s="11" t="n">
        <v>46276</v>
      </c>
      <c r="G58" s="12" t="n">
        <v>3498</v>
      </c>
      <c r="H58" s="12" t="n">
        <v>21995</v>
      </c>
      <c r="I58" s="12" t="n">
        <v>21995</v>
      </c>
      <c r="J58" s="10" t="s">
        <v>747</v>
      </c>
      <c r="K58" s="10" t="s">
        <v>16</v>
      </c>
    </row>
    <row r="59" customFormat="false" ht="15" hidden="false" customHeight="false" outlineLevel="0" collapsed="false">
      <c r="A59" s="0" t="s">
        <v>150</v>
      </c>
      <c r="B59" s="0" t="s">
        <v>151</v>
      </c>
      <c r="C59" s="0" t="s">
        <v>168</v>
      </c>
      <c r="D59" s="0" t="s">
        <v>20</v>
      </c>
      <c r="E59" s="0" t="s">
        <v>748</v>
      </c>
      <c r="F59" s="11" t="n">
        <v>46276</v>
      </c>
      <c r="G59" s="12" t="n">
        <v>3498</v>
      </c>
      <c r="H59" s="12" t="n">
        <v>21995</v>
      </c>
      <c r="I59" s="12" t="n">
        <v>21995</v>
      </c>
      <c r="J59" s="10" t="s">
        <v>747</v>
      </c>
      <c r="K59" s="10" t="s">
        <v>16</v>
      </c>
    </row>
    <row r="60" customFormat="false" ht="15" hidden="false" customHeight="false" outlineLevel="0" collapsed="false">
      <c r="A60" s="0" t="s">
        <v>150</v>
      </c>
      <c r="B60" s="0" t="s">
        <v>151</v>
      </c>
      <c r="C60" s="0" t="s">
        <v>167</v>
      </c>
      <c r="D60" s="0" t="s">
        <v>20</v>
      </c>
      <c r="E60" s="0" t="s">
        <v>748</v>
      </c>
      <c r="F60" s="11" t="n">
        <v>46276</v>
      </c>
      <c r="G60" s="12" t="n">
        <v>10580</v>
      </c>
      <c r="H60" s="12" t="n">
        <v>66348</v>
      </c>
      <c r="I60" s="12" t="n">
        <v>66348</v>
      </c>
      <c r="J60" s="10" t="s">
        <v>747</v>
      </c>
      <c r="K60" s="10" t="s">
        <v>16</v>
      </c>
    </row>
    <row r="61" customFormat="false" ht="15" hidden="false" customHeight="false" outlineLevel="0" collapsed="false">
      <c r="A61" s="0" t="s">
        <v>150</v>
      </c>
      <c r="B61" s="0" t="s">
        <v>151</v>
      </c>
      <c r="C61" s="0" t="s">
        <v>166</v>
      </c>
      <c r="D61" s="0" t="s">
        <v>20</v>
      </c>
      <c r="E61" s="0" t="s">
        <v>748</v>
      </c>
      <c r="F61" s="11" t="n">
        <v>46276</v>
      </c>
      <c r="G61" s="12" t="n">
        <v>7151</v>
      </c>
      <c r="H61" s="12" t="n">
        <v>44875</v>
      </c>
      <c r="I61" s="12" t="n">
        <v>44875</v>
      </c>
      <c r="J61" s="10" t="s">
        <v>747</v>
      </c>
      <c r="K61" s="10" t="s">
        <v>16</v>
      </c>
    </row>
    <row r="62" customFormat="false" ht="15" hidden="false" customHeight="false" outlineLevel="0" collapsed="false">
      <c r="A62" s="0" t="s">
        <v>150</v>
      </c>
      <c r="B62" s="0" t="s">
        <v>151</v>
      </c>
      <c r="C62" s="0" t="s">
        <v>165</v>
      </c>
      <c r="D62" s="0" t="s">
        <v>20</v>
      </c>
      <c r="E62" s="0" t="s">
        <v>748</v>
      </c>
      <c r="F62" s="11" t="n">
        <v>46276</v>
      </c>
      <c r="G62" s="12" t="n">
        <v>3498</v>
      </c>
      <c r="H62" s="12" t="n">
        <v>21995</v>
      </c>
      <c r="I62" s="12" t="n">
        <v>21995</v>
      </c>
      <c r="J62" s="10" t="s">
        <v>747</v>
      </c>
      <c r="K62" s="10" t="s">
        <v>16</v>
      </c>
    </row>
    <row r="63" customFormat="false" ht="15" hidden="false" customHeight="false" outlineLevel="0" collapsed="false">
      <c r="A63" s="0" t="s">
        <v>150</v>
      </c>
      <c r="B63" s="0" t="s">
        <v>151</v>
      </c>
      <c r="C63" s="0" t="s">
        <v>164</v>
      </c>
      <c r="D63" s="0" t="s">
        <v>20</v>
      </c>
      <c r="E63" s="0" t="s">
        <v>748</v>
      </c>
      <c r="F63" s="11" t="n">
        <v>46276</v>
      </c>
      <c r="G63" s="12" t="n">
        <v>3498</v>
      </c>
      <c r="H63" s="12" t="n">
        <v>21995</v>
      </c>
      <c r="I63" s="12" t="n">
        <v>21995</v>
      </c>
      <c r="J63" s="10" t="s">
        <v>747</v>
      </c>
      <c r="K63" s="10" t="s">
        <v>16</v>
      </c>
    </row>
    <row r="64" customFormat="false" ht="15" hidden="false" customHeight="false" outlineLevel="0" collapsed="false">
      <c r="A64" s="0" t="s">
        <v>150</v>
      </c>
      <c r="B64" s="0" t="s">
        <v>151</v>
      </c>
      <c r="C64" s="0" t="s">
        <v>163</v>
      </c>
      <c r="D64" s="0" t="s">
        <v>20</v>
      </c>
      <c r="E64" s="0" t="s">
        <v>748</v>
      </c>
      <c r="F64" s="11" t="n">
        <v>46276</v>
      </c>
      <c r="G64" s="12" t="n">
        <v>14899</v>
      </c>
      <c r="H64" s="12" t="n">
        <v>94261</v>
      </c>
      <c r="I64" s="12" t="n">
        <v>94261</v>
      </c>
      <c r="J64" s="10" t="s">
        <v>747</v>
      </c>
      <c r="K64" s="10" t="s">
        <v>16</v>
      </c>
    </row>
    <row r="65" customFormat="false" ht="15" hidden="false" customHeight="false" outlineLevel="0" collapsed="false">
      <c r="A65" s="0" t="s">
        <v>150</v>
      </c>
      <c r="B65" s="0" t="s">
        <v>151</v>
      </c>
      <c r="C65" s="0" t="s">
        <v>171</v>
      </c>
      <c r="D65" s="0" t="s">
        <v>20</v>
      </c>
      <c r="E65" s="0" t="s">
        <v>748</v>
      </c>
      <c r="F65" s="11" t="n">
        <v>46276</v>
      </c>
      <c r="G65" s="12" t="n">
        <v>3498</v>
      </c>
      <c r="H65" s="12" t="n">
        <v>21995</v>
      </c>
      <c r="I65" s="12" t="n">
        <v>21995</v>
      </c>
      <c r="J65" s="10" t="s">
        <v>747</v>
      </c>
      <c r="K65" s="10" t="s">
        <v>16</v>
      </c>
    </row>
    <row r="66" customFormat="false" ht="15" hidden="false" customHeight="false" outlineLevel="0" collapsed="false">
      <c r="A66" s="0" t="s">
        <v>150</v>
      </c>
      <c r="B66" s="0" t="s">
        <v>151</v>
      </c>
      <c r="C66" s="0" t="s">
        <v>162</v>
      </c>
      <c r="D66" s="0" t="s">
        <v>20</v>
      </c>
      <c r="E66" s="0" t="s">
        <v>748</v>
      </c>
      <c r="F66" s="11" t="n">
        <v>46276</v>
      </c>
      <c r="G66" s="12" t="n">
        <v>1756</v>
      </c>
      <c r="H66" s="12" t="n">
        <v>10996</v>
      </c>
      <c r="I66" s="12" t="n">
        <v>10996</v>
      </c>
      <c r="J66" s="10" t="s">
        <v>747</v>
      </c>
      <c r="K66" s="10" t="s">
        <v>16</v>
      </c>
    </row>
    <row r="67" customFormat="false" ht="15" hidden="false" customHeight="false" outlineLevel="0" collapsed="false">
      <c r="A67" s="0" t="s">
        <v>150</v>
      </c>
      <c r="B67" s="0" t="s">
        <v>151</v>
      </c>
      <c r="C67" s="0" t="s">
        <v>161</v>
      </c>
      <c r="D67" s="0" t="s">
        <v>20</v>
      </c>
      <c r="E67" s="0" t="s">
        <v>748</v>
      </c>
      <c r="F67" s="11" t="n">
        <v>46276</v>
      </c>
      <c r="G67" s="12" t="n">
        <v>7151</v>
      </c>
      <c r="H67" s="12" t="n">
        <v>44875</v>
      </c>
      <c r="I67" s="12" t="n">
        <v>44875</v>
      </c>
      <c r="J67" s="10" t="s">
        <v>747</v>
      </c>
      <c r="K67" s="10" t="s">
        <v>16</v>
      </c>
    </row>
    <row r="68" customFormat="false" ht="15" hidden="false" customHeight="false" outlineLevel="0" collapsed="false">
      <c r="A68" s="0" t="s">
        <v>150</v>
      </c>
      <c r="B68" s="0" t="s">
        <v>151</v>
      </c>
      <c r="C68" s="0" t="s">
        <v>160</v>
      </c>
      <c r="D68" s="0" t="s">
        <v>20</v>
      </c>
      <c r="E68" s="0" t="s">
        <v>748</v>
      </c>
      <c r="F68" s="11" t="n">
        <v>46276</v>
      </c>
      <c r="G68" s="12" t="n">
        <v>10501</v>
      </c>
      <c r="H68" s="12" t="n">
        <v>65852</v>
      </c>
      <c r="I68" s="12" t="n">
        <v>65852</v>
      </c>
      <c r="J68" s="10" t="s">
        <v>747</v>
      </c>
      <c r="K68" s="10" t="s">
        <v>16</v>
      </c>
    </row>
    <row r="69" customFormat="false" ht="15" hidden="false" customHeight="false" outlineLevel="0" collapsed="false">
      <c r="A69" s="0" t="s">
        <v>150</v>
      </c>
      <c r="B69" s="0" t="s">
        <v>151</v>
      </c>
      <c r="C69" s="0" t="s">
        <v>159</v>
      </c>
      <c r="D69" s="0" t="s">
        <v>20</v>
      </c>
      <c r="E69" s="0" t="s">
        <v>748</v>
      </c>
      <c r="F69" s="11" t="n">
        <v>46276</v>
      </c>
      <c r="G69" s="12" t="n">
        <v>3498</v>
      </c>
      <c r="H69" s="12" t="n">
        <v>21995</v>
      </c>
      <c r="I69" s="12" t="n">
        <v>21995</v>
      </c>
      <c r="J69" s="10" t="s">
        <v>747</v>
      </c>
      <c r="K69" s="10" t="s">
        <v>16</v>
      </c>
    </row>
    <row r="70" customFormat="false" ht="15" hidden="false" customHeight="false" outlineLevel="0" collapsed="false">
      <c r="A70" s="0" t="s">
        <v>150</v>
      </c>
      <c r="B70" s="0" t="s">
        <v>151</v>
      </c>
      <c r="C70" s="0" t="s">
        <v>158</v>
      </c>
      <c r="D70" s="0" t="s">
        <v>20</v>
      </c>
      <c r="E70" s="0" t="s">
        <v>748</v>
      </c>
      <c r="F70" s="11" t="n">
        <v>46276</v>
      </c>
      <c r="G70" s="12" t="n">
        <v>10580</v>
      </c>
      <c r="H70" s="12" t="n">
        <v>66348</v>
      </c>
      <c r="I70" s="12" t="n">
        <v>66348</v>
      </c>
      <c r="J70" s="10" t="s">
        <v>747</v>
      </c>
      <c r="K70" s="10" t="s">
        <v>16</v>
      </c>
    </row>
    <row r="71" customFormat="false" ht="15" hidden="false" customHeight="false" outlineLevel="0" collapsed="false">
      <c r="A71" s="0" t="s">
        <v>150</v>
      </c>
      <c r="B71" s="0" t="s">
        <v>151</v>
      </c>
      <c r="C71" s="0" t="s">
        <v>157</v>
      </c>
      <c r="D71" s="0" t="s">
        <v>20</v>
      </c>
      <c r="E71" s="0" t="s">
        <v>748</v>
      </c>
      <c r="F71" s="11" t="n">
        <v>46276</v>
      </c>
      <c r="G71" s="12" t="n">
        <v>3498</v>
      </c>
      <c r="H71" s="12" t="n">
        <v>21995</v>
      </c>
      <c r="I71" s="12" t="n">
        <v>21995</v>
      </c>
      <c r="J71" s="10" t="s">
        <v>747</v>
      </c>
      <c r="K71" s="10" t="s">
        <v>16</v>
      </c>
    </row>
    <row r="72" customFormat="false" ht="15" hidden="false" customHeight="false" outlineLevel="0" collapsed="false">
      <c r="A72" s="0" t="s">
        <v>150</v>
      </c>
      <c r="B72" s="0" t="s">
        <v>151</v>
      </c>
      <c r="C72" s="0" t="s">
        <v>156</v>
      </c>
      <c r="D72" s="0" t="s">
        <v>20</v>
      </c>
      <c r="E72" s="0" t="s">
        <v>748</v>
      </c>
      <c r="F72" s="11" t="n">
        <v>46276</v>
      </c>
      <c r="G72" s="12" t="n">
        <v>8489</v>
      </c>
      <c r="H72" s="12" t="n">
        <v>53293</v>
      </c>
      <c r="I72" s="12" t="n">
        <v>53293</v>
      </c>
      <c r="J72" s="10" t="s">
        <v>747</v>
      </c>
      <c r="K72" s="10" t="s">
        <v>16</v>
      </c>
    </row>
    <row r="73" customFormat="false" ht="15" hidden="false" customHeight="false" outlineLevel="0" collapsed="false">
      <c r="A73" s="0" t="s">
        <v>150</v>
      </c>
      <c r="B73" s="0" t="s">
        <v>151</v>
      </c>
      <c r="C73" s="0" t="s">
        <v>155</v>
      </c>
      <c r="D73" s="0" t="s">
        <v>20</v>
      </c>
      <c r="E73" s="0" t="s">
        <v>748</v>
      </c>
      <c r="F73" s="11" t="n">
        <v>46276</v>
      </c>
      <c r="G73" s="12" t="n">
        <v>7151</v>
      </c>
      <c r="H73" s="12" t="n">
        <v>44875</v>
      </c>
      <c r="I73" s="12" t="n">
        <v>44875</v>
      </c>
      <c r="J73" s="10" t="s">
        <v>747</v>
      </c>
      <c r="K73" s="10" t="s">
        <v>16</v>
      </c>
    </row>
    <row r="74" customFormat="false" ht="15" hidden="false" customHeight="false" outlineLevel="0" collapsed="false">
      <c r="A74" s="0" t="s">
        <v>150</v>
      </c>
      <c r="B74" s="0" t="s">
        <v>151</v>
      </c>
      <c r="C74" s="0" t="s">
        <v>154</v>
      </c>
      <c r="D74" s="0" t="s">
        <v>20</v>
      </c>
      <c r="E74" s="0" t="s">
        <v>748</v>
      </c>
      <c r="F74" s="11" t="n">
        <v>46276</v>
      </c>
      <c r="G74" s="12" t="n">
        <v>7151</v>
      </c>
      <c r="H74" s="12" t="n">
        <v>44875</v>
      </c>
      <c r="I74" s="12" t="n">
        <v>44875</v>
      </c>
      <c r="J74" s="10" t="s">
        <v>747</v>
      </c>
      <c r="K74" s="10" t="s">
        <v>16</v>
      </c>
    </row>
    <row r="75" customFormat="false" ht="15" hidden="false" customHeight="false" outlineLevel="0" collapsed="false">
      <c r="A75" s="0" t="s">
        <v>150</v>
      </c>
      <c r="B75" s="0" t="s">
        <v>151</v>
      </c>
      <c r="C75" s="0" t="s">
        <v>172</v>
      </c>
      <c r="D75" s="0" t="s">
        <v>20</v>
      </c>
      <c r="E75" s="0" t="s">
        <v>748</v>
      </c>
      <c r="F75" s="11" t="n">
        <v>46287</v>
      </c>
      <c r="G75" s="12" t="n">
        <v>1405</v>
      </c>
      <c r="H75" s="12" t="n">
        <v>8800</v>
      </c>
      <c r="I75" s="12" t="n">
        <v>8800</v>
      </c>
      <c r="J75" s="10" t="s">
        <v>747</v>
      </c>
      <c r="K75" s="10" t="s">
        <v>26</v>
      </c>
    </row>
    <row r="76" customFormat="false" ht="15" hidden="false" customHeight="false" outlineLevel="0" collapsed="false">
      <c r="A76" s="0" t="s">
        <v>150</v>
      </c>
      <c r="B76" s="0" t="s">
        <v>151</v>
      </c>
      <c r="C76" s="0" t="s">
        <v>173</v>
      </c>
      <c r="D76" s="0" t="s">
        <v>20</v>
      </c>
      <c r="E76" s="0" t="s">
        <v>748</v>
      </c>
      <c r="F76" s="11" t="n">
        <v>46287</v>
      </c>
      <c r="G76" s="12" t="n">
        <v>1405</v>
      </c>
      <c r="H76" s="12" t="n">
        <v>8800</v>
      </c>
      <c r="I76" s="12" t="n">
        <v>8800</v>
      </c>
      <c r="J76" s="10" t="s">
        <v>747</v>
      </c>
      <c r="K76" s="10" t="s">
        <v>26</v>
      </c>
    </row>
    <row r="77" customFormat="false" ht="15" hidden="false" customHeight="false" outlineLevel="0" collapsed="false">
      <c r="A77" s="0" t="s">
        <v>174</v>
      </c>
      <c r="B77" s="0" t="s">
        <v>175</v>
      </c>
      <c r="C77" s="0" t="s">
        <v>177</v>
      </c>
      <c r="D77" s="0" t="s">
        <v>20</v>
      </c>
      <c r="E77" s="0" t="s">
        <v>748</v>
      </c>
      <c r="F77" s="11" t="n">
        <v>46280</v>
      </c>
      <c r="G77" s="12" t="n">
        <v>0</v>
      </c>
      <c r="H77" s="12" t="n">
        <v>843093</v>
      </c>
      <c r="I77" s="12" t="n">
        <v>843093</v>
      </c>
      <c r="J77" s="10" t="s">
        <v>747</v>
      </c>
      <c r="K77" s="10" t="s">
        <v>16</v>
      </c>
    </row>
    <row r="78" customFormat="false" ht="15" hidden="false" customHeight="false" outlineLevel="0" collapsed="false">
      <c r="A78" s="0" t="s">
        <v>174</v>
      </c>
      <c r="B78" s="0" t="s">
        <v>175</v>
      </c>
      <c r="C78" s="0" t="s">
        <v>178</v>
      </c>
      <c r="D78" s="0" t="s">
        <v>20</v>
      </c>
      <c r="E78" s="0" t="s">
        <v>748</v>
      </c>
      <c r="F78" s="11" t="n">
        <v>46280</v>
      </c>
      <c r="G78" s="12" t="n">
        <v>0</v>
      </c>
      <c r="H78" s="12" t="n">
        <v>8375367</v>
      </c>
      <c r="I78" s="12" t="n">
        <v>8375367</v>
      </c>
      <c r="J78" s="10" t="s">
        <v>747</v>
      </c>
      <c r="K78" s="10" t="s">
        <v>16</v>
      </c>
    </row>
    <row r="79" customFormat="false" ht="15" hidden="false" customHeight="false" outlineLevel="0" collapsed="false">
      <c r="A79" s="0" t="s">
        <v>174</v>
      </c>
      <c r="B79" s="0" t="s">
        <v>175</v>
      </c>
      <c r="C79" s="0" t="s">
        <v>179</v>
      </c>
      <c r="D79" s="0" t="s">
        <v>20</v>
      </c>
      <c r="E79" s="0" t="s">
        <v>748</v>
      </c>
      <c r="F79" s="11" t="n">
        <v>46295</v>
      </c>
      <c r="G79" s="12" t="n">
        <v>0</v>
      </c>
      <c r="H79" s="12" t="n">
        <v>584463</v>
      </c>
      <c r="I79" s="12" t="n">
        <v>584463</v>
      </c>
      <c r="J79" s="10" t="s">
        <v>747</v>
      </c>
      <c r="K79" s="10" t="s">
        <v>16</v>
      </c>
    </row>
    <row r="80" customFormat="false" ht="15" hidden="false" customHeight="false" outlineLevel="0" collapsed="false">
      <c r="A80" s="0" t="s">
        <v>174</v>
      </c>
      <c r="B80" s="0" t="s">
        <v>175</v>
      </c>
      <c r="C80" s="0" t="s">
        <v>180</v>
      </c>
      <c r="D80" s="0" t="s">
        <v>20</v>
      </c>
      <c r="E80" s="0" t="s">
        <v>748</v>
      </c>
      <c r="F80" s="11" t="n">
        <v>46295</v>
      </c>
      <c r="G80" s="12" t="n">
        <v>0</v>
      </c>
      <c r="H80" s="12" t="n">
        <v>8723906</v>
      </c>
      <c r="I80" s="12" t="n">
        <v>8723906</v>
      </c>
      <c r="J80" s="10" t="s">
        <v>747</v>
      </c>
      <c r="K80" s="10" t="s">
        <v>16</v>
      </c>
    </row>
    <row r="81" customFormat="false" ht="15" hidden="false" customHeight="false" outlineLevel="0" collapsed="false">
      <c r="A81" s="0" t="s">
        <v>181</v>
      </c>
      <c r="B81" s="0" t="s">
        <v>182</v>
      </c>
      <c r="C81" s="0" t="s">
        <v>183</v>
      </c>
      <c r="D81" s="0" t="s">
        <v>20</v>
      </c>
      <c r="E81" s="0" t="s">
        <v>748</v>
      </c>
      <c r="F81" s="11" t="n">
        <v>46268</v>
      </c>
      <c r="G81" s="12" t="n">
        <v>0</v>
      </c>
      <c r="H81" s="12" t="n">
        <v>96900</v>
      </c>
      <c r="I81" s="12" t="n">
        <v>96900</v>
      </c>
      <c r="J81" s="10" t="s">
        <v>747</v>
      </c>
      <c r="K81" s="10" t="s">
        <v>16</v>
      </c>
    </row>
    <row r="82" customFormat="false" ht="15" hidden="false" customHeight="false" outlineLevel="0" collapsed="false">
      <c r="A82" s="0" t="s">
        <v>181</v>
      </c>
      <c r="B82" s="0" t="s">
        <v>182</v>
      </c>
      <c r="C82" s="0" t="s">
        <v>184</v>
      </c>
      <c r="D82" s="0" t="s">
        <v>20</v>
      </c>
      <c r="E82" s="0" t="s">
        <v>748</v>
      </c>
      <c r="F82" s="11" t="n">
        <v>46281</v>
      </c>
      <c r="G82" s="12" t="n">
        <v>0</v>
      </c>
      <c r="H82" s="12" t="n">
        <v>98900</v>
      </c>
      <c r="I82" s="12" t="n">
        <v>98900</v>
      </c>
      <c r="J82" s="10" t="s">
        <v>747</v>
      </c>
      <c r="K82" s="10" t="s">
        <v>16</v>
      </c>
    </row>
    <row r="83" customFormat="false" ht="15" hidden="false" customHeight="false" outlineLevel="0" collapsed="false">
      <c r="A83" s="0" t="s">
        <v>185</v>
      </c>
      <c r="B83" s="0" t="s">
        <v>186</v>
      </c>
      <c r="C83" s="0" t="s">
        <v>187</v>
      </c>
      <c r="D83" s="0" t="s">
        <v>20</v>
      </c>
      <c r="E83" s="0" t="s">
        <v>748</v>
      </c>
      <c r="F83" s="11" t="n">
        <v>46284</v>
      </c>
      <c r="G83" s="12" t="n">
        <v>4374.75</v>
      </c>
      <c r="H83" s="12" t="n">
        <v>27399.75</v>
      </c>
      <c r="I83" s="12" t="n">
        <v>27399.75</v>
      </c>
      <c r="J83" s="10" t="s">
        <v>747</v>
      </c>
      <c r="K83" s="10" t="s">
        <v>26</v>
      </c>
    </row>
    <row r="84" customFormat="false" ht="15" hidden="false" customHeight="false" outlineLevel="0" collapsed="false">
      <c r="A84" s="0" t="s">
        <v>188</v>
      </c>
      <c r="B84" s="0" t="s">
        <v>189</v>
      </c>
      <c r="C84" s="0" t="s">
        <v>190</v>
      </c>
      <c r="D84" s="0" t="s">
        <v>20</v>
      </c>
      <c r="E84" s="0" t="s">
        <v>748</v>
      </c>
      <c r="F84" s="11" t="n">
        <v>46280</v>
      </c>
      <c r="G84" s="12" t="n">
        <v>0</v>
      </c>
      <c r="H84" s="12" t="n">
        <v>946600</v>
      </c>
      <c r="I84" s="12" t="n">
        <v>946600</v>
      </c>
      <c r="J84" s="10" t="s">
        <v>747</v>
      </c>
      <c r="K84" s="10" t="s">
        <v>26</v>
      </c>
    </row>
    <row r="85" customFormat="false" ht="15" hidden="false" customHeight="false" outlineLevel="0" collapsed="false">
      <c r="A85" s="0" t="s">
        <v>191</v>
      </c>
      <c r="B85" s="0" t="s">
        <v>192</v>
      </c>
      <c r="C85" s="0" t="s">
        <v>193</v>
      </c>
      <c r="D85" s="0" t="s">
        <v>20</v>
      </c>
      <c r="E85" s="0" t="s">
        <v>748</v>
      </c>
      <c r="F85" s="11" t="n">
        <v>46266</v>
      </c>
      <c r="G85" s="12" t="n">
        <v>81726.63</v>
      </c>
      <c r="H85" s="12" t="n">
        <v>511867</v>
      </c>
      <c r="I85" s="12" t="n">
        <v>511867</v>
      </c>
      <c r="J85" s="10" t="s">
        <v>747</v>
      </c>
      <c r="K85" s="10" t="s">
        <v>16</v>
      </c>
    </row>
    <row r="86" customFormat="false" ht="15" hidden="false" customHeight="false" outlineLevel="0" collapsed="false">
      <c r="A86" s="0" t="s">
        <v>194</v>
      </c>
      <c r="B86" s="0" t="s">
        <v>195</v>
      </c>
      <c r="C86" s="0" t="s">
        <v>196</v>
      </c>
      <c r="D86" s="0" t="s">
        <v>20</v>
      </c>
      <c r="E86" s="0" t="s">
        <v>748</v>
      </c>
      <c r="F86" s="11" t="n">
        <v>46294</v>
      </c>
      <c r="G86" s="12" t="n">
        <v>1520000</v>
      </c>
      <c r="H86" s="12" t="n">
        <v>9520000</v>
      </c>
      <c r="I86" s="12" t="n">
        <v>9520000</v>
      </c>
      <c r="J86" s="10" t="s">
        <v>747</v>
      </c>
      <c r="K86" s="10" t="s">
        <v>16</v>
      </c>
    </row>
    <row r="87" customFormat="false" ht="15" hidden="false" customHeight="false" outlineLevel="0" collapsed="false">
      <c r="A87" s="0" t="s">
        <v>197</v>
      </c>
      <c r="B87" s="0" t="s">
        <v>198</v>
      </c>
      <c r="C87" s="0" t="s">
        <v>199</v>
      </c>
      <c r="D87" s="0" t="s">
        <v>200</v>
      </c>
      <c r="E87" s="0" t="s">
        <v>748</v>
      </c>
      <c r="F87" s="11" t="n">
        <v>46287</v>
      </c>
      <c r="G87" s="12" t="n">
        <v>0</v>
      </c>
      <c r="H87" s="12" t="n">
        <v>6500</v>
      </c>
      <c r="I87" s="12" t="n">
        <v>6500</v>
      </c>
      <c r="J87" s="10" t="s">
        <v>749</v>
      </c>
      <c r="K87" s="10" t="s">
        <v>26</v>
      </c>
    </row>
    <row r="88" customFormat="false" ht="15" hidden="false" customHeight="false" outlineLevel="0" collapsed="false">
      <c r="A88" s="0" t="s">
        <v>197</v>
      </c>
      <c r="B88" s="0" t="s">
        <v>198</v>
      </c>
      <c r="C88" s="0" t="s">
        <v>201</v>
      </c>
      <c r="D88" s="0" t="s">
        <v>200</v>
      </c>
      <c r="E88" s="0" t="s">
        <v>748</v>
      </c>
      <c r="F88" s="11" t="n">
        <v>46289</v>
      </c>
      <c r="G88" s="12" t="n">
        <v>0</v>
      </c>
      <c r="H88" s="12" t="n">
        <v>33000</v>
      </c>
      <c r="I88" s="12" t="n">
        <v>33000</v>
      </c>
      <c r="J88" s="10" t="s">
        <v>749</v>
      </c>
      <c r="K88" s="10" t="s">
        <v>26</v>
      </c>
    </row>
    <row r="89" customFormat="false" ht="15" hidden="false" customHeight="false" outlineLevel="0" collapsed="false">
      <c r="A89" s="0" t="s">
        <v>202</v>
      </c>
      <c r="B89" s="0" t="s">
        <v>203</v>
      </c>
      <c r="C89" s="0" t="s">
        <v>204</v>
      </c>
      <c r="D89" s="0" t="s">
        <v>20</v>
      </c>
      <c r="E89" s="0" t="s">
        <v>748</v>
      </c>
      <c r="F89" s="11" t="n">
        <v>46281</v>
      </c>
      <c r="G89" s="12" t="n">
        <v>0</v>
      </c>
      <c r="H89" s="12" t="n">
        <v>65830</v>
      </c>
      <c r="I89" s="12" t="n">
        <v>65830</v>
      </c>
      <c r="J89" s="10" t="s">
        <v>747</v>
      </c>
      <c r="K89" s="10" t="s">
        <v>16</v>
      </c>
    </row>
    <row r="90" customFormat="false" ht="15" hidden="false" customHeight="false" outlineLevel="0" collapsed="false">
      <c r="A90" s="0" t="s">
        <v>205</v>
      </c>
      <c r="B90" s="0" t="s">
        <v>206</v>
      </c>
      <c r="C90" s="0" t="s">
        <v>207</v>
      </c>
      <c r="D90" s="0" t="s">
        <v>15</v>
      </c>
      <c r="E90" s="0" t="s">
        <v>746</v>
      </c>
      <c r="F90" s="11" t="n">
        <v>46279</v>
      </c>
      <c r="G90" s="12" t="n">
        <v>0</v>
      </c>
      <c r="H90" s="12" t="n">
        <v>80000</v>
      </c>
      <c r="I90" s="12" t="n">
        <v>80000</v>
      </c>
      <c r="J90" s="10" t="s">
        <v>747</v>
      </c>
      <c r="K90" s="10" t="s">
        <v>16</v>
      </c>
    </row>
    <row r="91" customFormat="false" ht="15" hidden="false" customHeight="false" outlineLevel="0" collapsed="false">
      <c r="A91" s="0" t="s">
        <v>208</v>
      </c>
      <c r="B91" s="0" t="s">
        <v>209</v>
      </c>
      <c r="C91" s="0" t="s">
        <v>210</v>
      </c>
      <c r="D91" s="0" t="s">
        <v>200</v>
      </c>
      <c r="E91" s="0" t="s">
        <v>748</v>
      </c>
      <c r="F91" s="11" t="n">
        <v>46288</v>
      </c>
      <c r="G91" s="12" t="n">
        <v>0</v>
      </c>
      <c r="H91" s="12" t="n">
        <v>42000</v>
      </c>
      <c r="I91" s="12" t="n">
        <v>42000</v>
      </c>
      <c r="J91" s="10" t="s">
        <v>747</v>
      </c>
      <c r="K91" s="10" t="s">
        <v>26</v>
      </c>
    </row>
    <row r="92" customFormat="false" ht="15" hidden="false" customHeight="false" outlineLevel="0" collapsed="false">
      <c r="A92" s="0" t="s">
        <v>211</v>
      </c>
      <c r="B92" s="0" t="s">
        <v>212</v>
      </c>
      <c r="C92" s="0" t="s">
        <v>213</v>
      </c>
      <c r="D92" s="0" t="s">
        <v>15</v>
      </c>
      <c r="E92" s="0" t="s">
        <v>746</v>
      </c>
      <c r="F92" s="11" t="n">
        <v>46293</v>
      </c>
      <c r="G92" s="12" t="n">
        <v>0</v>
      </c>
      <c r="H92" s="12" t="n">
        <v>600000</v>
      </c>
      <c r="I92" s="12" t="n">
        <v>600000</v>
      </c>
      <c r="J92" s="10" t="s">
        <v>747</v>
      </c>
      <c r="K92" s="10" t="s">
        <v>16</v>
      </c>
    </row>
    <row r="93" customFormat="false" ht="15" hidden="false" customHeight="false" outlineLevel="0" collapsed="false">
      <c r="A93" s="0" t="s">
        <v>214</v>
      </c>
      <c r="B93" s="0" t="s">
        <v>215</v>
      </c>
      <c r="C93" s="0" t="s">
        <v>216</v>
      </c>
      <c r="D93" s="0" t="s">
        <v>20</v>
      </c>
      <c r="E93" s="0" t="s">
        <v>748</v>
      </c>
      <c r="F93" s="11" t="n">
        <v>46290</v>
      </c>
      <c r="G93" s="12" t="n">
        <v>1861150</v>
      </c>
      <c r="H93" s="12" t="n">
        <v>11656675</v>
      </c>
      <c r="I93" s="12" t="n">
        <v>11656675</v>
      </c>
      <c r="J93" s="10" t="s">
        <v>747</v>
      </c>
      <c r="K93" s="10" t="s">
        <v>16</v>
      </c>
    </row>
    <row r="94" customFormat="false" ht="15" hidden="false" customHeight="false" outlineLevel="0" collapsed="false">
      <c r="A94" s="0" t="s">
        <v>217</v>
      </c>
      <c r="B94" s="0" t="s">
        <v>218</v>
      </c>
      <c r="C94" s="0" t="s">
        <v>219</v>
      </c>
      <c r="D94" s="0" t="s">
        <v>20</v>
      </c>
      <c r="E94" s="0" t="s">
        <v>748</v>
      </c>
      <c r="F94" s="11" t="n">
        <v>46266</v>
      </c>
      <c r="G94" s="12" t="n">
        <v>0</v>
      </c>
      <c r="H94" s="12" t="n">
        <v>250000</v>
      </c>
      <c r="I94" s="12" t="n">
        <v>250000</v>
      </c>
      <c r="J94" s="10" t="s">
        <v>747</v>
      </c>
      <c r="K94" s="10" t="s">
        <v>16</v>
      </c>
    </row>
    <row r="95" customFormat="false" ht="15" hidden="false" customHeight="false" outlineLevel="0" collapsed="false">
      <c r="A95" s="0" t="s">
        <v>220</v>
      </c>
      <c r="B95" s="0" t="s">
        <v>221</v>
      </c>
      <c r="C95" s="0" t="s">
        <v>222</v>
      </c>
      <c r="D95" s="0" t="s">
        <v>20</v>
      </c>
      <c r="E95" s="0" t="s">
        <v>748</v>
      </c>
      <c r="F95" s="11" t="n">
        <v>46272</v>
      </c>
      <c r="G95" s="12" t="n">
        <v>542.86</v>
      </c>
      <c r="H95" s="12" t="n">
        <v>5380</v>
      </c>
      <c r="I95" s="12" t="n">
        <v>5380</v>
      </c>
      <c r="J95" s="10" t="s">
        <v>747</v>
      </c>
      <c r="K95" s="10" t="s">
        <v>16</v>
      </c>
    </row>
    <row r="96" customFormat="false" ht="15" hidden="false" customHeight="false" outlineLevel="0" collapsed="false">
      <c r="A96" s="0" t="s">
        <v>220</v>
      </c>
      <c r="B96" s="0" t="s">
        <v>221</v>
      </c>
      <c r="C96" s="0" t="s">
        <v>223</v>
      </c>
      <c r="D96" s="0" t="s">
        <v>20</v>
      </c>
      <c r="E96" s="0" t="s">
        <v>748</v>
      </c>
      <c r="F96" s="11" t="n">
        <v>46272</v>
      </c>
      <c r="G96" s="12" t="n">
        <v>0</v>
      </c>
      <c r="H96" s="12" t="n">
        <v>1950</v>
      </c>
      <c r="I96" s="12" t="n">
        <v>1950</v>
      </c>
      <c r="J96" s="10" t="s">
        <v>747</v>
      </c>
      <c r="K96" s="10" t="s">
        <v>26</v>
      </c>
    </row>
    <row r="97" customFormat="false" ht="15" hidden="false" customHeight="false" outlineLevel="0" collapsed="false">
      <c r="A97" s="0" t="s">
        <v>220</v>
      </c>
      <c r="B97" s="0" t="s">
        <v>221</v>
      </c>
      <c r="C97" s="0" t="s">
        <v>224</v>
      </c>
      <c r="D97" s="0" t="s">
        <v>20</v>
      </c>
      <c r="E97" s="0" t="s">
        <v>748</v>
      </c>
      <c r="F97" s="11" t="n">
        <v>46273</v>
      </c>
      <c r="G97" s="12" t="n">
        <v>0</v>
      </c>
      <c r="H97" s="12" t="n">
        <v>1950</v>
      </c>
      <c r="I97" s="12" t="n">
        <v>1950</v>
      </c>
      <c r="J97" s="10" t="s">
        <v>747</v>
      </c>
      <c r="K97" s="10" t="s">
        <v>26</v>
      </c>
    </row>
    <row r="98" customFormat="false" ht="15" hidden="false" customHeight="false" outlineLevel="0" collapsed="false">
      <c r="A98" s="0" t="s">
        <v>220</v>
      </c>
      <c r="B98" s="0" t="s">
        <v>221</v>
      </c>
      <c r="C98" s="0" t="s">
        <v>225</v>
      </c>
      <c r="D98" s="0" t="s">
        <v>20</v>
      </c>
      <c r="E98" s="0" t="s">
        <v>748</v>
      </c>
      <c r="F98" s="11" t="n">
        <v>46290</v>
      </c>
      <c r="G98" s="12" t="n">
        <v>4638.23</v>
      </c>
      <c r="H98" s="12" t="n">
        <v>29049.99</v>
      </c>
      <c r="I98" s="12" t="n">
        <v>29049.99</v>
      </c>
      <c r="J98" s="10" t="s">
        <v>747</v>
      </c>
      <c r="K98" s="10" t="s">
        <v>26</v>
      </c>
    </row>
    <row r="99" customFormat="false" ht="15" hidden="false" customHeight="false" outlineLevel="0" collapsed="false">
      <c r="A99" s="0" t="s">
        <v>226</v>
      </c>
      <c r="B99" s="0" t="s">
        <v>227</v>
      </c>
      <c r="C99" s="0" t="s">
        <v>228</v>
      </c>
      <c r="D99" s="0" t="s">
        <v>20</v>
      </c>
      <c r="E99" s="0" t="s">
        <v>748</v>
      </c>
      <c r="F99" s="11" t="n">
        <v>46272</v>
      </c>
      <c r="G99" s="12" t="n">
        <v>718</v>
      </c>
      <c r="H99" s="12" t="n">
        <v>4500</v>
      </c>
      <c r="I99" s="12" t="n">
        <v>4500</v>
      </c>
      <c r="J99" s="10" t="s">
        <v>747</v>
      </c>
      <c r="K99" s="10" t="s">
        <v>26</v>
      </c>
    </row>
    <row r="100" customFormat="false" ht="15" hidden="false" customHeight="false" outlineLevel="0" collapsed="false">
      <c r="A100" s="0" t="s">
        <v>229</v>
      </c>
      <c r="B100" s="0" t="s">
        <v>230</v>
      </c>
      <c r="C100" s="0" t="s">
        <v>231</v>
      </c>
      <c r="D100" s="0" t="s">
        <v>20</v>
      </c>
      <c r="E100" s="0" t="s">
        <v>748</v>
      </c>
      <c r="F100" s="11" t="n">
        <v>46289</v>
      </c>
      <c r="G100" s="12" t="n">
        <v>130872</v>
      </c>
      <c r="H100" s="12" t="n">
        <v>844372</v>
      </c>
      <c r="I100" s="12" t="n">
        <v>844372</v>
      </c>
      <c r="J100" s="10" t="s">
        <v>747</v>
      </c>
      <c r="K100" s="10" t="s">
        <v>26</v>
      </c>
    </row>
    <row r="101" customFormat="false" ht="15" hidden="false" customHeight="false" outlineLevel="0" collapsed="false">
      <c r="A101" s="0" t="s">
        <v>232</v>
      </c>
      <c r="B101" s="0" t="s">
        <v>233</v>
      </c>
      <c r="C101" s="0" t="s">
        <v>234</v>
      </c>
      <c r="D101" s="0" t="s">
        <v>20</v>
      </c>
      <c r="E101" s="0" t="s">
        <v>748</v>
      </c>
      <c r="F101" s="11" t="n">
        <v>46286</v>
      </c>
      <c r="G101" s="12" t="n">
        <v>0</v>
      </c>
      <c r="H101" s="12" t="n">
        <v>12000</v>
      </c>
      <c r="I101" s="12" t="n">
        <v>12000</v>
      </c>
      <c r="J101" s="10" t="s">
        <v>747</v>
      </c>
      <c r="K101" s="10" t="s">
        <v>26</v>
      </c>
    </row>
    <row r="102" customFormat="false" ht="15" hidden="false" customHeight="false" outlineLevel="0" collapsed="false">
      <c r="A102" s="0" t="s">
        <v>235</v>
      </c>
      <c r="B102" s="0" t="s">
        <v>236</v>
      </c>
      <c r="C102" s="0" t="s">
        <v>238</v>
      </c>
      <c r="D102" s="0" t="s">
        <v>20</v>
      </c>
      <c r="E102" s="0" t="s">
        <v>748</v>
      </c>
      <c r="F102" s="11" t="n">
        <v>46269</v>
      </c>
      <c r="G102" s="12" t="n">
        <v>0</v>
      </c>
      <c r="H102" s="12" t="n">
        <v>163377</v>
      </c>
      <c r="I102" s="12" t="n">
        <v>163377</v>
      </c>
      <c r="J102" s="10" t="s">
        <v>747</v>
      </c>
      <c r="K102" s="10" t="s">
        <v>16</v>
      </c>
    </row>
    <row r="103" customFormat="false" ht="15" hidden="false" customHeight="false" outlineLevel="0" collapsed="false">
      <c r="A103" s="0" t="s">
        <v>235</v>
      </c>
      <c r="B103" s="0" t="s">
        <v>236</v>
      </c>
      <c r="C103" s="0" t="s">
        <v>239</v>
      </c>
      <c r="D103" s="0" t="s">
        <v>20</v>
      </c>
      <c r="E103" s="0" t="s">
        <v>748</v>
      </c>
      <c r="F103" s="11" t="n">
        <v>46275</v>
      </c>
      <c r="G103" s="12" t="n">
        <v>0</v>
      </c>
      <c r="H103" s="12" t="n">
        <v>17284533</v>
      </c>
      <c r="I103" s="12" t="n">
        <v>17284533</v>
      </c>
      <c r="J103" s="10" t="s">
        <v>747</v>
      </c>
      <c r="K103" s="10" t="s">
        <v>26</v>
      </c>
    </row>
    <row r="104" customFormat="false" ht="15" hidden="false" customHeight="false" outlineLevel="0" collapsed="false">
      <c r="A104" s="0" t="s">
        <v>235</v>
      </c>
      <c r="B104" s="0" t="s">
        <v>236</v>
      </c>
      <c r="C104" s="0" t="s">
        <v>240</v>
      </c>
      <c r="D104" s="0" t="s">
        <v>20</v>
      </c>
      <c r="E104" s="0" t="s">
        <v>748</v>
      </c>
      <c r="F104" s="11" t="n">
        <v>46275</v>
      </c>
      <c r="G104" s="12" t="n">
        <v>0</v>
      </c>
      <c r="H104" s="12" t="n">
        <v>936203</v>
      </c>
      <c r="I104" s="12" t="n">
        <v>936203</v>
      </c>
      <c r="J104" s="10" t="s">
        <v>747</v>
      </c>
      <c r="K104" s="10" t="s">
        <v>16</v>
      </c>
    </row>
    <row r="105" customFormat="false" ht="15" hidden="false" customHeight="false" outlineLevel="0" collapsed="false">
      <c r="A105" s="0" t="s">
        <v>235</v>
      </c>
      <c r="B105" s="0" t="s">
        <v>236</v>
      </c>
      <c r="C105" s="0" t="s">
        <v>241</v>
      </c>
      <c r="D105" s="0" t="s">
        <v>20</v>
      </c>
      <c r="E105" s="0" t="s">
        <v>748</v>
      </c>
      <c r="F105" s="11" t="n">
        <v>46283</v>
      </c>
      <c r="G105" s="12" t="n">
        <v>0</v>
      </c>
      <c r="H105" s="12" t="n">
        <v>1524400</v>
      </c>
      <c r="I105" s="12" t="n">
        <v>1524400</v>
      </c>
      <c r="J105" s="10" t="s">
        <v>747</v>
      </c>
      <c r="K105" s="10" t="s">
        <v>16</v>
      </c>
    </row>
    <row r="106" customFormat="false" ht="15" hidden="false" customHeight="false" outlineLevel="0" collapsed="false">
      <c r="A106" s="0" t="s">
        <v>235</v>
      </c>
      <c r="B106" s="0" t="s">
        <v>236</v>
      </c>
      <c r="C106" s="0" t="s">
        <v>242</v>
      </c>
      <c r="D106" s="0" t="s">
        <v>20</v>
      </c>
      <c r="E106" s="0" t="s">
        <v>748</v>
      </c>
      <c r="F106" s="11" t="n">
        <v>46290</v>
      </c>
      <c r="G106" s="12" t="n">
        <v>0</v>
      </c>
      <c r="H106" s="12" t="n">
        <v>17182828</v>
      </c>
      <c r="I106" s="12" t="n">
        <v>17182828</v>
      </c>
      <c r="J106" s="10" t="s">
        <v>747</v>
      </c>
      <c r="K106" s="10" t="s">
        <v>16</v>
      </c>
    </row>
    <row r="107" customFormat="false" ht="15" hidden="false" customHeight="false" outlineLevel="0" collapsed="false">
      <c r="A107" s="0" t="s">
        <v>235</v>
      </c>
      <c r="B107" s="0" t="s">
        <v>236</v>
      </c>
      <c r="C107" s="0" t="s">
        <v>243</v>
      </c>
      <c r="D107" s="0" t="s">
        <v>20</v>
      </c>
      <c r="E107" s="0" t="s">
        <v>748</v>
      </c>
      <c r="F107" s="11" t="n">
        <v>46294</v>
      </c>
      <c r="G107" s="12" t="n">
        <v>0</v>
      </c>
      <c r="H107" s="12" t="n">
        <v>25832826</v>
      </c>
      <c r="I107" s="12" t="n">
        <v>25832826</v>
      </c>
      <c r="J107" s="10" t="s">
        <v>747</v>
      </c>
      <c r="K107" s="10" t="s">
        <v>40</v>
      </c>
    </row>
    <row r="108" customFormat="false" ht="15" hidden="false" customHeight="false" outlineLevel="0" collapsed="false">
      <c r="A108" s="0" t="s">
        <v>235</v>
      </c>
      <c r="B108" s="0" t="s">
        <v>236</v>
      </c>
      <c r="C108" s="0" t="s">
        <v>244</v>
      </c>
      <c r="D108" s="0" t="s">
        <v>20</v>
      </c>
      <c r="E108" s="0" t="s">
        <v>748</v>
      </c>
      <c r="F108" s="11" t="n">
        <v>46294</v>
      </c>
      <c r="G108" s="12" t="n">
        <v>0</v>
      </c>
      <c r="H108" s="12" t="n">
        <v>44800000</v>
      </c>
      <c r="I108" s="12" t="n">
        <v>44800000</v>
      </c>
      <c r="J108" s="10" t="s">
        <v>747</v>
      </c>
      <c r="K108" s="10" t="s">
        <v>40</v>
      </c>
    </row>
    <row r="109" customFormat="false" ht="15" hidden="false" customHeight="false" outlineLevel="0" collapsed="false">
      <c r="A109" s="0" t="s">
        <v>235</v>
      </c>
      <c r="B109" s="0" t="s">
        <v>236</v>
      </c>
      <c r="C109" s="0" t="s">
        <v>245</v>
      </c>
      <c r="D109" s="0" t="s">
        <v>20</v>
      </c>
      <c r="E109" s="0" t="s">
        <v>748</v>
      </c>
      <c r="F109" s="11" t="n">
        <v>46294</v>
      </c>
      <c r="G109" s="12" t="n">
        <v>0</v>
      </c>
      <c r="H109" s="12" t="n">
        <v>62792000</v>
      </c>
      <c r="I109" s="12" t="n">
        <v>62792000</v>
      </c>
      <c r="J109" s="10" t="s">
        <v>747</v>
      </c>
      <c r="K109" s="10" t="s">
        <v>40</v>
      </c>
    </row>
    <row r="110" customFormat="false" ht="15" hidden="false" customHeight="false" outlineLevel="0" collapsed="false">
      <c r="A110" s="0" t="s">
        <v>235</v>
      </c>
      <c r="B110" s="0" t="s">
        <v>236</v>
      </c>
      <c r="C110" s="0" t="s">
        <v>246</v>
      </c>
      <c r="D110" s="0" t="s">
        <v>20</v>
      </c>
      <c r="E110" s="0" t="s">
        <v>748</v>
      </c>
      <c r="F110" s="11" t="n">
        <v>46294</v>
      </c>
      <c r="G110" s="12" t="n">
        <v>0</v>
      </c>
      <c r="H110" s="12" t="n">
        <v>55308000</v>
      </c>
      <c r="I110" s="12" t="n">
        <v>55308000</v>
      </c>
      <c r="J110" s="10" t="s">
        <v>747</v>
      </c>
      <c r="K110" s="10" t="s">
        <v>40</v>
      </c>
    </row>
    <row r="111" customFormat="false" ht="15" hidden="false" customHeight="false" outlineLevel="0" collapsed="false">
      <c r="A111" s="0" t="s">
        <v>235</v>
      </c>
      <c r="B111" s="0" t="s">
        <v>236</v>
      </c>
      <c r="C111" s="0" t="s">
        <v>247</v>
      </c>
      <c r="D111" s="0" t="s">
        <v>20</v>
      </c>
      <c r="E111" s="0" t="s">
        <v>748</v>
      </c>
      <c r="F111" s="11" t="n">
        <v>46294</v>
      </c>
      <c r="G111" s="12" t="n">
        <v>0</v>
      </c>
      <c r="H111" s="12" t="n">
        <v>62925000</v>
      </c>
      <c r="I111" s="12" t="n">
        <v>62925000</v>
      </c>
      <c r="J111" s="10" t="s">
        <v>747</v>
      </c>
      <c r="K111" s="10" t="s">
        <v>40</v>
      </c>
    </row>
    <row r="112" customFormat="false" ht="15" hidden="false" customHeight="false" outlineLevel="0" collapsed="false">
      <c r="A112" s="0" t="s">
        <v>235</v>
      </c>
      <c r="B112" s="0" t="s">
        <v>236</v>
      </c>
      <c r="C112" s="0" t="s">
        <v>248</v>
      </c>
      <c r="D112" s="0" t="s">
        <v>20</v>
      </c>
      <c r="E112" s="0" t="s">
        <v>748</v>
      </c>
      <c r="F112" s="11" t="n">
        <v>46294</v>
      </c>
      <c r="G112" s="12" t="n">
        <v>0</v>
      </c>
      <c r="H112" s="12" t="n">
        <v>62370000</v>
      </c>
      <c r="I112" s="12" t="n">
        <v>62370000</v>
      </c>
      <c r="J112" s="10" t="s">
        <v>747</v>
      </c>
      <c r="K112" s="10" t="s">
        <v>40</v>
      </c>
    </row>
    <row r="113" customFormat="false" ht="15" hidden="false" customHeight="false" outlineLevel="0" collapsed="false">
      <c r="A113" s="0" t="s">
        <v>235</v>
      </c>
      <c r="B113" s="0" t="s">
        <v>236</v>
      </c>
      <c r="C113" s="0" t="s">
        <v>249</v>
      </c>
      <c r="D113" s="0" t="s">
        <v>20</v>
      </c>
      <c r="E113" s="0" t="s">
        <v>748</v>
      </c>
      <c r="F113" s="11" t="n">
        <v>46294</v>
      </c>
      <c r="G113" s="12" t="n">
        <v>0</v>
      </c>
      <c r="H113" s="12" t="n">
        <v>30669750</v>
      </c>
      <c r="I113" s="12" t="n">
        <v>30669750</v>
      </c>
      <c r="J113" s="10" t="s">
        <v>747</v>
      </c>
      <c r="K113" s="10" t="s">
        <v>40</v>
      </c>
    </row>
    <row r="114" customFormat="false" ht="15" hidden="false" customHeight="false" outlineLevel="0" collapsed="false">
      <c r="A114" s="0" t="s">
        <v>235</v>
      </c>
      <c r="B114" s="0" t="s">
        <v>236</v>
      </c>
      <c r="C114" s="0" t="s">
        <v>250</v>
      </c>
      <c r="D114" s="0" t="s">
        <v>20</v>
      </c>
      <c r="E114" s="0" t="s">
        <v>748</v>
      </c>
      <c r="F114" s="11" t="n">
        <v>46295</v>
      </c>
      <c r="G114" s="12" t="n">
        <v>0</v>
      </c>
      <c r="H114" s="12" t="n">
        <v>10787879</v>
      </c>
      <c r="I114" s="12" t="n">
        <v>10787879</v>
      </c>
      <c r="J114" s="10" t="s">
        <v>747</v>
      </c>
      <c r="K114" s="10" t="s">
        <v>40</v>
      </c>
    </row>
    <row r="115" customFormat="false" ht="15" hidden="false" customHeight="false" outlineLevel="0" collapsed="false">
      <c r="A115" s="0" t="s">
        <v>235</v>
      </c>
      <c r="B115" s="0" t="s">
        <v>236</v>
      </c>
      <c r="C115" s="0" t="s">
        <v>251</v>
      </c>
      <c r="D115" s="0" t="s">
        <v>20</v>
      </c>
      <c r="E115" s="0" t="s">
        <v>748</v>
      </c>
      <c r="F115" s="11" t="n">
        <v>46295</v>
      </c>
      <c r="G115" s="12" t="n">
        <v>0</v>
      </c>
      <c r="H115" s="12" t="n">
        <v>12754590</v>
      </c>
      <c r="I115" s="12" t="n">
        <v>12754590</v>
      </c>
      <c r="J115" s="10" t="s">
        <v>747</v>
      </c>
      <c r="K115" s="10" t="s">
        <v>40</v>
      </c>
    </row>
    <row r="116" customFormat="false" ht="15" hidden="false" customHeight="false" outlineLevel="0" collapsed="false">
      <c r="A116" s="0" t="s">
        <v>252</v>
      </c>
      <c r="B116" s="0" t="s">
        <v>253</v>
      </c>
      <c r="C116" s="0" t="s">
        <v>254</v>
      </c>
      <c r="D116" s="0" t="s">
        <v>20</v>
      </c>
      <c r="E116" s="0" t="s">
        <v>748</v>
      </c>
      <c r="F116" s="11" t="n">
        <v>46289</v>
      </c>
      <c r="G116" s="12" t="n">
        <v>152439.28</v>
      </c>
      <c r="H116" s="12" t="n">
        <v>954751.28</v>
      </c>
      <c r="I116" s="12" t="n">
        <v>954751.28</v>
      </c>
      <c r="J116" s="10" t="s">
        <v>747</v>
      </c>
      <c r="K116" s="10" t="s">
        <v>26</v>
      </c>
    </row>
    <row r="117" customFormat="false" ht="15" hidden="false" customHeight="false" outlineLevel="0" collapsed="false">
      <c r="A117" s="0" t="s">
        <v>255</v>
      </c>
      <c r="B117" s="0" t="s">
        <v>256</v>
      </c>
      <c r="C117" s="0" t="s">
        <v>257</v>
      </c>
      <c r="D117" s="0" t="s">
        <v>20</v>
      </c>
      <c r="E117" s="0" t="s">
        <v>748</v>
      </c>
      <c r="F117" s="11" t="n">
        <v>46279</v>
      </c>
      <c r="G117" s="12" t="n">
        <v>1406000</v>
      </c>
      <c r="H117" s="12" t="n">
        <v>8806000</v>
      </c>
      <c r="I117" s="12" t="n">
        <v>8806000</v>
      </c>
      <c r="J117" s="10" t="s">
        <v>747</v>
      </c>
      <c r="K117" s="10" t="s">
        <v>40</v>
      </c>
    </row>
    <row r="118" customFormat="false" ht="15" hidden="false" customHeight="false" outlineLevel="0" collapsed="false">
      <c r="A118" s="0" t="s">
        <v>258</v>
      </c>
      <c r="B118" s="0" t="s">
        <v>259</v>
      </c>
      <c r="C118" s="0" t="s">
        <v>260</v>
      </c>
      <c r="D118" s="0" t="s">
        <v>20</v>
      </c>
      <c r="E118" s="0" t="s">
        <v>748</v>
      </c>
      <c r="F118" s="11" t="n">
        <v>46283</v>
      </c>
      <c r="G118" s="12" t="n">
        <v>46512</v>
      </c>
      <c r="H118" s="12" t="n">
        <v>291312</v>
      </c>
      <c r="I118" s="12" t="n">
        <v>291312</v>
      </c>
      <c r="J118" s="10" t="s">
        <v>747</v>
      </c>
      <c r="K118" s="10" t="s">
        <v>16</v>
      </c>
    </row>
    <row r="119" customFormat="false" ht="15" hidden="false" customHeight="false" outlineLevel="0" collapsed="false">
      <c r="A119" s="0" t="s">
        <v>258</v>
      </c>
      <c r="B119" s="0" t="s">
        <v>259</v>
      </c>
      <c r="C119" s="0" t="s">
        <v>261</v>
      </c>
      <c r="D119" s="0" t="s">
        <v>20</v>
      </c>
      <c r="E119" s="0" t="s">
        <v>748</v>
      </c>
      <c r="F119" s="11" t="n">
        <v>46284</v>
      </c>
      <c r="G119" s="12" t="n">
        <v>10701.75</v>
      </c>
      <c r="H119" s="12" t="n">
        <v>67026.75</v>
      </c>
      <c r="I119" s="12" t="n">
        <v>67026.75</v>
      </c>
      <c r="J119" s="10" t="s">
        <v>747</v>
      </c>
      <c r="K119" s="10" t="s">
        <v>26</v>
      </c>
    </row>
    <row r="120" customFormat="false" ht="15" hidden="false" customHeight="false" outlineLevel="0" collapsed="false">
      <c r="A120" s="0" t="s">
        <v>258</v>
      </c>
      <c r="B120" s="0" t="s">
        <v>259</v>
      </c>
      <c r="C120" s="0" t="s">
        <v>262</v>
      </c>
      <c r="D120" s="0" t="s">
        <v>31</v>
      </c>
      <c r="E120" s="0" t="s">
        <v>748</v>
      </c>
      <c r="F120" s="11" t="n">
        <v>46284</v>
      </c>
      <c r="G120" s="12" t="n">
        <v>1539</v>
      </c>
      <c r="H120" s="12" t="n">
        <v>9639</v>
      </c>
      <c r="I120" s="12" t="n">
        <v>-9639</v>
      </c>
      <c r="J120" s="10" t="s">
        <v>747</v>
      </c>
      <c r="K120" s="10" t="s">
        <v>16</v>
      </c>
    </row>
    <row r="121" customFormat="false" ht="15" hidden="false" customHeight="false" outlineLevel="0" collapsed="false">
      <c r="A121" s="0" t="s">
        <v>258</v>
      </c>
      <c r="B121" s="0" t="s">
        <v>259</v>
      </c>
      <c r="C121" s="0" t="s">
        <v>263</v>
      </c>
      <c r="D121" s="0" t="s">
        <v>20</v>
      </c>
      <c r="E121" s="0" t="s">
        <v>748</v>
      </c>
      <c r="F121" s="11" t="n">
        <v>46284</v>
      </c>
      <c r="G121" s="12" t="n">
        <v>2700.38</v>
      </c>
      <c r="H121" s="12" t="n">
        <v>16912.88</v>
      </c>
      <c r="I121" s="12" t="n">
        <v>16912.88</v>
      </c>
      <c r="J121" s="10" t="s">
        <v>747</v>
      </c>
      <c r="K121" s="10" t="s">
        <v>26</v>
      </c>
    </row>
    <row r="122" customFormat="false" ht="15" hidden="false" customHeight="false" outlineLevel="0" collapsed="false">
      <c r="A122" s="0" t="s">
        <v>258</v>
      </c>
      <c r="B122" s="0" t="s">
        <v>259</v>
      </c>
      <c r="C122" s="0" t="s">
        <v>264</v>
      </c>
      <c r="D122" s="0" t="s">
        <v>20</v>
      </c>
      <c r="E122" s="0" t="s">
        <v>748</v>
      </c>
      <c r="F122" s="11" t="n">
        <v>46287</v>
      </c>
      <c r="G122" s="12" t="n">
        <v>294.5</v>
      </c>
      <c r="H122" s="12" t="n">
        <v>1844.5</v>
      </c>
      <c r="I122" s="12" t="n">
        <v>1844.5</v>
      </c>
      <c r="J122" s="10" t="s">
        <v>747</v>
      </c>
      <c r="K122" s="10" t="s">
        <v>26</v>
      </c>
    </row>
    <row r="123" customFormat="false" ht="15" hidden="false" customHeight="false" outlineLevel="0" collapsed="false">
      <c r="A123" s="0" t="s">
        <v>265</v>
      </c>
      <c r="B123" s="0" t="s">
        <v>266</v>
      </c>
      <c r="C123" s="0" t="s">
        <v>267</v>
      </c>
      <c r="D123" s="0" t="s">
        <v>20</v>
      </c>
      <c r="E123" s="0" t="s">
        <v>748</v>
      </c>
      <c r="F123" s="11" t="n">
        <v>46291</v>
      </c>
      <c r="G123" s="12" t="n">
        <v>0</v>
      </c>
      <c r="H123" s="12" t="n">
        <v>67100</v>
      </c>
      <c r="I123" s="12" t="n">
        <v>67100</v>
      </c>
      <c r="J123" s="10" t="s">
        <v>747</v>
      </c>
      <c r="K123" s="10" t="s">
        <v>16</v>
      </c>
    </row>
    <row r="124" customFormat="false" ht="15" hidden="false" customHeight="false" outlineLevel="0" collapsed="false">
      <c r="A124" s="0" t="s">
        <v>265</v>
      </c>
      <c r="B124" s="0" t="s">
        <v>266</v>
      </c>
      <c r="C124" s="0" t="s">
        <v>268</v>
      </c>
      <c r="D124" s="0" t="s">
        <v>20</v>
      </c>
      <c r="E124" s="0" t="s">
        <v>748</v>
      </c>
      <c r="F124" s="11" t="n">
        <v>46291</v>
      </c>
      <c r="G124" s="12" t="n">
        <v>0</v>
      </c>
      <c r="H124" s="12" t="n">
        <v>6800</v>
      </c>
      <c r="I124" s="12" t="n">
        <v>6800</v>
      </c>
      <c r="J124" s="10" t="s">
        <v>747</v>
      </c>
      <c r="K124" s="10" t="s">
        <v>16</v>
      </c>
    </row>
    <row r="125" customFormat="false" ht="15" hidden="false" customHeight="false" outlineLevel="0" collapsed="false">
      <c r="A125" s="0" t="s">
        <v>269</v>
      </c>
      <c r="B125" s="0" t="s">
        <v>270</v>
      </c>
      <c r="C125" s="0" t="s">
        <v>271</v>
      </c>
      <c r="D125" s="0" t="s">
        <v>20</v>
      </c>
      <c r="E125" s="0" t="s">
        <v>748</v>
      </c>
      <c r="F125" s="11" t="n">
        <v>46267</v>
      </c>
      <c r="G125" s="12" t="n">
        <v>0</v>
      </c>
      <c r="H125" s="12" t="n">
        <v>24000</v>
      </c>
      <c r="I125" s="12" t="n">
        <v>24000</v>
      </c>
      <c r="J125" s="10" t="s">
        <v>747</v>
      </c>
      <c r="K125" s="10" t="s">
        <v>26</v>
      </c>
    </row>
    <row r="126" customFormat="false" ht="15" hidden="false" customHeight="false" outlineLevel="0" collapsed="false">
      <c r="A126" s="0" t="s">
        <v>272</v>
      </c>
      <c r="B126" s="0" t="s">
        <v>273</v>
      </c>
      <c r="C126" s="0" t="s">
        <v>275</v>
      </c>
      <c r="D126" s="0" t="s">
        <v>20</v>
      </c>
      <c r="E126" s="0" t="s">
        <v>748</v>
      </c>
      <c r="F126" s="11" t="n">
        <v>46273</v>
      </c>
      <c r="G126" s="12" t="n">
        <v>2616.49</v>
      </c>
      <c r="H126" s="12" t="n">
        <v>16387</v>
      </c>
      <c r="I126" s="12" t="n">
        <v>16387</v>
      </c>
      <c r="J126" s="10" t="s">
        <v>747</v>
      </c>
      <c r="K126" s="10" t="s">
        <v>16</v>
      </c>
    </row>
    <row r="127" customFormat="false" ht="15" hidden="false" customHeight="false" outlineLevel="0" collapsed="false">
      <c r="A127" s="0" t="s">
        <v>272</v>
      </c>
      <c r="B127" s="0" t="s">
        <v>273</v>
      </c>
      <c r="C127" s="0" t="s">
        <v>276</v>
      </c>
      <c r="D127" s="0" t="s">
        <v>20</v>
      </c>
      <c r="E127" s="0" t="s">
        <v>748</v>
      </c>
      <c r="F127" s="11" t="n">
        <v>46273</v>
      </c>
      <c r="G127" s="12" t="n">
        <v>30314.88</v>
      </c>
      <c r="H127" s="12" t="n">
        <v>189867</v>
      </c>
      <c r="I127" s="12" t="n">
        <v>189867</v>
      </c>
      <c r="J127" s="10" t="s">
        <v>747</v>
      </c>
      <c r="K127" s="10" t="s">
        <v>16</v>
      </c>
    </row>
    <row r="128" customFormat="false" ht="15" hidden="false" customHeight="false" outlineLevel="0" collapsed="false">
      <c r="A128" s="0" t="s">
        <v>272</v>
      </c>
      <c r="B128" s="0" t="s">
        <v>273</v>
      </c>
      <c r="C128" s="0" t="s">
        <v>277</v>
      </c>
      <c r="D128" s="0" t="s">
        <v>20</v>
      </c>
      <c r="E128" s="0" t="s">
        <v>748</v>
      </c>
      <c r="F128" s="11" t="n">
        <v>46273</v>
      </c>
      <c r="G128" s="12" t="n">
        <v>68400</v>
      </c>
      <c r="H128" s="12" t="n">
        <v>428400</v>
      </c>
      <c r="I128" s="12" t="n">
        <v>428400</v>
      </c>
      <c r="J128" s="10" t="s">
        <v>747</v>
      </c>
      <c r="K128" s="10" t="s">
        <v>16</v>
      </c>
    </row>
    <row r="129" customFormat="false" ht="15" hidden="false" customHeight="false" outlineLevel="0" collapsed="false">
      <c r="A129" s="0" t="s">
        <v>272</v>
      </c>
      <c r="B129" s="0" t="s">
        <v>273</v>
      </c>
      <c r="C129" s="0" t="s">
        <v>278</v>
      </c>
      <c r="D129" s="0" t="s">
        <v>20</v>
      </c>
      <c r="E129" s="0" t="s">
        <v>748</v>
      </c>
      <c r="F129" s="11" t="n">
        <v>46276</v>
      </c>
      <c r="G129" s="12" t="n">
        <v>154590.27</v>
      </c>
      <c r="H129" s="12" t="n">
        <v>968223</v>
      </c>
      <c r="I129" s="12" t="n">
        <v>968223</v>
      </c>
      <c r="J129" s="10" t="s">
        <v>747</v>
      </c>
      <c r="K129" s="10" t="s">
        <v>16</v>
      </c>
    </row>
    <row r="130" customFormat="false" ht="15" hidden="false" customHeight="false" outlineLevel="0" collapsed="false">
      <c r="A130" s="0" t="s">
        <v>272</v>
      </c>
      <c r="B130" s="0" t="s">
        <v>273</v>
      </c>
      <c r="C130" s="0" t="s">
        <v>279</v>
      </c>
      <c r="D130" s="0" t="s">
        <v>280</v>
      </c>
      <c r="E130" s="0" t="s">
        <v>748</v>
      </c>
      <c r="F130" s="11" t="n">
        <v>46279</v>
      </c>
      <c r="G130" s="12" t="n">
        <v>0</v>
      </c>
      <c r="H130" s="12" t="n">
        <v>621434</v>
      </c>
      <c r="I130" s="12" t="n">
        <v>621434</v>
      </c>
      <c r="J130" s="10" t="s">
        <v>749</v>
      </c>
      <c r="K130" s="10" t="s">
        <v>16</v>
      </c>
    </row>
    <row r="131" customFormat="false" ht="15" hidden="false" customHeight="false" outlineLevel="0" collapsed="false">
      <c r="A131" s="0" t="s">
        <v>272</v>
      </c>
      <c r="B131" s="0" t="s">
        <v>273</v>
      </c>
      <c r="C131" s="0" t="s">
        <v>281</v>
      </c>
      <c r="D131" s="0" t="s">
        <v>280</v>
      </c>
      <c r="E131" s="0" t="s">
        <v>748</v>
      </c>
      <c r="F131" s="11" t="n">
        <v>46279</v>
      </c>
      <c r="G131" s="12" t="n">
        <v>0</v>
      </c>
      <c r="H131" s="12" t="n">
        <v>3916515</v>
      </c>
      <c r="I131" s="12" t="n">
        <v>3916515</v>
      </c>
      <c r="J131" s="10" t="s">
        <v>749</v>
      </c>
      <c r="K131" s="10" t="s">
        <v>16</v>
      </c>
    </row>
    <row r="132" customFormat="false" ht="15" hidden="false" customHeight="false" outlineLevel="0" collapsed="false">
      <c r="A132" s="0" t="s">
        <v>282</v>
      </c>
      <c r="B132" s="0" t="s">
        <v>283</v>
      </c>
      <c r="C132" s="0" t="s">
        <v>284</v>
      </c>
      <c r="D132" s="0" t="s">
        <v>20</v>
      </c>
      <c r="E132" s="0" t="s">
        <v>748</v>
      </c>
      <c r="F132" s="11" t="n">
        <v>46279</v>
      </c>
      <c r="G132" s="12" t="n">
        <v>0</v>
      </c>
      <c r="H132" s="12" t="n">
        <v>10000.25</v>
      </c>
      <c r="I132" s="12" t="n">
        <v>10000.25</v>
      </c>
      <c r="J132" s="10" t="s">
        <v>747</v>
      </c>
      <c r="K132" s="10" t="s">
        <v>26</v>
      </c>
    </row>
    <row r="133" customFormat="false" ht="15" hidden="false" customHeight="false" outlineLevel="0" collapsed="false">
      <c r="A133" s="0" t="s">
        <v>285</v>
      </c>
      <c r="B133" s="0" t="s">
        <v>286</v>
      </c>
      <c r="C133" s="0" t="s">
        <v>287</v>
      </c>
      <c r="D133" s="0" t="s">
        <v>20</v>
      </c>
      <c r="E133" s="0" t="s">
        <v>748</v>
      </c>
      <c r="F133" s="11" t="n">
        <v>46273</v>
      </c>
      <c r="G133" s="12" t="n">
        <v>5301.57</v>
      </c>
      <c r="H133" s="12" t="n">
        <v>33204.57</v>
      </c>
      <c r="I133" s="12" t="n">
        <v>33204.57</v>
      </c>
      <c r="J133" s="10" t="s">
        <v>747</v>
      </c>
      <c r="K133" s="10" t="s">
        <v>26</v>
      </c>
    </row>
    <row r="134" customFormat="false" ht="15" hidden="false" customHeight="false" outlineLevel="0" collapsed="false">
      <c r="A134" s="0" t="s">
        <v>285</v>
      </c>
      <c r="B134" s="0" t="s">
        <v>286</v>
      </c>
      <c r="C134" s="0" t="s">
        <v>288</v>
      </c>
      <c r="D134" s="0" t="s">
        <v>20</v>
      </c>
      <c r="E134" s="0" t="s">
        <v>748</v>
      </c>
      <c r="F134" s="11" t="n">
        <v>46273</v>
      </c>
      <c r="G134" s="12" t="n">
        <v>163497.07</v>
      </c>
      <c r="H134" s="12" t="n">
        <v>1024007.94</v>
      </c>
      <c r="I134" s="12" t="n">
        <v>1024007.94</v>
      </c>
      <c r="J134" s="10" t="s">
        <v>747</v>
      </c>
      <c r="K134" s="10" t="s">
        <v>26</v>
      </c>
    </row>
    <row r="135" customFormat="false" ht="15" hidden="false" customHeight="false" outlineLevel="0" collapsed="false">
      <c r="A135" s="0" t="s">
        <v>289</v>
      </c>
      <c r="B135" s="0" t="s">
        <v>290</v>
      </c>
      <c r="C135" s="0" t="s">
        <v>291</v>
      </c>
      <c r="D135" s="0" t="s">
        <v>20</v>
      </c>
      <c r="E135" s="0" t="s">
        <v>748</v>
      </c>
      <c r="F135" s="11" t="n">
        <v>46289</v>
      </c>
      <c r="G135" s="12" t="n">
        <v>2936188.23</v>
      </c>
      <c r="H135" s="12" t="n">
        <v>34145878.49</v>
      </c>
      <c r="I135" s="12" t="n">
        <v>34145878.49</v>
      </c>
      <c r="J135" s="10" t="s">
        <v>747</v>
      </c>
      <c r="K135" s="10" t="s">
        <v>26</v>
      </c>
    </row>
    <row r="136" customFormat="false" ht="15" hidden="false" customHeight="false" outlineLevel="0" collapsed="false">
      <c r="A136" s="0" t="s">
        <v>292</v>
      </c>
      <c r="B136" s="0" t="s">
        <v>293</v>
      </c>
      <c r="C136" s="0" t="s">
        <v>294</v>
      </c>
      <c r="D136" s="0" t="s">
        <v>20</v>
      </c>
      <c r="E136" s="0" t="s">
        <v>748</v>
      </c>
      <c r="F136" s="11" t="n">
        <v>46266</v>
      </c>
      <c r="G136" s="12" t="n">
        <v>285000</v>
      </c>
      <c r="H136" s="12" t="n">
        <v>1785000</v>
      </c>
      <c r="I136" s="12" t="n">
        <v>1785000</v>
      </c>
      <c r="J136" s="10" t="s">
        <v>747</v>
      </c>
      <c r="K136" s="10" t="s">
        <v>16</v>
      </c>
    </row>
    <row r="137" customFormat="false" ht="15" hidden="false" customHeight="false" outlineLevel="0" collapsed="false">
      <c r="A137" s="0" t="s">
        <v>295</v>
      </c>
      <c r="B137" s="0" t="s">
        <v>296</v>
      </c>
      <c r="C137" s="0" t="s">
        <v>297</v>
      </c>
      <c r="D137" s="0" t="s">
        <v>20</v>
      </c>
      <c r="E137" s="0" t="s">
        <v>748</v>
      </c>
      <c r="F137" s="11" t="n">
        <v>46290</v>
      </c>
      <c r="G137" s="12" t="n">
        <v>0</v>
      </c>
      <c r="H137" s="12" t="n">
        <v>1000000</v>
      </c>
      <c r="I137" s="12" t="n">
        <v>1000000</v>
      </c>
      <c r="J137" s="10" t="s">
        <v>747</v>
      </c>
      <c r="K137" s="10" t="s">
        <v>16</v>
      </c>
    </row>
    <row r="138" customFormat="false" ht="15" hidden="false" customHeight="false" outlineLevel="0" collapsed="false">
      <c r="A138" s="0" t="s">
        <v>295</v>
      </c>
      <c r="B138" s="0" t="s">
        <v>296</v>
      </c>
      <c r="C138" s="0" t="s">
        <v>298</v>
      </c>
      <c r="D138" s="0" t="s">
        <v>20</v>
      </c>
      <c r="E138" s="0" t="s">
        <v>748</v>
      </c>
      <c r="F138" s="11" t="n">
        <v>46291</v>
      </c>
      <c r="G138" s="12" t="n">
        <v>0</v>
      </c>
      <c r="H138" s="12" t="n">
        <v>4000000</v>
      </c>
      <c r="I138" s="12" t="n">
        <v>4000000</v>
      </c>
      <c r="J138" s="10" t="s">
        <v>747</v>
      </c>
      <c r="K138" s="10" t="s">
        <v>16</v>
      </c>
    </row>
    <row r="139" customFormat="false" ht="15" hidden="false" customHeight="false" outlineLevel="0" collapsed="false">
      <c r="A139" s="0" t="s">
        <v>295</v>
      </c>
      <c r="B139" s="0" t="s">
        <v>296</v>
      </c>
      <c r="C139" s="0" t="s">
        <v>299</v>
      </c>
      <c r="D139" s="0" t="s">
        <v>20</v>
      </c>
      <c r="E139" s="0" t="s">
        <v>748</v>
      </c>
      <c r="F139" s="11" t="n">
        <v>46291</v>
      </c>
      <c r="G139" s="12" t="n">
        <v>5700000</v>
      </c>
      <c r="H139" s="12" t="n">
        <v>35700000</v>
      </c>
      <c r="I139" s="12" t="n">
        <v>35700000</v>
      </c>
      <c r="J139" s="10" t="s">
        <v>747</v>
      </c>
      <c r="K139" s="10" t="s">
        <v>16</v>
      </c>
    </row>
    <row r="140" customFormat="false" ht="15" hidden="false" customHeight="false" outlineLevel="0" collapsed="false">
      <c r="A140" s="0" t="s">
        <v>295</v>
      </c>
      <c r="B140" s="0" t="s">
        <v>296</v>
      </c>
      <c r="C140" s="0" t="s">
        <v>300</v>
      </c>
      <c r="D140" s="0" t="s">
        <v>31</v>
      </c>
      <c r="E140" s="0" t="s">
        <v>748</v>
      </c>
      <c r="F140" s="11" t="n">
        <v>46293</v>
      </c>
      <c r="G140" s="12" t="n">
        <v>0</v>
      </c>
      <c r="H140" s="12" t="n">
        <v>1000000</v>
      </c>
      <c r="I140" s="12" t="n">
        <v>-1000000</v>
      </c>
      <c r="J140" s="10" t="s">
        <v>747</v>
      </c>
      <c r="K140" s="10" t="s">
        <v>16</v>
      </c>
    </row>
    <row r="141" customFormat="false" ht="15" hidden="false" customHeight="false" outlineLevel="0" collapsed="false">
      <c r="A141" s="0" t="s">
        <v>301</v>
      </c>
      <c r="B141" s="0" t="s">
        <v>302</v>
      </c>
      <c r="C141" s="0" t="s">
        <v>303</v>
      </c>
      <c r="D141" s="0" t="s">
        <v>15</v>
      </c>
      <c r="E141" s="0" t="s">
        <v>746</v>
      </c>
      <c r="F141" s="11" t="n">
        <v>46268</v>
      </c>
      <c r="G141" s="12" t="n">
        <v>0</v>
      </c>
      <c r="H141" s="12" t="n">
        <v>4125334</v>
      </c>
      <c r="I141" s="12" t="n">
        <v>4125334</v>
      </c>
      <c r="J141" s="10" t="s">
        <v>747</v>
      </c>
      <c r="K141" s="10" t="s">
        <v>16</v>
      </c>
    </row>
    <row r="142" customFormat="false" ht="15" hidden="false" customHeight="false" outlineLevel="0" collapsed="false">
      <c r="A142" s="0" t="s">
        <v>304</v>
      </c>
      <c r="B142" s="0" t="s">
        <v>305</v>
      </c>
      <c r="C142" s="0" t="s">
        <v>306</v>
      </c>
      <c r="D142" s="0" t="s">
        <v>20</v>
      </c>
      <c r="E142" s="0" t="s">
        <v>748</v>
      </c>
      <c r="F142" s="11" t="n">
        <v>46266</v>
      </c>
      <c r="G142" s="12" t="n">
        <v>30400</v>
      </c>
      <c r="H142" s="12" t="n">
        <v>190400</v>
      </c>
      <c r="I142" s="12" t="n">
        <v>190400</v>
      </c>
      <c r="J142" s="10" t="s">
        <v>747</v>
      </c>
      <c r="K142" s="10" t="s">
        <v>16</v>
      </c>
    </row>
    <row r="143" customFormat="false" ht="15" hidden="false" customHeight="false" outlineLevel="0" collapsed="false">
      <c r="A143" s="0" t="s">
        <v>307</v>
      </c>
      <c r="B143" s="0" t="s">
        <v>308</v>
      </c>
      <c r="C143" s="0" t="s">
        <v>309</v>
      </c>
      <c r="D143" s="0" t="s">
        <v>20</v>
      </c>
      <c r="E143" s="0" t="s">
        <v>748</v>
      </c>
      <c r="F143" s="11" t="n">
        <v>46276</v>
      </c>
      <c r="G143" s="12" t="n">
        <v>33529.42</v>
      </c>
      <c r="H143" s="12" t="n">
        <v>210000</v>
      </c>
      <c r="I143" s="12" t="n">
        <v>210000</v>
      </c>
      <c r="J143" s="10" t="s">
        <v>747</v>
      </c>
      <c r="K143" s="10" t="s">
        <v>26</v>
      </c>
    </row>
    <row r="144" customFormat="false" ht="15" hidden="false" customHeight="false" outlineLevel="0" collapsed="false">
      <c r="A144" s="0" t="s">
        <v>307</v>
      </c>
      <c r="B144" s="0" t="s">
        <v>308</v>
      </c>
      <c r="C144" s="0" t="s">
        <v>310</v>
      </c>
      <c r="D144" s="0" t="s">
        <v>20</v>
      </c>
      <c r="E144" s="0" t="s">
        <v>748</v>
      </c>
      <c r="F144" s="11" t="n">
        <v>46276</v>
      </c>
      <c r="G144" s="12" t="n">
        <v>20756.3</v>
      </c>
      <c r="H144" s="12" t="n">
        <v>160000</v>
      </c>
      <c r="I144" s="12" t="n">
        <v>160000</v>
      </c>
      <c r="J144" s="10" t="s">
        <v>747</v>
      </c>
      <c r="K144" s="10" t="s">
        <v>26</v>
      </c>
    </row>
    <row r="145" customFormat="false" ht="15" hidden="false" customHeight="false" outlineLevel="0" collapsed="false">
      <c r="A145" s="0" t="s">
        <v>307</v>
      </c>
      <c r="B145" s="0" t="s">
        <v>308</v>
      </c>
      <c r="C145" s="0" t="s">
        <v>311</v>
      </c>
      <c r="D145" s="0" t="s">
        <v>20</v>
      </c>
      <c r="E145" s="0" t="s">
        <v>748</v>
      </c>
      <c r="F145" s="11" t="n">
        <v>46284</v>
      </c>
      <c r="G145" s="12" t="n">
        <v>297160</v>
      </c>
      <c r="H145" s="12" t="n">
        <v>1861160</v>
      </c>
      <c r="I145" s="12" t="n">
        <v>1861160</v>
      </c>
      <c r="J145" s="10" t="s">
        <v>747</v>
      </c>
      <c r="K145" s="10" t="s">
        <v>26</v>
      </c>
    </row>
    <row r="146" customFormat="false" ht="15" hidden="false" customHeight="false" outlineLevel="0" collapsed="false">
      <c r="A146" s="0" t="s">
        <v>307</v>
      </c>
      <c r="B146" s="0" t="s">
        <v>308</v>
      </c>
      <c r="C146" s="0" t="s">
        <v>312</v>
      </c>
      <c r="D146" s="0" t="s">
        <v>20</v>
      </c>
      <c r="E146" s="0" t="s">
        <v>748</v>
      </c>
      <c r="F146" s="11" t="n">
        <v>46286</v>
      </c>
      <c r="G146" s="12" t="n">
        <v>476436.98</v>
      </c>
      <c r="H146" s="12" t="n">
        <v>2984000</v>
      </c>
      <c r="I146" s="12" t="n">
        <v>2984000</v>
      </c>
      <c r="J146" s="10" t="s">
        <v>747</v>
      </c>
      <c r="K146" s="10" t="s">
        <v>16</v>
      </c>
    </row>
    <row r="147" customFormat="false" ht="15" hidden="false" customHeight="false" outlineLevel="0" collapsed="false">
      <c r="A147" s="0" t="s">
        <v>307</v>
      </c>
      <c r="B147" s="0" t="s">
        <v>308</v>
      </c>
      <c r="C147" s="0" t="s">
        <v>313</v>
      </c>
      <c r="D147" s="0" t="s">
        <v>20</v>
      </c>
      <c r="E147" s="0" t="s">
        <v>748</v>
      </c>
      <c r="F147" s="11" t="n">
        <v>46286</v>
      </c>
      <c r="G147" s="12" t="n">
        <v>19798.32</v>
      </c>
      <c r="H147" s="12" t="n">
        <v>124000</v>
      </c>
      <c r="I147" s="12" t="n">
        <v>124000</v>
      </c>
      <c r="J147" s="10" t="s">
        <v>747</v>
      </c>
      <c r="K147" s="10" t="s">
        <v>26</v>
      </c>
    </row>
    <row r="148" customFormat="false" ht="15" hidden="false" customHeight="false" outlineLevel="0" collapsed="false">
      <c r="A148" s="0" t="s">
        <v>314</v>
      </c>
      <c r="B148" s="0" t="s">
        <v>315</v>
      </c>
      <c r="C148" s="0" t="s">
        <v>316</v>
      </c>
      <c r="D148" s="0" t="s">
        <v>20</v>
      </c>
      <c r="E148" s="0" t="s">
        <v>748</v>
      </c>
      <c r="F148" s="11" t="n">
        <v>46276</v>
      </c>
      <c r="G148" s="12" t="n">
        <v>0</v>
      </c>
      <c r="H148" s="12" t="n">
        <v>13000</v>
      </c>
      <c r="I148" s="12" t="n">
        <v>13000</v>
      </c>
      <c r="J148" s="10" t="s">
        <v>747</v>
      </c>
      <c r="K148" s="10" t="s">
        <v>26</v>
      </c>
    </row>
    <row r="149" customFormat="false" ht="15" hidden="false" customHeight="false" outlineLevel="0" collapsed="false">
      <c r="A149" s="0" t="s">
        <v>317</v>
      </c>
      <c r="B149" s="0" t="s">
        <v>318</v>
      </c>
      <c r="C149" s="0" t="s">
        <v>319</v>
      </c>
      <c r="D149" s="0" t="s">
        <v>20</v>
      </c>
      <c r="E149" s="0" t="s">
        <v>748</v>
      </c>
      <c r="F149" s="11" t="n">
        <v>46279</v>
      </c>
      <c r="G149" s="12" t="n">
        <v>878.15</v>
      </c>
      <c r="H149" s="12" t="n">
        <v>5500</v>
      </c>
      <c r="I149" s="12" t="n">
        <v>5500</v>
      </c>
      <c r="J149" s="10" t="s">
        <v>747</v>
      </c>
      <c r="K149" s="10" t="s">
        <v>16</v>
      </c>
    </row>
    <row r="150" customFormat="false" ht="15" hidden="false" customHeight="false" outlineLevel="0" collapsed="false">
      <c r="A150" s="0" t="s">
        <v>320</v>
      </c>
      <c r="B150" s="0" t="s">
        <v>321</v>
      </c>
      <c r="C150" s="0" t="s">
        <v>322</v>
      </c>
      <c r="D150" s="0" t="s">
        <v>20</v>
      </c>
      <c r="E150" s="0" t="s">
        <v>748</v>
      </c>
      <c r="F150" s="11" t="n">
        <v>46286</v>
      </c>
      <c r="G150" s="12" t="n">
        <v>10010.93</v>
      </c>
      <c r="H150" s="12" t="n">
        <v>62700</v>
      </c>
      <c r="I150" s="12" t="n">
        <v>62700</v>
      </c>
      <c r="J150" s="10" t="s">
        <v>747</v>
      </c>
      <c r="K150" s="10" t="s">
        <v>16</v>
      </c>
    </row>
    <row r="151" customFormat="false" ht="15" hidden="false" customHeight="false" outlineLevel="0" collapsed="false">
      <c r="A151" s="0" t="s">
        <v>323</v>
      </c>
      <c r="B151" s="0" t="s">
        <v>324</v>
      </c>
      <c r="C151" s="0" t="s">
        <v>325</v>
      </c>
      <c r="D151" s="0" t="s">
        <v>20</v>
      </c>
      <c r="E151" s="0" t="s">
        <v>748</v>
      </c>
      <c r="F151" s="11" t="n">
        <v>46267</v>
      </c>
      <c r="G151" s="12" t="n">
        <v>38287.4</v>
      </c>
      <c r="H151" s="12" t="n">
        <v>245800</v>
      </c>
      <c r="I151" s="12" t="n">
        <v>245800</v>
      </c>
      <c r="J151" s="10" t="s">
        <v>747</v>
      </c>
      <c r="K151" s="10" t="s">
        <v>16</v>
      </c>
    </row>
    <row r="152" customFormat="false" ht="15" hidden="false" customHeight="false" outlineLevel="0" collapsed="false">
      <c r="A152" s="0" t="s">
        <v>323</v>
      </c>
      <c r="B152" s="0" t="s">
        <v>324</v>
      </c>
      <c r="C152" s="0" t="s">
        <v>326</v>
      </c>
      <c r="D152" s="0" t="s">
        <v>20</v>
      </c>
      <c r="E152" s="0" t="s">
        <v>748</v>
      </c>
      <c r="F152" s="11" t="n">
        <v>46276</v>
      </c>
      <c r="G152" s="12" t="n">
        <v>8302.52</v>
      </c>
      <c r="H152" s="12" t="n">
        <v>52000</v>
      </c>
      <c r="I152" s="12" t="n">
        <v>52000</v>
      </c>
      <c r="J152" s="10" t="s">
        <v>747</v>
      </c>
      <c r="K152" s="10" t="s">
        <v>26</v>
      </c>
    </row>
    <row r="153" customFormat="false" ht="15" hidden="false" customHeight="false" outlineLevel="0" collapsed="false">
      <c r="A153" s="0" t="s">
        <v>323</v>
      </c>
      <c r="B153" s="0" t="s">
        <v>324</v>
      </c>
      <c r="C153" s="0" t="s">
        <v>327</v>
      </c>
      <c r="D153" s="0" t="s">
        <v>20</v>
      </c>
      <c r="E153" s="0" t="s">
        <v>748</v>
      </c>
      <c r="F153" s="11" t="n">
        <v>46293</v>
      </c>
      <c r="G153" s="12" t="n">
        <v>3448.74</v>
      </c>
      <c r="H153" s="12" t="n">
        <v>21600</v>
      </c>
      <c r="I153" s="12" t="n">
        <v>21600</v>
      </c>
      <c r="J153" s="10" t="s">
        <v>747</v>
      </c>
      <c r="K153" s="10" t="s">
        <v>16</v>
      </c>
    </row>
    <row r="154" customFormat="false" ht="15" hidden="false" customHeight="false" outlineLevel="0" collapsed="false">
      <c r="A154" s="0" t="s">
        <v>328</v>
      </c>
      <c r="B154" s="0" t="s">
        <v>329</v>
      </c>
      <c r="C154" s="0" t="s">
        <v>330</v>
      </c>
      <c r="D154" s="0" t="s">
        <v>20</v>
      </c>
      <c r="E154" s="0" t="s">
        <v>748</v>
      </c>
      <c r="F154" s="11" t="n">
        <v>46287</v>
      </c>
      <c r="G154" s="12" t="n">
        <v>0</v>
      </c>
      <c r="H154" s="12" t="n">
        <v>2000000</v>
      </c>
      <c r="I154" s="12" t="n">
        <v>2000000</v>
      </c>
      <c r="J154" s="10" t="s">
        <v>747</v>
      </c>
      <c r="K154" s="10" t="s">
        <v>40</v>
      </c>
    </row>
    <row r="155" customFormat="false" ht="15" hidden="false" customHeight="false" outlineLevel="0" collapsed="false">
      <c r="A155" s="0" t="s">
        <v>331</v>
      </c>
      <c r="B155" s="0" t="s">
        <v>332</v>
      </c>
      <c r="C155" s="0" t="s">
        <v>333</v>
      </c>
      <c r="D155" s="0" t="s">
        <v>15</v>
      </c>
      <c r="E155" s="0" t="s">
        <v>746</v>
      </c>
      <c r="F155" s="11" t="n">
        <v>46293</v>
      </c>
      <c r="G155" s="12" t="n">
        <v>0</v>
      </c>
      <c r="H155" s="12" t="n">
        <v>2143667</v>
      </c>
      <c r="I155" s="12" t="n">
        <v>2143667</v>
      </c>
      <c r="J155" s="10" t="s">
        <v>747</v>
      </c>
      <c r="K155" s="10" t="s">
        <v>16</v>
      </c>
    </row>
    <row r="156" customFormat="false" ht="15" hidden="false" customHeight="false" outlineLevel="0" collapsed="false">
      <c r="A156" s="0" t="s">
        <v>334</v>
      </c>
      <c r="B156" s="0" t="s">
        <v>335</v>
      </c>
      <c r="C156" s="0" t="s">
        <v>336</v>
      </c>
      <c r="D156" s="0" t="s">
        <v>20</v>
      </c>
      <c r="E156" s="0" t="s">
        <v>748</v>
      </c>
      <c r="F156" s="11" t="n">
        <v>46272</v>
      </c>
      <c r="G156" s="12" t="n">
        <v>1021848.76</v>
      </c>
      <c r="H156" s="12" t="n">
        <v>6400000</v>
      </c>
      <c r="I156" s="12" t="n">
        <v>6400000</v>
      </c>
      <c r="J156" s="10" t="s">
        <v>747</v>
      </c>
      <c r="K156" s="10" t="s">
        <v>16</v>
      </c>
    </row>
    <row r="157" customFormat="false" ht="15" hidden="false" customHeight="false" outlineLevel="0" collapsed="false">
      <c r="A157" s="0" t="s">
        <v>334</v>
      </c>
      <c r="B157" s="0" t="s">
        <v>335</v>
      </c>
      <c r="C157" s="0" t="s">
        <v>337</v>
      </c>
      <c r="D157" s="0" t="s">
        <v>31</v>
      </c>
      <c r="E157" s="0" t="s">
        <v>748</v>
      </c>
      <c r="F157" s="11" t="n">
        <v>46272</v>
      </c>
      <c r="G157" s="12" t="n">
        <v>1021848.76</v>
      </c>
      <c r="H157" s="12" t="n">
        <v>6400000</v>
      </c>
      <c r="I157" s="12" t="n">
        <v>-6400000</v>
      </c>
      <c r="J157" s="10" t="s">
        <v>747</v>
      </c>
      <c r="K157" s="10" t="s">
        <v>16</v>
      </c>
    </row>
    <row r="158" customFormat="false" ht="15" hidden="false" customHeight="false" outlineLevel="0" collapsed="false">
      <c r="A158" s="0" t="s">
        <v>334</v>
      </c>
      <c r="B158" s="0" t="s">
        <v>335</v>
      </c>
      <c r="C158" s="0" t="s">
        <v>338</v>
      </c>
      <c r="D158" s="0" t="s">
        <v>20</v>
      </c>
      <c r="E158" s="0" t="s">
        <v>748</v>
      </c>
      <c r="F158" s="11" t="n">
        <v>46272</v>
      </c>
      <c r="G158" s="12" t="n">
        <v>1021848.76</v>
      </c>
      <c r="H158" s="12" t="n">
        <v>6400000</v>
      </c>
      <c r="I158" s="12" t="n">
        <v>6400000</v>
      </c>
      <c r="J158" s="10" t="s">
        <v>747</v>
      </c>
      <c r="K158" s="10" t="s">
        <v>16</v>
      </c>
    </row>
    <row r="159" customFormat="false" ht="15" hidden="false" customHeight="false" outlineLevel="0" collapsed="false">
      <c r="A159" s="0" t="s">
        <v>339</v>
      </c>
      <c r="B159" s="0" t="s">
        <v>340</v>
      </c>
      <c r="C159" s="0" t="s">
        <v>341</v>
      </c>
      <c r="D159" s="0" t="s">
        <v>20</v>
      </c>
      <c r="E159" s="0" t="s">
        <v>748</v>
      </c>
      <c r="F159" s="11" t="n">
        <v>46281</v>
      </c>
      <c r="G159" s="12" t="n">
        <v>3448.74</v>
      </c>
      <c r="H159" s="12" t="n">
        <v>32300</v>
      </c>
      <c r="I159" s="12" t="n">
        <v>32300</v>
      </c>
      <c r="J159" s="10" t="s">
        <v>747</v>
      </c>
      <c r="K159" s="10" t="s">
        <v>16</v>
      </c>
    </row>
    <row r="160" customFormat="false" ht="15" hidden="false" customHeight="false" outlineLevel="0" collapsed="false">
      <c r="A160" s="0" t="s">
        <v>342</v>
      </c>
      <c r="B160" s="0" t="s">
        <v>343</v>
      </c>
      <c r="C160" s="0" t="s">
        <v>344</v>
      </c>
      <c r="D160" s="0" t="s">
        <v>20</v>
      </c>
      <c r="E160" s="0" t="s">
        <v>748</v>
      </c>
      <c r="F160" s="11" t="n">
        <v>46267</v>
      </c>
      <c r="G160" s="12" t="n">
        <v>645387.06</v>
      </c>
      <c r="H160" s="12" t="n">
        <v>4042161.06</v>
      </c>
      <c r="I160" s="12" t="n">
        <v>4042161.06</v>
      </c>
      <c r="J160" s="10" t="s">
        <v>747</v>
      </c>
      <c r="K160" s="10" t="s">
        <v>26</v>
      </c>
    </row>
    <row r="161" customFormat="false" ht="15" hidden="false" customHeight="false" outlineLevel="0" collapsed="false">
      <c r="A161" s="0" t="s">
        <v>345</v>
      </c>
      <c r="B161" s="0" t="s">
        <v>346</v>
      </c>
      <c r="C161" s="0" t="s">
        <v>347</v>
      </c>
      <c r="D161" s="0" t="s">
        <v>20</v>
      </c>
      <c r="E161" s="0" t="s">
        <v>748</v>
      </c>
      <c r="F161" s="11" t="n">
        <v>46273</v>
      </c>
      <c r="G161" s="12" t="n">
        <v>266000</v>
      </c>
      <c r="H161" s="12" t="n">
        <v>1666000</v>
      </c>
      <c r="I161" s="12" t="n">
        <v>1666000</v>
      </c>
      <c r="J161" s="10" t="s">
        <v>747</v>
      </c>
      <c r="K161" s="10" t="s">
        <v>16</v>
      </c>
    </row>
    <row r="162" customFormat="false" ht="15" hidden="false" customHeight="false" outlineLevel="0" collapsed="false">
      <c r="A162" s="0" t="s">
        <v>348</v>
      </c>
      <c r="B162" s="0" t="s">
        <v>349</v>
      </c>
      <c r="C162" s="0" t="s">
        <v>350</v>
      </c>
      <c r="D162" s="0" t="s">
        <v>15</v>
      </c>
      <c r="E162" s="0" t="s">
        <v>746</v>
      </c>
      <c r="F162" s="11" t="n">
        <v>46294</v>
      </c>
      <c r="G162" s="12" t="n">
        <v>0</v>
      </c>
      <c r="H162" s="12" t="n">
        <v>850000</v>
      </c>
      <c r="I162" s="12" t="n">
        <v>850000</v>
      </c>
      <c r="J162" s="10" t="s">
        <v>747</v>
      </c>
      <c r="K162" s="10" t="s">
        <v>16</v>
      </c>
    </row>
    <row r="163" customFormat="false" ht="15" hidden="false" customHeight="false" outlineLevel="0" collapsed="false">
      <c r="A163" s="0" t="s">
        <v>351</v>
      </c>
      <c r="B163" s="0" t="s">
        <v>352</v>
      </c>
      <c r="C163" s="0" t="s">
        <v>353</v>
      </c>
      <c r="D163" s="0" t="s">
        <v>20</v>
      </c>
      <c r="E163" s="0" t="s">
        <v>748</v>
      </c>
      <c r="F163" s="11" t="n">
        <v>46270</v>
      </c>
      <c r="G163" s="12" t="n">
        <v>22166</v>
      </c>
      <c r="H163" s="12" t="n">
        <v>138833</v>
      </c>
      <c r="I163" s="12" t="n">
        <v>138833</v>
      </c>
      <c r="J163" s="10" t="s">
        <v>747</v>
      </c>
      <c r="K163" s="10" t="s">
        <v>26</v>
      </c>
    </row>
    <row r="164" customFormat="false" ht="15" hidden="false" customHeight="false" outlineLevel="0" collapsed="false">
      <c r="A164" s="0" t="s">
        <v>351</v>
      </c>
      <c r="B164" s="0" t="s">
        <v>352</v>
      </c>
      <c r="C164" s="0" t="s">
        <v>354</v>
      </c>
      <c r="D164" s="0" t="s">
        <v>20</v>
      </c>
      <c r="E164" s="0" t="s">
        <v>748</v>
      </c>
      <c r="F164" s="11" t="n">
        <v>46270</v>
      </c>
      <c r="G164" s="12" t="n">
        <v>523138</v>
      </c>
      <c r="H164" s="12" t="n">
        <v>3276502</v>
      </c>
      <c r="I164" s="12" t="n">
        <v>3276502</v>
      </c>
      <c r="J164" s="10" t="s">
        <v>747</v>
      </c>
      <c r="K164" s="10" t="s">
        <v>26</v>
      </c>
    </row>
    <row r="165" customFormat="false" ht="15" hidden="false" customHeight="false" outlineLevel="0" collapsed="false">
      <c r="A165" s="0" t="s">
        <v>351</v>
      </c>
      <c r="B165" s="0" t="s">
        <v>352</v>
      </c>
      <c r="C165" s="0" t="s">
        <v>355</v>
      </c>
      <c r="D165" s="0" t="s">
        <v>31</v>
      </c>
      <c r="E165" s="0" t="s">
        <v>748</v>
      </c>
      <c r="F165" s="11" t="n">
        <v>46281</v>
      </c>
      <c r="G165" s="12" t="n">
        <v>20584</v>
      </c>
      <c r="H165" s="12" t="n">
        <v>128919</v>
      </c>
      <c r="I165" s="12" t="n">
        <v>-128919</v>
      </c>
      <c r="J165" s="10" t="s">
        <v>747</v>
      </c>
      <c r="K165" s="10" t="s">
        <v>16</v>
      </c>
    </row>
    <row r="166" customFormat="false" ht="15" hidden="false" customHeight="false" outlineLevel="0" collapsed="false">
      <c r="A166" s="0" t="s">
        <v>351</v>
      </c>
      <c r="B166" s="0" t="s">
        <v>352</v>
      </c>
      <c r="C166" s="0" t="s">
        <v>356</v>
      </c>
      <c r="D166" s="0" t="s">
        <v>31</v>
      </c>
      <c r="E166" s="0" t="s">
        <v>748</v>
      </c>
      <c r="F166" s="11" t="n">
        <v>46281</v>
      </c>
      <c r="G166" s="12" t="n">
        <v>20584</v>
      </c>
      <c r="H166" s="12" t="n">
        <v>128919</v>
      </c>
      <c r="I166" s="12" t="n">
        <v>-128919</v>
      </c>
      <c r="J166" s="10" t="s">
        <v>747</v>
      </c>
      <c r="K166" s="10" t="s">
        <v>16</v>
      </c>
    </row>
    <row r="167" customFormat="false" ht="15" hidden="false" customHeight="false" outlineLevel="0" collapsed="false">
      <c r="A167" s="0" t="s">
        <v>351</v>
      </c>
      <c r="B167" s="0" t="s">
        <v>352</v>
      </c>
      <c r="C167" s="0" t="s">
        <v>357</v>
      </c>
      <c r="D167" s="0" t="s">
        <v>20</v>
      </c>
      <c r="E167" s="0" t="s">
        <v>748</v>
      </c>
      <c r="F167" s="11" t="n">
        <v>46286</v>
      </c>
      <c r="G167" s="12" t="n">
        <v>41168</v>
      </c>
      <c r="H167" s="12" t="n">
        <v>257838</v>
      </c>
      <c r="I167" s="12" t="n">
        <v>257838</v>
      </c>
      <c r="J167" s="10" t="s">
        <v>747</v>
      </c>
      <c r="K167" s="10" t="s">
        <v>26</v>
      </c>
    </row>
    <row r="168" customFormat="false" ht="15" hidden="false" customHeight="false" outlineLevel="0" collapsed="false">
      <c r="A168" s="0" t="s">
        <v>351</v>
      </c>
      <c r="B168" s="0" t="s">
        <v>352</v>
      </c>
      <c r="C168" s="0" t="s">
        <v>358</v>
      </c>
      <c r="D168" s="0" t="s">
        <v>20</v>
      </c>
      <c r="E168" s="0" t="s">
        <v>748</v>
      </c>
      <c r="F168" s="11" t="n">
        <v>46293</v>
      </c>
      <c r="G168" s="12" t="n">
        <v>18416</v>
      </c>
      <c r="H168" s="12" t="n">
        <v>115352</v>
      </c>
      <c r="I168" s="12" t="n">
        <v>115352</v>
      </c>
      <c r="J168" s="10" t="s">
        <v>747</v>
      </c>
      <c r="K168" s="10" t="s">
        <v>26</v>
      </c>
    </row>
    <row r="169" customFormat="false" ht="15" hidden="false" customHeight="false" outlineLevel="0" collapsed="false">
      <c r="A169" s="0" t="s">
        <v>359</v>
      </c>
      <c r="B169" s="0" t="s">
        <v>360</v>
      </c>
      <c r="C169" s="0" t="s">
        <v>361</v>
      </c>
      <c r="D169" s="0" t="s">
        <v>20</v>
      </c>
      <c r="E169" s="0" t="s">
        <v>748</v>
      </c>
      <c r="F169" s="11" t="n">
        <v>46283</v>
      </c>
      <c r="G169" s="12" t="n">
        <v>86830</v>
      </c>
      <c r="H169" s="12" t="n">
        <v>543830</v>
      </c>
      <c r="I169" s="12" t="n">
        <v>543830</v>
      </c>
      <c r="J169" s="10" t="s">
        <v>747</v>
      </c>
      <c r="K169" s="10" t="s">
        <v>26</v>
      </c>
    </row>
    <row r="170" customFormat="false" ht="15" hidden="false" customHeight="false" outlineLevel="0" collapsed="false">
      <c r="A170" s="0" t="s">
        <v>359</v>
      </c>
      <c r="B170" s="0" t="s">
        <v>360</v>
      </c>
      <c r="C170" s="0" t="s">
        <v>362</v>
      </c>
      <c r="D170" s="0" t="s">
        <v>20</v>
      </c>
      <c r="E170" s="0" t="s">
        <v>748</v>
      </c>
      <c r="F170" s="11" t="n">
        <v>46283</v>
      </c>
      <c r="G170" s="12" t="n">
        <v>144780</v>
      </c>
      <c r="H170" s="12" t="n">
        <v>1131854</v>
      </c>
      <c r="I170" s="12" t="n">
        <v>1131854</v>
      </c>
      <c r="J170" s="10" t="s">
        <v>747</v>
      </c>
      <c r="K170" s="10" t="s">
        <v>16</v>
      </c>
    </row>
    <row r="171" customFormat="false" ht="15" hidden="false" customHeight="false" outlineLevel="0" collapsed="false">
      <c r="A171" s="0" t="s">
        <v>363</v>
      </c>
      <c r="B171" s="0" t="s">
        <v>364</v>
      </c>
      <c r="C171" s="0" t="s">
        <v>365</v>
      </c>
      <c r="D171" s="0" t="s">
        <v>20</v>
      </c>
      <c r="E171" s="0" t="s">
        <v>748</v>
      </c>
      <c r="F171" s="11" t="n">
        <v>46276</v>
      </c>
      <c r="G171" s="12" t="n">
        <v>242050.4204</v>
      </c>
      <c r="H171" s="12" t="n">
        <v>3425499.9989</v>
      </c>
      <c r="I171" s="12" t="n">
        <v>3425499.9989</v>
      </c>
      <c r="J171" s="10" t="s">
        <v>747</v>
      </c>
      <c r="K171" s="10" t="s">
        <v>26</v>
      </c>
    </row>
    <row r="172" customFormat="false" ht="15" hidden="false" customHeight="false" outlineLevel="0" collapsed="false">
      <c r="A172" s="0" t="s">
        <v>363</v>
      </c>
      <c r="B172" s="0" t="s">
        <v>364</v>
      </c>
      <c r="C172" s="0" t="s">
        <v>366</v>
      </c>
      <c r="D172" s="0" t="s">
        <v>20</v>
      </c>
      <c r="E172" s="0" t="s">
        <v>748</v>
      </c>
      <c r="F172" s="11" t="n">
        <v>46276</v>
      </c>
      <c r="G172" s="12" t="n">
        <v>0</v>
      </c>
      <c r="H172" s="12" t="n">
        <v>5000</v>
      </c>
      <c r="I172" s="12" t="n">
        <v>5000</v>
      </c>
      <c r="J172" s="10" t="s">
        <v>747</v>
      </c>
      <c r="K172" s="10" t="s">
        <v>16</v>
      </c>
    </row>
    <row r="173" customFormat="false" ht="15" hidden="false" customHeight="false" outlineLevel="0" collapsed="false">
      <c r="A173" s="0" t="s">
        <v>367</v>
      </c>
      <c r="B173" s="0" t="s">
        <v>368</v>
      </c>
      <c r="C173" s="0" t="s">
        <v>369</v>
      </c>
      <c r="D173" s="0" t="s">
        <v>20</v>
      </c>
      <c r="E173" s="0" t="s">
        <v>748</v>
      </c>
      <c r="F173" s="11" t="n">
        <v>46269</v>
      </c>
      <c r="G173" s="12" t="n">
        <v>80750</v>
      </c>
      <c r="H173" s="12" t="n">
        <v>505750</v>
      </c>
      <c r="I173" s="12" t="n">
        <v>505750</v>
      </c>
      <c r="J173" s="10" t="s">
        <v>747</v>
      </c>
      <c r="K173" s="10" t="s">
        <v>16</v>
      </c>
    </row>
    <row r="174" customFormat="false" ht="15" hidden="false" customHeight="false" outlineLevel="0" collapsed="false">
      <c r="A174" s="0" t="s">
        <v>367</v>
      </c>
      <c r="B174" s="0" t="s">
        <v>368</v>
      </c>
      <c r="C174" s="0" t="s">
        <v>370</v>
      </c>
      <c r="D174" s="0" t="s">
        <v>20</v>
      </c>
      <c r="E174" s="0" t="s">
        <v>748</v>
      </c>
      <c r="F174" s="11" t="n">
        <v>46269</v>
      </c>
      <c r="G174" s="12" t="n">
        <v>741000</v>
      </c>
      <c r="H174" s="12" t="n">
        <v>4641000</v>
      </c>
      <c r="I174" s="12" t="n">
        <v>4641000</v>
      </c>
      <c r="J174" s="10" t="s">
        <v>747</v>
      </c>
      <c r="K174" s="10" t="s">
        <v>16</v>
      </c>
    </row>
    <row r="175" customFormat="false" ht="15" hidden="false" customHeight="false" outlineLevel="0" collapsed="false">
      <c r="A175" s="0" t="s">
        <v>367</v>
      </c>
      <c r="B175" s="0" t="s">
        <v>368</v>
      </c>
      <c r="C175" s="0" t="s">
        <v>371</v>
      </c>
      <c r="D175" s="0" t="s">
        <v>20</v>
      </c>
      <c r="E175" s="0" t="s">
        <v>748</v>
      </c>
      <c r="F175" s="11" t="n">
        <v>46279</v>
      </c>
      <c r="G175" s="12" t="n">
        <v>427500</v>
      </c>
      <c r="H175" s="12" t="n">
        <v>2677500</v>
      </c>
      <c r="I175" s="12" t="n">
        <v>2677500</v>
      </c>
      <c r="J175" s="10" t="s">
        <v>747</v>
      </c>
      <c r="K175" s="10" t="s">
        <v>16</v>
      </c>
    </row>
    <row r="176" customFormat="false" ht="15" hidden="false" customHeight="false" outlineLevel="0" collapsed="false">
      <c r="A176" s="0" t="s">
        <v>367</v>
      </c>
      <c r="B176" s="0" t="s">
        <v>368</v>
      </c>
      <c r="C176" s="0" t="s">
        <v>372</v>
      </c>
      <c r="D176" s="0" t="s">
        <v>20</v>
      </c>
      <c r="E176" s="0" t="s">
        <v>748</v>
      </c>
      <c r="F176" s="11" t="n">
        <v>46280</v>
      </c>
      <c r="G176" s="12" t="n">
        <v>99750</v>
      </c>
      <c r="H176" s="12" t="n">
        <v>624750</v>
      </c>
      <c r="I176" s="12" t="n">
        <v>624750</v>
      </c>
      <c r="J176" s="10" t="s">
        <v>747</v>
      </c>
      <c r="K176" s="10" t="s">
        <v>16</v>
      </c>
    </row>
    <row r="177" customFormat="false" ht="15" hidden="false" customHeight="false" outlineLevel="0" collapsed="false">
      <c r="A177" s="0" t="s">
        <v>367</v>
      </c>
      <c r="B177" s="0" t="s">
        <v>368</v>
      </c>
      <c r="C177" s="0" t="s">
        <v>373</v>
      </c>
      <c r="D177" s="0" t="s">
        <v>20</v>
      </c>
      <c r="E177" s="0" t="s">
        <v>748</v>
      </c>
      <c r="F177" s="11" t="n">
        <v>46283</v>
      </c>
      <c r="G177" s="12" t="n">
        <v>1520000</v>
      </c>
      <c r="H177" s="12" t="n">
        <v>9520000</v>
      </c>
      <c r="I177" s="12" t="n">
        <v>9520000</v>
      </c>
      <c r="J177" s="10" t="s">
        <v>747</v>
      </c>
      <c r="K177" s="10" t="s">
        <v>16</v>
      </c>
    </row>
    <row r="178" customFormat="false" ht="15" hidden="false" customHeight="false" outlineLevel="0" collapsed="false">
      <c r="A178" s="0" t="s">
        <v>374</v>
      </c>
      <c r="B178" s="0" t="s">
        <v>375</v>
      </c>
      <c r="C178" s="0" t="s">
        <v>376</v>
      </c>
      <c r="D178" s="0" t="s">
        <v>20</v>
      </c>
      <c r="E178" s="0" t="s">
        <v>748</v>
      </c>
      <c r="F178" s="11" t="n">
        <v>46295</v>
      </c>
      <c r="G178" s="12" t="n">
        <v>28500</v>
      </c>
      <c r="H178" s="12" t="n">
        <v>178500</v>
      </c>
      <c r="I178" s="12" t="n">
        <v>178500</v>
      </c>
      <c r="J178" s="10" t="s">
        <v>747</v>
      </c>
      <c r="K178" s="10" t="s">
        <v>16</v>
      </c>
    </row>
    <row r="179" customFormat="false" ht="15" hidden="false" customHeight="false" outlineLevel="0" collapsed="false">
      <c r="A179" s="0" t="s">
        <v>377</v>
      </c>
      <c r="B179" s="0" t="s">
        <v>378</v>
      </c>
      <c r="C179" s="0" t="s">
        <v>379</v>
      </c>
      <c r="D179" s="0" t="s">
        <v>20</v>
      </c>
      <c r="E179" s="0" t="s">
        <v>748</v>
      </c>
      <c r="F179" s="11" t="n">
        <v>46276</v>
      </c>
      <c r="G179" s="12" t="n">
        <v>0</v>
      </c>
      <c r="H179" s="12" t="n">
        <v>44900</v>
      </c>
      <c r="I179" s="12" t="n">
        <v>44900</v>
      </c>
      <c r="J179" s="10" t="s">
        <v>747</v>
      </c>
      <c r="K179" s="10" t="s">
        <v>26</v>
      </c>
    </row>
    <row r="180" customFormat="false" ht="15" hidden="false" customHeight="false" outlineLevel="0" collapsed="false">
      <c r="A180" s="0" t="s">
        <v>377</v>
      </c>
      <c r="B180" s="0" t="s">
        <v>378</v>
      </c>
      <c r="C180" s="0" t="s">
        <v>380</v>
      </c>
      <c r="D180" s="0" t="s">
        <v>20</v>
      </c>
      <c r="E180" s="0" t="s">
        <v>748</v>
      </c>
      <c r="F180" s="11" t="n">
        <v>46290</v>
      </c>
      <c r="G180" s="12" t="n">
        <v>0</v>
      </c>
      <c r="H180" s="12" t="n">
        <v>42800</v>
      </c>
      <c r="I180" s="12" t="n">
        <v>42800</v>
      </c>
      <c r="J180" s="10" t="s">
        <v>747</v>
      </c>
      <c r="K180" s="10" t="s">
        <v>16</v>
      </c>
    </row>
    <row r="181" customFormat="false" ht="15" hidden="false" customHeight="false" outlineLevel="0" collapsed="false">
      <c r="A181" s="0" t="s">
        <v>377</v>
      </c>
      <c r="B181" s="0" t="s">
        <v>378</v>
      </c>
      <c r="C181" s="0" t="s">
        <v>381</v>
      </c>
      <c r="D181" s="0" t="s">
        <v>20</v>
      </c>
      <c r="E181" s="0" t="s">
        <v>748</v>
      </c>
      <c r="F181" s="11" t="n">
        <v>46293</v>
      </c>
      <c r="G181" s="12" t="n">
        <v>0</v>
      </c>
      <c r="H181" s="12" t="n">
        <v>31900</v>
      </c>
      <c r="I181" s="12" t="n">
        <v>31900</v>
      </c>
      <c r="J181" s="10" t="s">
        <v>747</v>
      </c>
      <c r="K181" s="10" t="s">
        <v>16</v>
      </c>
    </row>
    <row r="182" customFormat="false" ht="15" hidden="false" customHeight="false" outlineLevel="0" collapsed="false">
      <c r="A182" s="0" t="s">
        <v>382</v>
      </c>
      <c r="B182" s="0" t="s">
        <v>383</v>
      </c>
      <c r="C182" s="0" t="s">
        <v>384</v>
      </c>
      <c r="D182" s="0" t="s">
        <v>20</v>
      </c>
      <c r="E182" s="0" t="s">
        <v>748</v>
      </c>
      <c r="F182" s="11" t="n">
        <v>46280</v>
      </c>
      <c r="G182" s="12" t="n">
        <v>794580</v>
      </c>
      <c r="H182" s="12" t="n">
        <v>7576580</v>
      </c>
      <c r="I182" s="12" t="n">
        <v>7576580</v>
      </c>
      <c r="J182" s="10" t="s">
        <v>747</v>
      </c>
      <c r="K182" s="10" t="s">
        <v>40</v>
      </c>
    </row>
    <row r="183" customFormat="false" ht="15" hidden="false" customHeight="false" outlineLevel="0" collapsed="false">
      <c r="A183" s="0" t="s">
        <v>382</v>
      </c>
      <c r="B183" s="0" t="s">
        <v>383</v>
      </c>
      <c r="C183" s="0" t="s">
        <v>385</v>
      </c>
      <c r="D183" s="0" t="s">
        <v>20</v>
      </c>
      <c r="E183" s="0" t="s">
        <v>748</v>
      </c>
      <c r="F183" s="11" t="n">
        <v>46280</v>
      </c>
      <c r="G183" s="12" t="n">
        <v>413820</v>
      </c>
      <c r="H183" s="12" t="n">
        <v>3891820</v>
      </c>
      <c r="I183" s="12" t="n">
        <v>3891820</v>
      </c>
      <c r="J183" s="10" t="s">
        <v>747</v>
      </c>
      <c r="K183" s="10" t="s">
        <v>40</v>
      </c>
    </row>
    <row r="184" customFormat="false" ht="15" hidden="false" customHeight="false" outlineLevel="0" collapsed="false">
      <c r="A184" s="0" t="s">
        <v>386</v>
      </c>
      <c r="B184" s="0" t="s">
        <v>387</v>
      </c>
      <c r="C184" s="0" t="s">
        <v>388</v>
      </c>
      <c r="D184" s="0" t="s">
        <v>20</v>
      </c>
      <c r="E184" s="0" t="s">
        <v>748</v>
      </c>
      <c r="F184" s="11" t="n">
        <v>46273</v>
      </c>
      <c r="G184" s="12" t="n">
        <v>0</v>
      </c>
      <c r="H184" s="12" t="n">
        <v>15000</v>
      </c>
      <c r="I184" s="12" t="n">
        <v>15000</v>
      </c>
      <c r="J184" s="10" t="s">
        <v>747</v>
      </c>
      <c r="K184" s="10" t="s">
        <v>26</v>
      </c>
    </row>
    <row r="185" customFormat="false" ht="15" hidden="false" customHeight="false" outlineLevel="0" collapsed="false">
      <c r="A185" s="0" t="s">
        <v>389</v>
      </c>
      <c r="B185" s="0" t="s">
        <v>390</v>
      </c>
      <c r="C185" s="0" t="s">
        <v>391</v>
      </c>
      <c r="D185" s="0" t="s">
        <v>20</v>
      </c>
      <c r="E185" s="0" t="s">
        <v>748</v>
      </c>
      <c r="F185" s="11" t="n">
        <v>46272</v>
      </c>
      <c r="G185" s="12" t="n">
        <v>0</v>
      </c>
      <c r="H185" s="12" t="n">
        <v>20000</v>
      </c>
      <c r="I185" s="12" t="n">
        <v>20000</v>
      </c>
      <c r="J185" s="10" t="s">
        <v>747</v>
      </c>
      <c r="K185" s="10" t="s">
        <v>16</v>
      </c>
    </row>
    <row r="186" customFormat="false" ht="15" hidden="false" customHeight="false" outlineLevel="0" collapsed="false">
      <c r="A186" s="0" t="s">
        <v>389</v>
      </c>
      <c r="B186" s="0" t="s">
        <v>390</v>
      </c>
      <c r="C186" s="0" t="s">
        <v>392</v>
      </c>
      <c r="D186" s="0" t="s">
        <v>20</v>
      </c>
      <c r="E186" s="0" t="s">
        <v>748</v>
      </c>
      <c r="F186" s="11" t="n">
        <v>46272</v>
      </c>
      <c r="G186" s="12" t="n">
        <v>0</v>
      </c>
      <c r="H186" s="12" t="n">
        <v>18000</v>
      </c>
      <c r="I186" s="12" t="n">
        <v>18000</v>
      </c>
      <c r="J186" s="10" t="s">
        <v>747</v>
      </c>
      <c r="K186" s="10" t="s">
        <v>26</v>
      </c>
    </row>
    <row r="187" customFormat="false" ht="15" hidden="false" customHeight="false" outlineLevel="0" collapsed="false">
      <c r="A187" s="0" t="s">
        <v>389</v>
      </c>
      <c r="B187" s="0" t="s">
        <v>390</v>
      </c>
      <c r="C187" s="0" t="s">
        <v>393</v>
      </c>
      <c r="D187" s="0" t="s">
        <v>20</v>
      </c>
      <c r="E187" s="0" t="s">
        <v>748</v>
      </c>
      <c r="F187" s="11" t="n">
        <v>46272</v>
      </c>
      <c r="G187" s="12" t="n">
        <v>0</v>
      </c>
      <c r="H187" s="12" t="n">
        <v>42000</v>
      </c>
      <c r="I187" s="12" t="n">
        <v>42000</v>
      </c>
      <c r="J187" s="10" t="s">
        <v>747</v>
      </c>
      <c r="K187" s="10" t="s">
        <v>16</v>
      </c>
    </row>
    <row r="188" customFormat="false" ht="15" hidden="false" customHeight="false" outlineLevel="0" collapsed="false">
      <c r="A188" s="0" t="s">
        <v>394</v>
      </c>
      <c r="B188" s="0" t="s">
        <v>395</v>
      </c>
      <c r="C188" s="0" t="s">
        <v>396</v>
      </c>
      <c r="D188" s="0" t="s">
        <v>20</v>
      </c>
      <c r="E188" s="0" t="s">
        <v>748</v>
      </c>
      <c r="F188" s="11" t="n">
        <v>46274</v>
      </c>
      <c r="G188" s="12" t="n">
        <v>72452.27</v>
      </c>
      <c r="H188" s="12" t="n">
        <v>453780</v>
      </c>
      <c r="I188" s="12" t="n">
        <v>453780</v>
      </c>
      <c r="J188" s="10" t="s">
        <v>747</v>
      </c>
      <c r="K188" s="10" t="s">
        <v>16</v>
      </c>
    </row>
    <row r="189" customFormat="false" ht="15" hidden="false" customHeight="false" outlineLevel="0" collapsed="false">
      <c r="A189" s="0" t="s">
        <v>394</v>
      </c>
      <c r="B189" s="0" t="s">
        <v>395</v>
      </c>
      <c r="C189" s="0" t="s">
        <v>397</v>
      </c>
      <c r="D189" s="0" t="s">
        <v>20</v>
      </c>
      <c r="E189" s="0" t="s">
        <v>748</v>
      </c>
      <c r="F189" s="11" t="n">
        <v>46274</v>
      </c>
      <c r="G189" s="12" t="n">
        <v>86218.49</v>
      </c>
      <c r="H189" s="12" t="n">
        <v>540000</v>
      </c>
      <c r="I189" s="12" t="n">
        <v>540000</v>
      </c>
      <c r="J189" s="10" t="s">
        <v>747</v>
      </c>
      <c r="K189" s="10" t="s">
        <v>26</v>
      </c>
    </row>
    <row r="190" customFormat="false" ht="15" hidden="false" customHeight="false" outlineLevel="0" collapsed="false">
      <c r="A190" s="0" t="s">
        <v>394</v>
      </c>
      <c r="B190" s="0" t="s">
        <v>395</v>
      </c>
      <c r="C190" s="0" t="s">
        <v>398</v>
      </c>
      <c r="D190" s="0" t="s">
        <v>31</v>
      </c>
      <c r="E190" s="0" t="s">
        <v>748</v>
      </c>
      <c r="F190" s="11" t="n">
        <v>46274</v>
      </c>
      <c r="G190" s="12" t="n">
        <v>72452.27</v>
      </c>
      <c r="H190" s="12" t="n">
        <v>453780</v>
      </c>
      <c r="I190" s="12" t="n">
        <v>-453780</v>
      </c>
      <c r="J190" s="10" t="s">
        <v>747</v>
      </c>
      <c r="K190" s="10" t="s">
        <v>16</v>
      </c>
    </row>
    <row r="191" customFormat="false" ht="15" hidden="false" customHeight="false" outlineLevel="0" collapsed="false">
      <c r="A191" s="0" t="s">
        <v>394</v>
      </c>
      <c r="B191" s="0" t="s">
        <v>395</v>
      </c>
      <c r="C191" s="0" t="s">
        <v>399</v>
      </c>
      <c r="D191" s="0" t="s">
        <v>15</v>
      </c>
      <c r="E191" s="0" t="s">
        <v>746</v>
      </c>
      <c r="F191" s="11" t="n">
        <v>46289</v>
      </c>
      <c r="G191" s="12" t="n">
        <v>0</v>
      </c>
      <c r="H191" s="12" t="n">
        <v>12000</v>
      </c>
      <c r="I191" s="12" t="n">
        <v>12000</v>
      </c>
      <c r="J191" s="10" t="s">
        <v>747</v>
      </c>
      <c r="K191" s="10" t="s">
        <v>16</v>
      </c>
    </row>
    <row r="192" customFormat="false" ht="15" hidden="false" customHeight="false" outlineLevel="0" collapsed="false">
      <c r="A192" s="0" t="s">
        <v>400</v>
      </c>
      <c r="B192" s="0" t="s">
        <v>401</v>
      </c>
      <c r="C192" s="0" t="s">
        <v>402</v>
      </c>
      <c r="D192" s="0" t="s">
        <v>15</v>
      </c>
      <c r="E192" s="0" t="s">
        <v>746</v>
      </c>
      <c r="F192" s="11" t="n">
        <v>46279</v>
      </c>
      <c r="G192" s="12" t="n">
        <v>0</v>
      </c>
      <c r="H192" s="12" t="n">
        <v>39000</v>
      </c>
      <c r="I192" s="12" t="n">
        <v>39000</v>
      </c>
      <c r="J192" s="10" t="s">
        <v>747</v>
      </c>
      <c r="K192" s="10" t="s">
        <v>16</v>
      </c>
    </row>
    <row r="193" customFormat="false" ht="15" hidden="false" customHeight="false" outlineLevel="0" collapsed="false">
      <c r="A193" s="0" t="s">
        <v>400</v>
      </c>
      <c r="B193" s="0" t="s">
        <v>401</v>
      </c>
      <c r="C193" s="0" t="s">
        <v>403</v>
      </c>
      <c r="D193" s="0" t="s">
        <v>15</v>
      </c>
      <c r="E193" s="0" t="s">
        <v>746</v>
      </c>
      <c r="F193" s="11" t="n">
        <v>46295</v>
      </c>
      <c r="G193" s="12" t="n">
        <v>0</v>
      </c>
      <c r="H193" s="12" t="n">
        <v>19500</v>
      </c>
      <c r="I193" s="12" t="n">
        <v>19500</v>
      </c>
      <c r="J193" s="10" t="s">
        <v>747</v>
      </c>
      <c r="K193" s="10" t="s">
        <v>16</v>
      </c>
    </row>
    <row r="194" customFormat="false" ht="15" hidden="false" customHeight="false" outlineLevel="0" collapsed="false">
      <c r="A194" s="0" t="s">
        <v>404</v>
      </c>
      <c r="B194" s="0" t="s">
        <v>405</v>
      </c>
      <c r="C194" s="0" t="s">
        <v>406</v>
      </c>
      <c r="D194" s="0" t="s">
        <v>20</v>
      </c>
      <c r="E194" s="0" t="s">
        <v>748</v>
      </c>
      <c r="F194" s="11" t="n">
        <v>46294</v>
      </c>
      <c r="G194" s="12" t="n">
        <v>0</v>
      </c>
      <c r="H194" s="12" t="n">
        <v>3200000</v>
      </c>
      <c r="I194" s="12" t="n">
        <v>3200000</v>
      </c>
      <c r="J194" s="10" t="s">
        <v>747</v>
      </c>
      <c r="K194" s="10" t="s">
        <v>40</v>
      </c>
    </row>
    <row r="195" customFormat="false" ht="15" hidden="false" customHeight="false" outlineLevel="0" collapsed="false">
      <c r="A195" s="0" t="s">
        <v>407</v>
      </c>
      <c r="B195" s="0" t="s">
        <v>408</v>
      </c>
      <c r="C195" s="0" t="s">
        <v>409</v>
      </c>
      <c r="D195" s="0" t="s">
        <v>20</v>
      </c>
      <c r="E195" s="0" t="s">
        <v>748</v>
      </c>
      <c r="F195" s="11" t="n">
        <v>46275</v>
      </c>
      <c r="G195" s="12" t="n">
        <v>0</v>
      </c>
      <c r="H195" s="12" t="n">
        <v>20000</v>
      </c>
      <c r="I195" s="12" t="n">
        <v>20000</v>
      </c>
      <c r="J195" s="10" t="s">
        <v>747</v>
      </c>
      <c r="K195" s="10" t="s">
        <v>26</v>
      </c>
    </row>
    <row r="196" customFormat="false" ht="15" hidden="false" customHeight="false" outlineLevel="0" collapsed="false">
      <c r="A196" s="0" t="s">
        <v>407</v>
      </c>
      <c r="B196" s="0" t="s">
        <v>408</v>
      </c>
      <c r="C196" s="0" t="s">
        <v>410</v>
      </c>
      <c r="D196" s="0" t="s">
        <v>20</v>
      </c>
      <c r="E196" s="0" t="s">
        <v>748</v>
      </c>
      <c r="F196" s="11" t="n">
        <v>46281</v>
      </c>
      <c r="G196" s="12" t="n">
        <v>0</v>
      </c>
      <c r="H196" s="12" t="n">
        <v>20000</v>
      </c>
      <c r="I196" s="12" t="n">
        <v>20000</v>
      </c>
      <c r="J196" s="10" t="s">
        <v>747</v>
      </c>
      <c r="K196" s="10" t="s">
        <v>26</v>
      </c>
    </row>
    <row r="197" customFormat="false" ht="15" hidden="false" customHeight="false" outlineLevel="0" collapsed="false">
      <c r="A197" s="0" t="s">
        <v>407</v>
      </c>
      <c r="B197" s="0" t="s">
        <v>408</v>
      </c>
      <c r="C197" s="0" t="s">
        <v>411</v>
      </c>
      <c r="D197" s="0" t="s">
        <v>20</v>
      </c>
      <c r="E197" s="0" t="s">
        <v>748</v>
      </c>
      <c r="F197" s="11" t="n">
        <v>46289</v>
      </c>
      <c r="G197" s="12" t="n">
        <v>0</v>
      </c>
      <c r="H197" s="12" t="n">
        <v>20000</v>
      </c>
      <c r="I197" s="12" t="n">
        <v>20000</v>
      </c>
      <c r="J197" s="10" t="s">
        <v>747</v>
      </c>
      <c r="K197" s="10" t="s">
        <v>26</v>
      </c>
    </row>
    <row r="198" customFormat="false" ht="15" hidden="false" customHeight="false" outlineLevel="0" collapsed="false">
      <c r="A198" s="0" t="s">
        <v>412</v>
      </c>
      <c r="B198" s="0" t="s">
        <v>413</v>
      </c>
      <c r="C198" s="0" t="s">
        <v>414</v>
      </c>
      <c r="D198" s="0" t="s">
        <v>31</v>
      </c>
      <c r="E198" s="0" t="s">
        <v>748</v>
      </c>
      <c r="F198" s="11" t="n">
        <v>46268</v>
      </c>
      <c r="G198" s="12" t="n">
        <v>0</v>
      </c>
      <c r="H198" s="12" t="n">
        <v>180000</v>
      </c>
      <c r="I198" s="12" t="n">
        <v>-180000</v>
      </c>
      <c r="J198" s="10" t="s">
        <v>747</v>
      </c>
      <c r="K198" s="10" t="s">
        <v>16</v>
      </c>
    </row>
    <row r="199" customFormat="false" ht="15" hidden="false" customHeight="false" outlineLevel="0" collapsed="false">
      <c r="A199" s="0" t="s">
        <v>415</v>
      </c>
      <c r="B199" s="0" t="s">
        <v>416</v>
      </c>
      <c r="C199" s="0" t="s">
        <v>417</v>
      </c>
      <c r="D199" s="0" t="s">
        <v>20</v>
      </c>
      <c r="E199" s="0" t="s">
        <v>748</v>
      </c>
      <c r="F199" s="11" t="n">
        <v>46289</v>
      </c>
      <c r="G199" s="12" t="n">
        <v>1497</v>
      </c>
      <c r="H199" s="12" t="n">
        <v>9377</v>
      </c>
      <c r="I199" s="12" t="n">
        <v>9377</v>
      </c>
      <c r="J199" s="10" t="s">
        <v>747</v>
      </c>
      <c r="K199" s="10" t="s">
        <v>16</v>
      </c>
    </row>
    <row r="200" customFormat="false" ht="15" hidden="false" customHeight="false" outlineLevel="0" collapsed="false">
      <c r="A200" s="0" t="s">
        <v>418</v>
      </c>
      <c r="B200" s="0" t="s">
        <v>419</v>
      </c>
      <c r="C200" s="0" t="s">
        <v>421</v>
      </c>
      <c r="D200" s="0" t="s">
        <v>20</v>
      </c>
      <c r="E200" s="0" t="s">
        <v>748</v>
      </c>
      <c r="F200" s="11" t="n">
        <v>46269</v>
      </c>
      <c r="G200" s="12" t="n">
        <v>0</v>
      </c>
      <c r="H200" s="12" t="n">
        <v>50300</v>
      </c>
      <c r="I200" s="12" t="n">
        <v>50300</v>
      </c>
      <c r="J200" s="10" t="s">
        <v>747</v>
      </c>
      <c r="K200" s="10" t="s">
        <v>16</v>
      </c>
    </row>
    <row r="201" customFormat="false" ht="15" hidden="false" customHeight="false" outlineLevel="0" collapsed="false">
      <c r="A201" s="0" t="s">
        <v>418</v>
      </c>
      <c r="B201" s="0" t="s">
        <v>419</v>
      </c>
      <c r="C201" s="0" t="s">
        <v>422</v>
      </c>
      <c r="D201" s="0" t="s">
        <v>20</v>
      </c>
      <c r="E201" s="0" t="s">
        <v>748</v>
      </c>
      <c r="F201" s="11" t="n">
        <v>46270</v>
      </c>
      <c r="G201" s="12" t="n">
        <v>0</v>
      </c>
      <c r="H201" s="12" t="n">
        <v>206000</v>
      </c>
      <c r="I201" s="12" t="n">
        <v>206000</v>
      </c>
      <c r="J201" s="10" t="s">
        <v>747</v>
      </c>
      <c r="K201" s="10" t="s">
        <v>16</v>
      </c>
    </row>
    <row r="202" customFormat="false" ht="15" hidden="false" customHeight="false" outlineLevel="0" collapsed="false">
      <c r="A202" s="0" t="s">
        <v>418</v>
      </c>
      <c r="B202" s="0" t="s">
        <v>419</v>
      </c>
      <c r="C202" s="0" t="s">
        <v>423</v>
      </c>
      <c r="D202" s="0" t="s">
        <v>20</v>
      </c>
      <c r="E202" s="0" t="s">
        <v>748</v>
      </c>
      <c r="F202" s="11" t="n">
        <v>46273</v>
      </c>
      <c r="G202" s="12" t="n">
        <v>0</v>
      </c>
      <c r="H202" s="12" t="n">
        <v>46000</v>
      </c>
      <c r="I202" s="12" t="n">
        <v>46000</v>
      </c>
      <c r="J202" s="10" t="s">
        <v>747</v>
      </c>
      <c r="K202" s="10" t="s">
        <v>16</v>
      </c>
    </row>
    <row r="203" customFormat="false" ht="15" hidden="false" customHeight="false" outlineLevel="0" collapsed="false">
      <c r="A203" s="0" t="s">
        <v>418</v>
      </c>
      <c r="B203" s="0" t="s">
        <v>419</v>
      </c>
      <c r="C203" s="0" t="s">
        <v>424</v>
      </c>
      <c r="D203" s="0" t="s">
        <v>20</v>
      </c>
      <c r="E203" s="0" t="s">
        <v>748</v>
      </c>
      <c r="F203" s="11" t="n">
        <v>46274</v>
      </c>
      <c r="G203" s="12" t="n">
        <v>0</v>
      </c>
      <c r="H203" s="12" t="n">
        <v>59600</v>
      </c>
      <c r="I203" s="12" t="n">
        <v>59600</v>
      </c>
      <c r="J203" s="10" t="s">
        <v>747</v>
      </c>
      <c r="K203" s="10" t="s">
        <v>16</v>
      </c>
    </row>
    <row r="204" customFormat="false" ht="15" hidden="false" customHeight="false" outlineLevel="0" collapsed="false">
      <c r="A204" s="0" t="s">
        <v>418</v>
      </c>
      <c r="B204" s="0" t="s">
        <v>419</v>
      </c>
      <c r="C204" s="0" t="s">
        <v>425</v>
      </c>
      <c r="D204" s="0" t="s">
        <v>20</v>
      </c>
      <c r="E204" s="0" t="s">
        <v>748</v>
      </c>
      <c r="F204" s="11" t="n">
        <v>46277</v>
      </c>
      <c r="G204" s="12" t="n">
        <v>0</v>
      </c>
      <c r="H204" s="12" t="n">
        <v>59600</v>
      </c>
      <c r="I204" s="12" t="n">
        <v>59600</v>
      </c>
      <c r="J204" s="10" t="s">
        <v>747</v>
      </c>
      <c r="K204" s="10" t="s">
        <v>16</v>
      </c>
    </row>
    <row r="205" customFormat="false" ht="15" hidden="false" customHeight="false" outlineLevel="0" collapsed="false">
      <c r="A205" s="0" t="s">
        <v>418</v>
      </c>
      <c r="B205" s="0" t="s">
        <v>419</v>
      </c>
      <c r="C205" s="0" t="s">
        <v>426</v>
      </c>
      <c r="D205" s="0" t="s">
        <v>20</v>
      </c>
      <c r="E205" s="0" t="s">
        <v>748</v>
      </c>
      <c r="F205" s="11" t="n">
        <v>46283</v>
      </c>
      <c r="G205" s="12" t="n">
        <v>16</v>
      </c>
      <c r="H205" s="12" t="n">
        <v>63700</v>
      </c>
      <c r="I205" s="12" t="n">
        <v>63700</v>
      </c>
      <c r="J205" s="10" t="s">
        <v>747</v>
      </c>
      <c r="K205" s="10" t="s">
        <v>16</v>
      </c>
    </row>
    <row r="206" customFormat="false" ht="15" hidden="false" customHeight="false" outlineLevel="0" collapsed="false">
      <c r="A206" s="0" t="s">
        <v>418</v>
      </c>
      <c r="B206" s="0" t="s">
        <v>419</v>
      </c>
      <c r="C206" s="0" t="s">
        <v>427</v>
      </c>
      <c r="D206" s="0" t="s">
        <v>20</v>
      </c>
      <c r="E206" s="0" t="s">
        <v>748</v>
      </c>
      <c r="F206" s="11" t="n">
        <v>46287</v>
      </c>
      <c r="G206" s="12" t="n">
        <v>0</v>
      </c>
      <c r="H206" s="12" t="n">
        <v>53000</v>
      </c>
      <c r="I206" s="12" t="n">
        <v>53000</v>
      </c>
      <c r="J206" s="10" t="s">
        <v>747</v>
      </c>
      <c r="K206" s="10" t="s">
        <v>16</v>
      </c>
    </row>
    <row r="207" customFormat="false" ht="15" hidden="false" customHeight="false" outlineLevel="0" collapsed="false">
      <c r="A207" s="0" t="s">
        <v>418</v>
      </c>
      <c r="B207" s="0" t="s">
        <v>419</v>
      </c>
      <c r="C207" s="0" t="s">
        <v>428</v>
      </c>
      <c r="D207" s="0" t="s">
        <v>20</v>
      </c>
      <c r="E207" s="0" t="s">
        <v>748</v>
      </c>
      <c r="F207" s="11" t="n">
        <v>46288</v>
      </c>
      <c r="G207" s="12" t="n">
        <v>0</v>
      </c>
      <c r="H207" s="12" t="n">
        <v>50500</v>
      </c>
      <c r="I207" s="12" t="n">
        <v>50500</v>
      </c>
      <c r="J207" s="10" t="s">
        <v>747</v>
      </c>
      <c r="K207" s="10" t="s">
        <v>16</v>
      </c>
    </row>
    <row r="208" customFormat="false" ht="15" hidden="false" customHeight="false" outlineLevel="0" collapsed="false">
      <c r="A208" s="0" t="s">
        <v>429</v>
      </c>
      <c r="B208" s="0" t="s">
        <v>430</v>
      </c>
      <c r="C208" s="0" t="s">
        <v>431</v>
      </c>
      <c r="D208" s="0" t="s">
        <v>20</v>
      </c>
      <c r="E208" s="0" t="s">
        <v>748</v>
      </c>
      <c r="F208" s="11" t="n">
        <v>46287</v>
      </c>
      <c r="G208" s="12" t="n">
        <v>0</v>
      </c>
      <c r="H208" s="12" t="n">
        <v>1818000</v>
      </c>
      <c r="I208" s="12" t="n">
        <v>1818000</v>
      </c>
      <c r="J208" s="10" t="s">
        <v>747</v>
      </c>
      <c r="K208" s="10" t="s">
        <v>16</v>
      </c>
    </row>
    <row r="209" customFormat="false" ht="15" hidden="false" customHeight="false" outlineLevel="0" collapsed="false">
      <c r="A209" s="0" t="s">
        <v>429</v>
      </c>
      <c r="B209" s="0" t="s">
        <v>430</v>
      </c>
      <c r="C209" s="0" t="s">
        <v>432</v>
      </c>
      <c r="D209" s="0" t="s">
        <v>31</v>
      </c>
      <c r="E209" s="0" t="s">
        <v>748</v>
      </c>
      <c r="F209" s="11" t="n">
        <v>46288</v>
      </c>
      <c r="G209" s="12" t="n">
        <v>0</v>
      </c>
      <c r="H209" s="12" t="n">
        <v>1818000</v>
      </c>
      <c r="I209" s="12" t="n">
        <v>-1818000</v>
      </c>
      <c r="J209" s="10" t="s">
        <v>747</v>
      </c>
      <c r="K209" s="10" t="s">
        <v>16</v>
      </c>
    </row>
    <row r="210" customFormat="false" ht="15" hidden="false" customHeight="false" outlineLevel="0" collapsed="false">
      <c r="A210" s="0" t="s">
        <v>429</v>
      </c>
      <c r="B210" s="0" t="s">
        <v>430</v>
      </c>
      <c r="C210" s="0" t="s">
        <v>433</v>
      </c>
      <c r="D210" s="0" t="s">
        <v>20</v>
      </c>
      <c r="E210" s="0" t="s">
        <v>748</v>
      </c>
      <c r="F210" s="11" t="n">
        <v>46288</v>
      </c>
      <c r="G210" s="12" t="n">
        <v>0</v>
      </c>
      <c r="H210" s="12" t="n">
        <v>838000</v>
      </c>
      <c r="I210" s="12" t="n">
        <v>838000</v>
      </c>
      <c r="J210" s="10" t="s">
        <v>747</v>
      </c>
      <c r="K210" s="10" t="s">
        <v>26</v>
      </c>
    </row>
    <row r="211" customFormat="false" ht="15" hidden="false" customHeight="false" outlineLevel="0" collapsed="false">
      <c r="A211" s="0" t="s">
        <v>434</v>
      </c>
      <c r="B211" s="0" t="s">
        <v>435</v>
      </c>
      <c r="C211" s="0" t="s">
        <v>436</v>
      </c>
      <c r="D211" s="0" t="s">
        <v>20</v>
      </c>
      <c r="E211" s="0" t="s">
        <v>748</v>
      </c>
      <c r="F211" s="11" t="n">
        <v>46286</v>
      </c>
      <c r="G211" s="12" t="n">
        <v>0</v>
      </c>
      <c r="H211" s="12" t="n">
        <v>84300</v>
      </c>
      <c r="I211" s="12" t="n">
        <v>84300</v>
      </c>
      <c r="J211" s="10" t="s">
        <v>747</v>
      </c>
      <c r="K211" s="10" t="s">
        <v>16</v>
      </c>
    </row>
    <row r="212" customFormat="false" ht="15" hidden="false" customHeight="false" outlineLevel="0" collapsed="false">
      <c r="A212" s="0" t="s">
        <v>437</v>
      </c>
      <c r="B212" s="0" t="s">
        <v>438</v>
      </c>
      <c r="C212" s="0" t="s">
        <v>439</v>
      </c>
      <c r="D212" s="0" t="s">
        <v>20</v>
      </c>
      <c r="E212" s="0" t="s">
        <v>748</v>
      </c>
      <c r="F212" s="11" t="n">
        <v>46276</v>
      </c>
      <c r="G212" s="12" t="n">
        <v>0</v>
      </c>
      <c r="H212" s="12" t="n">
        <v>260000</v>
      </c>
      <c r="I212" s="12" t="n">
        <v>260000</v>
      </c>
      <c r="J212" s="10" t="s">
        <v>747</v>
      </c>
      <c r="K212" s="10" t="s">
        <v>26</v>
      </c>
    </row>
    <row r="213" customFormat="false" ht="15" hidden="false" customHeight="false" outlineLevel="0" collapsed="false">
      <c r="A213" s="0" t="s">
        <v>440</v>
      </c>
      <c r="B213" s="0" t="s">
        <v>441</v>
      </c>
      <c r="C213" s="0" t="s">
        <v>442</v>
      </c>
      <c r="D213" s="0" t="s">
        <v>15</v>
      </c>
      <c r="E213" s="0" t="s">
        <v>746</v>
      </c>
      <c r="F213" s="11" t="n">
        <v>46273</v>
      </c>
      <c r="G213" s="12" t="n">
        <v>0</v>
      </c>
      <c r="H213" s="12" t="n">
        <v>27000000</v>
      </c>
      <c r="I213" s="12" t="n">
        <v>27000000</v>
      </c>
      <c r="J213" s="10" t="s">
        <v>747</v>
      </c>
      <c r="K213" s="10" t="s">
        <v>16</v>
      </c>
    </row>
    <row r="214" customFormat="false" ht="15" hidden="false" customHeight="false" outlineLevel="0" collapsed="false">
      <c r="A214" s="0" t="s">
        <v>443</v>
      </c>
      <c r="B214" s="0" t="s">
        <v>444</v>
      </c>
      <c r="C214" s="0" t="s">
        <v>445</v>
      </c>
      <c r="D214" s="0" t="s">
        <v>15</v>
      </c>
      <c r="E214" s="0" t="s">
        <v>746</v>
      </c>
      <c r="F214" s="11" t="n">
        <v>46268</v>
      </c>
      <c r="G214" s="12" t="n">
        <v>0</v>
      </c>
      <c r="H214" s="12" t="n">
        <v>5800000</v>
      </c>
      <c r="I214" s="12" t="n">
        <v>5800000</v>
      </c>
      <c r="J214" s="10" t="s">
        <v>747</v>
      </c>
      <c r="K214" s="10" t="s">
        <v>16</v>
      </c>
    </row>
    <row r="215" customFormat="false" ht="15" hidden="false" customHeight="false" outlineLevel="0" collapsed="false">
      <c r="A215" s="0" t="s">
        <v>446</v>
      </c>
      <c r="B215" s="0" t="s">
        <v>447</v>
      </c>
      <c r="C215" s="0" t="s">
        <v>448</v>
      </c>
      <c r="D215" s="0" t="s">
        <v>20</v>
      </c>
      <c r="E215" s="0" t="s">
        <v>748</v>
      </c>
      <c r="F215" s="11" t="n">
        <v>46269</v>
      </c>
      <c r="G215" s="12" t="n">
        <v>0</v>
      </c>
      <c r="H215" s="12" t="n">
        <v>4000000</v>
      </c>
      <c r="I215" s="12" t="n">
        <v>4000000</v>
      </c>
      <c r="J215" s="10" t="s">
        <v>747</v>
      </c>
      <c r="K215" s="10" t="s">
        <v>26</v>
      </c>
    </row>
    <row r="216" customFormat="false" ht="15" hidden="false" customHeight="false" outlineLevel="0" collapsed="false">
      <c r="A216" s="0" t="s">
        <v>446</v>
      </c>
      <c r="B216" s="0" t="s">
        <v>447</v>
      </c>
      <c r="C216" s="0" t="s">
        <v>449</v>
      </c>
      <c r="D216" s="0" t="s">
        <v>20</v>
      </c>
      <c r="E216" s="0" t="s">
        <v>748</v>
      </c>
      <c r="F216" s="11" t="n">
        <v>46269</v>
      </c>
      <c r="G216" s="12" t="n">
        <v>0</v>
      </c>
      <c r="H216" s="12" t="n">
        <v>17000000</v>
      </c>
      <c r="I216" s="12" t="n">
        <v>17000000</v>
      </c>
      <c r="J216" s="10" t="s">
        <v>747</v>
      </c>
      <c r="K216" s="10" t="s">
        <v>26</v>
      </c>
    </row>
    <row r="217" customFormat="false" ht="15" hidden="false" customHeight="false" outlineLevel="0" collapsed="false">
      <c r="A217" s="0" t="s">
        <v>446</v>
      </c>
      <c r="B217" s="0" t="s">
        <v>447</v>
      </c>
      <c r="C217" s="0" t="s">
        <v>450</v>
      </c>
      <c r="D217" s="0" t="s">
        <v>20</v>
      </c>
      <c r="E217" s="0" t="s">
        <v>748</v>
      </c>
      <c r="F217" s="11" t="n">
        <v>46295</v>
      </c>
      <c r="G217" s="12" t="n">
        <v>0</v>
      </c>
      <c r="H217" s="12" t="n">
        <v>2379000</v>
      </c>
      <c r="I217" s="12" t="n">
        <v>2379000</v>
      </c>
      <c r="J217" s="10" t="s">
        <v>747</v>
      </c>
      <c r="K217" s="10" t="s">
        <v>26</v>
      </c>
    </row>
    <row r="218" customFormat="false" ht="15" hidden="false" customHeight="false" outlineLevel="0" collapsed="false">
      <c r="A218" s="0" t="s">
        <v>451</v>
      </c>
      <c r="B218" s="0" t="s">
        <v>452</v>
      </c>
      <c r="C218" s="0" t="s">
        <v>453</v>
      </c>
      <c r="D218" s="0" t="s">
        <v>20</v>
      </c>
      <c r="E218" s="0" t="s">
        <v>748</v>
      </c>
      <c r="F218" s="11" t="n">
        <v>46295</v>
      </c>
      <c r="G218" s="12" t="n">
        <v>53039.07</v>
      </c>
      <c r="H218" s="12" t="n">
        <v>332192</v>
      </c>
      <c r="I218" s="12" t="n">
        <v>332192</v>
      </c>
      <c r="J218" s="10" t="s">
        <v>747</v>
      </c>
      <c r="K218" s="10" t="s">
        <v>16</v>
      </c>
    </row>
    <row r="219" customFormat="false" ht="15" hidden="false" customHeight="false" outlineLevel="0" collapsed="false">
      <c r="A219" s="0" t="s">
        <v>454</v>
      </c>
      <c r="B219" s="0" t="s">
        <v>455</v>
      </c>
      <c r="C219" s="0" t="s">
        <v>456</v>
      </c>
      <c r="D219" s="0" t="s">
        <v>20</v>
      </c>
      <c r="E219" s="0" t="s">
        <v>748</v>
      </c>
      <c r="F219" s="11" t="n">
        <v>46286</v>
      </c>
      <c r="G219" s="12" t="n">
        <v>367019.31</v>
      </c>
      <c r="H219" s="12" t="n">
        <v>2298700</v>
      </c>
      <c r="I219" s="12" t="n">
        <v>2298700</v>
      </c>
      <c r="J219" s="10" t="s">
        <v>747</v>
      </c>
      <c r="K219" s="10" t="s">
        <v>26</v>
      </c>
    </row>
    <row r="220" customFormat="false" ht="15" hidden="false" customHeight="false" outlineLevel="0" collapsed="false">
      <c r="A220" s="0" t="s">
        <v>454</v>
      </c>
      <c r="B220" s="0" t="s">
        <v>455</v>
      </c>
      <c r="C220" s="0" t="s">
        <v>457</v>
      </c>
      <c r="D220" s="0" t="s">
        <v>31</v>
      </c>
      <c r="E220" s="0" t="s">
        <v>748</v>
      </c>
      <c r="F220" s="11" t="n">
        <v>46293</v>
      </c>
      <c r="G220" s="12" t="n">
        <v>28723.53</v>
      </c>
      <c r="H220" s="12" t="n">
        <v>179900</v>
      </c>
      <c r="I220" s="12" t="n">
        <v>-179900</v>
      </c>
      <c r="J220" s="10" t="s">
        <v>747</v>
      </c>
      <c r="K220" s="10" t="s">
        <v>26</v>
      </c>
    </row>
    <row r="221" customFormat="false" ht="15" hidden="false" customHeight="false" outlineLevel="0" collapsed="false">
      <c r="A221" s="0" t="s">
        <v>454</v>
      </c>
      <c r="B221" s="0" t="s">
        <v>455</v>
      </c>
      <c r="C221" s="0" t="s">
        <v>458</v>
      </c>
      <c r="D221" s="0" t="s">
        <v>20</v>
      </c>
      <c r="E221" s="0" t="s">
        <v>748</v>
      </c>
      <c r="F221" s="11" t="n">
        <v>46293</v>
      </c>
      <c r="G221" s="12" t="n">
        <v>31916.81</v>
      </c>
      <c r="H221" s="12" t="n">
        <v>199900</v>
      </c>
      <c r="I221" s="12" t="n">
        <v>199900</v>
      </c>
      <c r="J221" s="10" t="s">
        <v>747</v>
      </c>
      <c r="K221" s="10" t="s">
        <v>26</v>
      </c>
    </row>
    <row r="222" customFormat="false" ht="15" hidden="false" customHeight="false" outlineLevel="0" collapsed="false">
      <c r="A222" s="0" t="s">
        <v>459</v>
      </c>
      <c r="B222" s="0" t="s">
        <v>460</v>
      </c>
      <c r="C222" s="0" t="s">
        <v>461</v>
      </c>
      <c r="D222" s="0" t="s">
        <v>20</v>
      </c>
      <c r="E222" s="0" t="s">
        <v>748</v>
      </c>
      <c r="F222" s="11" t="n">
        <v>46295</v>
      </c>
      <c r="G222" s="12" t="n">
        <v>0</v>
      </c>
      <c r="H222" s="12" t="n">
        <v>18000</v>
      </c>
      <c r="I222" s="12" t="n">
        <v>18000</v>
      </c>
      <c r="J222" s="10" t="s">
        <v>747</v>
      </c>
      <c r="K222" s="10" t="s">
        <v>26</v>
      </c>
    </row>
    <row r="223" customFormat="false" ht="15" hidden="false" customHeight="false" outlineLevel="0" collapsed="false">
      <c r="A223" s="0" t="s">
        <v>462</v>
      </c>
      <c r="B223" s="0" t="s">
        <v>463</v>
      </c>
      <c r="C223" s="0" t="s">
        <v>464</v>
      </c>
      <c r="D223" s="0" t="s">
        <v>20</v>
      </c>
      <c r="E223" s="0" t="s">
        <v>748</v>
      </c>
      <c r="F223" s="11" t="n">
        <v>46269</v>
      </c>
      <c r="G223" s="12" t="n">
        <v>0</v>
      </c>
      <c r="H223" s="12" t="n">
        <v>15000</v>
      </c>
      <c r="I223" s="12" t="n">
        <v>15000</v>
      </c>
      <c r="J223" s="10" t="s">
        <v>747</v>
      </c>
      <c r="K223" s="10" t="s">
        <v>26</v>
      </c>
    </row>
    <row r="224" customFormat="false" ht="15" hidden="false" customHeight="false" outlineLevel="0" collapsed="false">
      <c r="A224" s="0" t="s">
        <v>462</v>
      </c>
      <c r="B224" s="0" t="s">
        <v>463</v>
      </c>
      <c r="C224" s="0" t="s">
        <v>465</v>
      </c>
      <c r="D224" s="0" t="s">
        <v>20</v>
      </c>
      <c r="E224" s="0" t="s">
        <v>748</v>
      </c>
      <c r="F224" s="11" t="n">
        <v>46294</v>
      </c>
      <c r="G224" s="12" t="n">
        <v>0</v>
      </c>
      <c r="H224" s="12" t="n">
        <v>25000</v>
      </c>
      <c r="I224" s="12" t="n">
        <v>25000</v>
      </c>
      <c r="J224" s="10" t="s">
        <v>747</v>
      </c>
      <c r="K224" s="10" t="s">
        <v>16</v>
      </c>
    </row>
    <row r="225" customFormat="false" ht="15" hidden="false" customHeight="false" outlineLevel="0" collapsed="false">
      <c r="A225" s="0" t="s">
        <v>466</v>
      </c>
      <c r="B225" s="0" t="s">
        <v>467</v>
      </c>
      <c r="C225" s="0" t="s">
        <v>468</v>
      </c>
      <c r="D225" s="0" t="s">
        <v>20</v>
      </c>
      <c r="E225" s="0" t="s">
        <v>748</v>
      </c>
      <c r="F225" s="11" t="n">
        <v>46287</v>
      </c>
      <c r="G225" s="12" t="n">
        <v>0</v>
      </c>
      <c r="H225" s="12" t="n">
        <v>2600000</v>
      </c>
      <c r="I225" s="12" t="n">
        <v>2600000</v>
      </c>
      <c r="J225" s="10" t="s">
        <v>747</v>
      </c>
      <c r="K225" s="10" t="s">
        <v>40</v>
      </c>
    </row>
    <row r="226" customFormat="false" ht="15" hidden="false" customHeight="false" outlineLevel="0" collapsed="false">
      <c r="A226" s="0" t="s">
        <v>466</v>
      </c>
      <c r="B226" s="0" t="s">
        <v>467</v>
      </c>
      <c r="C226" s="0" t="s">
        <v>469</v>
      </c>
      <c r="D226" s="0" t="s">
        <v>20</v>
      </c>
      <c r="E226" s="0" t="s">
        <v>748</v>
      </c>
      <c r="F226" s="11" t="n">
        <v>46287</v>
      </c>
      <c r="G226" s="12" t="n">
        <v>0</v>
      </c>
      <c r="H226" s="12" t="n">
        <v>1540000</v>
      </c>
      <c r="I226" s="12" t="n">
        <v>1540000</v>
      </c>
      <c r="J226" s="10" t="s">
        <v>747</v>
      </c>
      <c r="K226" s="10" t="s">
        <v>40</v>
      </c>
    </row>
    <row r="227" customFormat="false" ht="15" hidden="false" customHeight="false" outlineLevel="0" collapsed="false">
      <c r="A227" s="0" t="s">
        <v>470</v>
      </c>
      <c r="B227" s="0" t="s">
        <v>471</v>
      </c>
      <c r="C227" s="0" t="s">
        <v>472</v>
      </c>
      <c r="D227" s="0" t="s">
        <v>15</v>
      </c>
      <c r="E227" s="0" t="s">
        <v>746</v>
      </c>
      <c r="F227" s="11" t="n">
        <v>46294</v>
      </c>
      <c r="G227" s="12" t="n">
        <v>0</v>
      </c>
      <c r="H227" s="12" t="n">
        <v>1500000</v>
      </c>
      <c r="I227" s="12" t="n">
        <v>1500000</v>
      </c>
      <c r="J227" s="10" t="s">
        <v>747</v>
      </c>
      <c r="K227" s="10" t="s">
        <v>26</v>
      </c>
    </row>
    <row r="228" customFormat="false" ht="15" hidden="false" customHeight="false" outlineLevel="0" collapsed="false">
      <c r="A228" s="0" t="s">
        <v>473</v>
      </c>
      <c r="B228" s="0" t="s">
        <v>474</v>
      </c>
      <c r="C228" s="0" t="s">
        <v>475</v>
      </c>
      <c r="D228" s="0" t="s">
        <v>20</v>
      </c>
      <c r="E228" s="0" t="s">
        <v>748</v>
      </c>
      <c r="F228" s="11" t="n">
        <v>46290</v>
      </c>
      <c r="G228" s="12" t="n">
        <v>42373</v>
      </c>
      <c r="H228" s="12" t="n">
        <v>495460</v>
      </c>
      <c r="I228" s="12" t="n">
        <v>495460</v>
      </c>
      <c r="J228" s="10" t="s">
        <v>747</v>
      </c>
      <c r="K228" s="10" t="s">
        <v>16</v>
      </c>
    </row>
    <row r="229" customFormat="false" ht="15" hidden="false" customHeight="false" outlineLevel="0" collapsed="false">
      <c r="A229" s="0" t="s">
        <v>476</v>
      </c>
      <c r="B229" s="0" t="s">
        <v>477</v>
      </c>
      <c r="C229" s="0" t="s">
        <v>478</v>
      </c>
      <c r="D229" s="0" t="s">
        <v>20</v>
      </c>
      <c r="E229" s="0" t="s">
        <v>748</v>
      </c>
      <c r="F229" s="11" t="n">
        <v>46280</v>
      </c>
      <c r="G229" s="12" t="n">
        <v>0</v>
      </c>
      <c r="H229" s="12" t="n">
        <v>65179</v>
      </c>
      <c r="I229" s="12" t="n">
        <v>65179</v>
      </c>
      <c r="J229" s="10" t="s">
        <v>747</v>
      </c>
      <c r="K229" s="10" t="s">
        <v>16</v>
      </c>
    </row>
    <row r="230" customFormat="false" ht="15" hidden="false" customHeight="false" outlineLevel="0" collapsed="false">
      <c r="A230" s="0" t="s">
        <v>476</v>
      </c>
      <c r="B230" s="0" t="s">
        <v>477</v>
      </c>
      <c r="C230" s="0" t="s">
        <v>479</v>
      </c>
      <c r="D230" s="0" t="s">
        <v>20</v>
      </c>
      <c r="E230" s="0" t="s">
        <v>748</v>
      </c>
      <c r="F230" s="11" t="n">
        <v>46294</v>
      </c>
      <c r="G230" s="12" t="n">
        <v>0</v>
      </c>
      <c r="H230" s="12" t="n">
        <v>83903</v>
      </c>
      <c r="I230" s="12" t="n">
        <v>83903</v>
      </c>
      <c r="J230" s="10" t="s">
        <v>747</v>
      </c>
      <c r="K230" s="10" t="s">
        <v>16</v>
      </c>
    </row>
    <row r="231" customFormat="false" ht="15" hidden="false" customHeight="false" outlineLevel="0" collapsed="false">
      <c r="A231" s="0" t="s">
        <v>480</v>
      </c>
      <c r="B231" s="0" t="s">
        <v>481</v>
      </c>
      <c r="C231" s="0" t="s">
        <v>482</v>
      </c>
      <c r="D231" s="0" t="s">
        <v>20</v>
      </c>
      <c r="E231" s="0" t="s">
        <v>748</v>
      </c>
      <c r="F231" s="11" t="n">
        <v>46279</v>
      </c>
      <c r="G231" s="12" t="n">
        <v>0</v>
      </c>
      <c r="H231" s="12" t="n">
        <v>19500</v>
      </c>
      <c r="I231" s="12" t="n">
        <v>19500</v>
      </c>
      <c r="J231" s="10" t="s">
        <v>747</v>
      </c>
      <c r="K231" s="10" t="s">
        <v>26</v>
      </c>
    </row>
    <row r="232" customFormat="false" ht="15" hidden="false" customHeight="false" outlineLevel="0" collapsed="false">
      <c r="A232" s="0" t="s">
        <v>483</v>
      </c>
      <c r="B232" s="0" t="s">
        <v>484</v>
      </c>
      <c r="C232" s="0" t="s">
        <v>485</v>
      </c>
      <c r="D232" s="0" t="s">
        <v>20</v>
      </c>
      <c r="E232" s="0" t="s">
        <v>748</v>
      </c>
      <c r="F232" s="11" t="n">
        <v>46283</v>
      </c>
      <c r="G232" s="12" t="n">
        <v>29698.91</v>
      </c>
      <c r="H232" s="12" t="n">
        <v>186009</v>
      </c>
      <c r="I232" s="12" t="n">
        <v>186009</v>
      </c>
      <c r="J232" s="10" t="s">
        <v>747</v>
      </c>
      <c r="K232" s="10" t="s">
        <v>16</v>
      </c>
    </row>
    <row r="233" customFormat="false" ht="15" hidden="false" customHeight="false" outlineLevel="0" collapsed="false">
      <c r="A233" s="0" t="s">
        <v>486</v>
      </c>
      <c r="B233" s="0" t="s">
        <v>487</v>
      </c>
      <c r="C233" s="0" t="s">
        <v>488</v>
      </c>
      <c r="D233" s="0" t="s">
        <v>15</v>
      </c>
      <c r="E233" s="0" t="s">
        <v>746</v>
      </c>
      <c r="F233" s="11" t="n">
        <v>46286</v>
      </c>
      <c r="G233" s="12" t="n">
        <v>0</v>
      </c>
      <c r="H233" s="12" t="n">
        <v>203000</v>
      </c>
      <c r="I233" s="12" t="n">
        <v>203000</v>
      </c>
      <c r="J233" s="10" t="s">
        <v>747</v>
      </c>
      <c r="K233" s="10" t="s">
        <v>16</v>
      </c>
    </row>
    <row r="234" customFormat="false" ht="15" hidden="false" customHeight="false" outlineLevel="0" collapsed="false">
      <c r="A234" s="0" t="s">
        <v>489</v>
      </c>
      <c r="B234" s="0" t="s">
        <v>490</v>
      </c>
      <c r="C234" s="0" t="s">
        <v>492</v>
      </c>
      <c r="D234" s="0" t="s">
        <v>20</v>
      </c>
      <c r="E234" s="0" t="s">
        <v>748</v>
      </c>
      <c r="F234" s="11" t="n">
        <v>46274</v>
      </c>
      <c r="G234" s="12" t="n">
        <v>0</v>
      </c>
      <c r="H234" s="12" t="n">
        <v>23000</v>
      </c>
      <c r="I234" s="12" t="n">
        <v>23000</v>
      </c>
      <c r="J234" s="10" t="s">
        <v>747</v>
      </c>
      <c r="K234" s="10" t="s">
        <v>16</v>
      </c>
    </row>
    <row r="235" customFormat="false" ht="15" hidden="false" customHeight="false" outlineLevel="0" collapsed="false">
      <c r="A235" s="0" t="s">
        <v>489</v>
      </c>
      <c r="B235" s="0" t="s">
        <v>490</v>
      </c>
      <c r="C235" s="0" t="s">
        <v>493</v>
      </c>
      <c r="D235" s="0" t="s">
        <v>20</v>
      </c>
      <c r="E235" s="0" t="s">
        <v>748</v>
      </c>
      <c r="F235" s="11" t="n">
        <v>46274</v>
      </c>
      <c r="G235" s="12" t="n">
        <v>0</v>
      </c>
      <c r="H235" s="12" t="n">
        <v>23000</v>
      </c>
      <c r="I235" s="12" t="n">
        <v>23000</v>
      </c>
      <c r="J235" s="10" t="s">
        <v>747</v>
      </c>
      <c r="K235" s="10" t="s">
        <v>16</v>
      </c>
    </row>
    <row r="236" customFormat="false" ht="15" hidden="false" customHeight="false" outlineLevel="0" collapsed="false">
      <c r="A236" s="0" t="s">
        <v>489</v>
      </c>
      <c r="B236" s="0" t="s">
        <v>490</v>
      </c>
      <c r="C236" s="0" t="s">
        <v>494</v>
      </c>
      <c r="D236" s="0" t="s">
        <v>20</v>
      </c>
      <c r="E236" s="0" t="s">
        <v>748</v>
      </c>
      <c r="F236" s="11" t="n">
        <v>46274</v>
      </c>
      <c r="G236" s="12" t="n">
        <v>0</v>
      </c>
      <c r="H236" s="12" t="n">
        <v>33000</v>
      </c>
      <c r="I236" s="12" t="n">
        <v>33000</v>
      </c>
      <c r="J236" s="10" t="s">
        <v>747</v>
      </c>
      <c r="K236" s="10" t="s">
        <v>16</v>
      </c>
    </row>
    <row r="237" customFormat="false" ht="15" hidden="false" customHeight="false" outlineLevel="0" collapsed="false">
      <c r="A237" s="0" t="s">
        <v>489</v>
      </c>
      <c r="B237" s="0" t="s">
        <v>490</v>
      </c>
      <c r="C237" s="0" t="s">
        <v>495</v>
      </c>
      <c r="D237" s="0" t="s">
        <v>20</v>
      </c>
      <c r="E237" s="0" t="s">
        <v>748</v>
      </c>
      <c r="F237" s="11" t="n">
        <v>46274</v>
      </c>
      <c r="G237" s="12" t="n">
        <v>0</v>
      </c>
      <c r="H237" s="12" t="n">
        <v>46000</v>
      </c>
      <c r="I237" s="12" t="n">
        <v>46000</v>
      </c>
      <c r="J237" s="10" t="s">
        <v>747</v>
      </c>
      <c r="K237" s="10" t="s">
        <v>16</v>
      </c>
    </row>
    <row r="238" customFormat="false" ht="15" hidden="false" customHeight="false" outlineLevel="0" collapsed="false">
      <c r="A238" s="0" t="s">
        <v>489</v>
      </c>
      <c r="B238" s="0" t="s">
        <v>490</v>
      </c>
      <c r="C238" s="0" t="s">
        <v>496</v>
      </c>
      <c r="D238" s="0" t="s">
        <v>20</v>
      </c>
      <c r="E238" s="0" t="s">
        <v>748</v>
      </c>
      <c r="F238" s="11" t="n">
        <v>46274</v>
      </c>
      <c r="G238" s="12" t="n">
        <v>0</v>
      </c>
      <c r="H238" s="12" t="n">
        <v>28000</v>
      </c>
      <c r="I238" s="12" t="n">
        <v>28000</v>
      </c>
      <c r="J238" s="10" t="s">
        <v>747</v>
      </c>
      <c r="K238" s="10" t="s">
        <v>26</v>
      </c>
    </row>
    <row r="239" customFormat="false" ht="15" hidden="false" customHeight="false" outlineLevel="0" collapsed="false">
      <c r="A239" s="0" t="s">
        <v>489</v>
      </c>
      <c r="B239" s="0" t="s">
        <v>490</v>
      </c>
      <c r="C239" s="0" t="s">
        <v>497</v>
      </c>
      <c r="D239" s="0" t="s">
        <v>20</v>
      </c>
      <c r="E239" s="0" t="s">
        <v>748</v>
      </c>
      <c r="F239" s="11" t="n">
        <v>46275</v>
      </c>
      <c r="G239" s="12" t="n">
        <v>0</v>
      </c>
      <c r="H239" s="12" t="n">
        <v>20000</v>
      </c>
      <c r="I239" s="12" t="n">
        <v>20000</v>
      </c>
      <c r="J239" s="10" t="s">
        <v>747</v>
      </c>
      <c r="K239" s="10" t="s">
        <v>26</v>
      </c>
    </row>
    <row r="240" customFormat="false" ht="15" hidden="false" customHeight="false" outlineLevel="0" collapsed="false">
      <c r="A240" s="0" t="s">
        <v>489</v>
      </c>
      <c r="B240" s="0" t="s">
        <v>490</v>
      </c>
      <c r="C240" s="0" t="s">
        <v>498</v>
      </c>
      <c r="D240" s="0" t="s">
        <v>20</v>
      </c>
      <c r="E240" s="0" t="s">
        <v>748</v>
      </c>
      <c r="F240" s="11" t="n">
        <v>46275</v>
      </c>
      <c r="G240" s="12" t="n">
        <v>0</v>
      </c>
      <c r="H240" s="12" t="n">
        <v>26000</v>
      </c>
      <c r="I240" s="12" t="n">
        <v>26000</v>
      </c>
      <c r="J240" s="10" t="s">
        <v>747</v>
      </c>
      <c r="K240" s="10" t="s">
        <v>16</v>
      </c>
    </row>
    <row r="241" customFormat="false" ht="15" hidden="false" customHeight="false" outlineLevel="0" collapsed="false">
      <c r="A241" s="0" t="s">
        <v>489</v>
      </c>
      <c r="B241" s="0" t="s">
        <v>490</v>
      </c>
      <c r="C241" s="0" t="s">
        <v>499</v>
      </c>
      <c r="D241" s="0" t="s">
        <v>20</v>
      </c>
      <c r="E241" s="0" t="s">
        <v>748</v>
      </c>
      <c r="F241" s="11" t="n">
        <v>46275</v>
      </c>
      <c r="G241" s="12" t="n">
        <v>0</v>
      </c>
      <c r="H241" s="12" t="n">
        <v>23000</v>
      </c>
      <c r="I241" s="12" t="n">
        <v>23000</v>
      </c>
      <c r="J241" s="10" t="s">
        <v>747</v>
      </c>
      <c r="K241" s="10" t="s">
        <v>16</v>
      </c>
    </row>
    <row r="242" customFormat="false" ht="15" hidden="false" customHeight="false" outlineLevel="0" collapsed="false">
      <c r="A242" s="0" t="s">
        <v>489</v>
      </c>
      <c r="B242" s="0" t="s">
        <v>490</v>
      </c>
      <c r="C242" s="0" t="s">
        <v>500</v>
      </c>
      <c r="D242" s="0" t="s">
        <v>20</v>
      </c>
      <c r="E242" s="0" t="s">
        <v>748</v>
      </c>
      <c r="F242" s="11" t="n">
        <v>46275</v>
      </c>
      <c r="G242" s="12" t="n">
        <v>0</v>
      </c>
      <c r="H242" s="12" t="n">
        <v>8000</v>
      </c>
      <c r="I242" s="12" t="n">
        <v>8000</v>
      </c>
      <c r="J242" s="10" t="s">
        <v>747</v>
      </c>
      <c r="K242" s="10" t="s">
        <v>16</v>
      </c>
    </row>
    <row r="243" customFormat="false" ht="15" hidden="false" customHeight="false" outlineLevel="0" collapsed="false">
      <c r="A243" s="0" t="s">
        <v>501</v>
      </c>
      <c r="B243" s="0" t="s">
        <v>502</v>
      </c>
      <c r="C243" s="0" t="s">
        <v>503</v>
      </c>
      <c r="D243" s="0" t="s">
        <v>20</v>
      </c>
      <c r="E243" s="0" t="s">
        <v>748</v>
      </c>
      <c r="F243" s="11" t="n">
        <v>46268</v>
      </c>
      <c r="G243" s="12" t="n">
        <v>17563.03</v>
      </c>
      <c r="H243" s="12" t="n">
        <v>110000.03</v>
      </c>
      <c r="I243" s="12" t="n">
        <v>110000.03</v>
      </c>
      <c r="J243" s="10" t="s">
        <v>747</v>
      </c>
      <c r="K243" s="10" t="s">
        <v>26</v>
      </c>
    </row>
    <row r="244" customFormat="false" ht="15" hidden="false" customHeight="false" outlineLevel="0" collapsed="false">
      <c r="A244" s="0" t="s">
        <v>504</v>
      </c>
      <c r="B244" s="0" t="s">
        <v>505</v>
      </c>
      <c r="C244" s="0" t="s">
        <v>506</v>
      </c>
      <c r="D244" s="0" t="s">
        <v>20</v>
      </c>
      <c r="E244" s="0" t="s">
        <v>748</v>
      </c>
      <c r="F244" s="11" t="n">
        <v>46291</v>
      </c>
      <c r="G244" s="12" t="n">
        <v>760000</v>
      </c>
      <c r="H244" s="12" t="n">
        <v>4760000</v>
      </c>
      <c r="I244" s="12" t="n">
        <v>4760000</v>
      </c>
      <c r="J244" s="10" t="s">
        <v>747</v>
      </c>
      <c r="K244" s="10" t="s">
        <v>40</v>
      </c>
    </row>
    <row r="245" customFormat="false" ht="15" hidden="false" customHeight="false" outlineLevel="0" collapsed="false">
      <c r="A245" s="0" t="s">
        <v>507</v>
      </c>
      <c r="B245" s="0" t="s">
        <v>508</v>
      </c>
      <c r="C245" s="0" t="s">
        <v>509</v>
      </c>
      <c r="D245" s="0" t="s">
        <v>20</v>
      </c>
      <c r="E245" s="0" t="s">
        <v>748</v>
      </c>
      <c r="F245" s="11" t="n">
        <v>46266</v>
      </c>
      <c r="G245" s="12" t="n">
        <v>0</v>
      </c>
      <c r="H245" s="12" t="n">
        <v>437869</v>
      </c>
      <c r="I245" s="12" t="n">
        <v>437869</v>
      </c>
      <c r="J245" s="10" t="s">
        <v>747</v>
      </c>
      <c r="K245" s="10" t="s">
        <v>16</v>
      </c>
    </row>
    <row r="246" customFormat="false" ht="15" hidden="false" customHeight="false" outlineLevel="0" collapsed="false">
      <c r="A246" s="0" t="s">
        <v>507</v>
      </c>
      <c r="B246" s="0" t="s">
        <v>508</v>
      </c>
      <c r="C246" s="0" t="s">
        <v>510</v>
      </c>
      <c r="D246" s="0" t="s">
        <v>20</v>
      </c>
      <c r="E246" s="0" t="s">
        <v>748</v>
      </c>
      <c r="F246" s="11" t="n">
        <v>46281</v>
      </c>
      <c r="G246" s="12" t="n">
        <v>0</v>
      </c>
      <c r="H246" s="12" t="n">
        <v>598014</v>
      </c>
      <c r="I246" s="12" t="n">
        <v>598014</v>
      </c>
      <c r="J246" s="10" t="s">
        <v>747</v>
      </c>
      <c r="K246" s="10" t="s">
        <v>16</v>
      </c>
    </row>
    <row r="247" customFormat="false" ht="15" hidden="false" customHeight="false" outlineLevel="0" collapsed="false">
      <c r="A247" s="0" t="s">
        <v>507</v>
      </c>
      <c r="B247" s="0" t="s">
        <v>508</v>
      </c>
      <c r="C247" s="0" t="s">
        <v>511</v>
      </c>
      <c r="D247" s="0" t="s">
        <v>20</v>
      </c>
      <c r="E247" s="0" t="s">
        <v>748</v>
      </c>
      <c r="F247" s="11" t="n">
        <v>46288</v>
      </c>
      <c r="G247" s="12" t="n">
        <v>0</v>
      </c>
      <c r="H247" s="12" t="n">
        <v>8970</v>
      </c>
      <c r="I247" s="12" t="n">
        <v>8970</v>
      </c>
      <c r="J247" s="10" t="s">
        <v>747</v>
      </c>
      <c r="K247" s="10" t="s">
        <v>26</v>
      </c>
    </row>
    <row r="248" customFormat="false" ht="15" hidden="false" customHeight="false" outlineLevel="0" collapsed="false">
      <c r="A248" s="0" t="s">
        <v>512</v>
      </c>
      <c r="B248" s="0" t="s">
        <v>513</v>
      </c>
      <c r="C248" s="0" t="s">
        <v>514</v>
      </c>
      <c r="D248" s="0" t="s">
        <v>20</v>
      </c>
      <c r="E248" s="0" t="s">
        <v>748</v>
      </c>
      <c r="F248" s="11" t="n">
        <v>46294</v>
      </c>
      <c r="G248" s="12" t="n">
        <v>0</v>
      </c>
      <c r="H248" s="12" t="n">
        <v>192600</v>
      </c>
      <c r="I248" s="12" t="n">
        <v>192600</v>
      </c>
      <c r="J248" s="10" t="s">
        <v>747</v>
      </c>
      <c r="K248" s="10" t="s">
        <v>16</v>
      </c>
    </row>
    <row r="249" customFormat="false" ht="15" hidden="false" customHeight="false" outlineLevel="0" collapsed="false">
      <c r="A249" s="0" t="s">
        <v>515</v>
      </c>
      <c r="B249" s="0" t="s">
        <v>516</v>
      </c>
      <c r="C249" s="0" t="s">
        <v>517</v>
      </c>
      <c r="D249" s="0" t="s">
        <v>20</v>
      </c>
      <c r="E249" s="0" t="s">
        <v>748</v>
      </c>
      <c r="F249" s="11" t="n">
        <v>46269</v>
      </c>
      <c r="G249" s="12" t="n">
        <v>41800</v>
      </c>
      <c r="H249" s="12" t="n">
        <v>928210</v>
      </c>
      <c r="I249" s="12" t="n">
        <v>928210</v>
      </c>
      <c r="J249" s="10" t="s">
        <v>747</v>
      </c>
      <c r="K249" s="10" t="s">
        <v>16</v>
      </c>
    </row>
    <row r="250" customFormat="false" ht="15" hidden="false" customHeight="false" outlineLevel="0" collapsed="false">
      <c r="A250" s="0" t="s">
        <v>515</v>
      </c>
      <c r="B250" s="0" t="s">
        <v>516</v>
      </c>
      <c r="C250" s="0" t="s">
        <v>518</v>
      </c>
      <c r="D250" s="0" t="s">
        <v>20</v>
      </c>
      <c r="E250" s="0" t="s">
        <v>748</v>
      </c>
      <c r="F250" s="11" t="n">
        <v>46281</v>
      </c>
      <c r="G250" s="12" t="n">
        <v>41800</v>
      </c>
      <c r="H250" s="12" t="n">
        <v>1876540</v>
      </c>
      <c r="I250" s="12" t="n">
        <v>1876540</v>
      </c>
      <c r="J250" s="10" t="s">
        <v>747</v>
      </c>
      <c r="K250" s="10" t="s">
        <v>16</v>
      </c>
    </row>
    <row r="251" customFormat="false" ht="15" hidden="false" customHeight="false" outlineLevel="0" collapsed="false">
      <c r="A251" s="0" t="s">
        <v>519</v>
      </c>
      <c r="B251" s="0" t="s">
        <v>520</v>
      </c>
      <c r="C251" s="0" t="s">
        <v>521</v>
      </c>
      <c r="D251" s="0" t="s">
        <v>20</v>
      </c>
      <c r="E251" s="0" t="s">
        <v>748</v>
      </c>
      <c r="F251" s="11" t="n">
        <v>46268</v>
      </c>
      <c r="G251" s="12" t="n">
        <v>0</v>
      </c>
      <c r="H251" s="12" t="n">
        <v>18000</v>
      </c>
      <c r="I251" s="12" t="n">
        <v>18000</v>
      </c>
      <c r="J251" s="10" t="s">
        <v>747</v>
      </c>
      <c r="K251" s="10" t="s">
        <v>26</v>
      </c>
    </row>
    <row r="252" customFormat="false" ht="15" hidden="false" customHeight="false" outlineLevel="0" collapsed="false">
      <c r="A252" s="0" t="s">
        <v>519</v>
      </c>
      <c r="B252" s="0" t="s">
        <v>520</v>
      </c>
      <c r="C252" s="0" t="s">
        <v>522</v>
      </c>
      <c r="D252" s="0" t="s">
        <v>20</v>
      </c>
      <c r="E252" s="0" t="s">
        <v>748</v>
      </c>
      <c r="F252" s="11" t="n">
        <v>46287</v>
      </c>
      <c r="G252" s="12" t="n">
        <v>0</v>
      </c>
      <c r="H252" s="12" t="n">
        <v>18000</v>
      </c>
      <c r="I252" s="12" t="n">
        <v>18000</v>
      </c>
      <c r="J252" s="10" t="s">
        <v>747</v>
      </c>
      <c r="K252" s="10" t="s">
        <v>26</v>
      </c>
    </row>
    <row r="253" customFormat="false" ht="15" hidden="false" customHeight="false" outlineLevel="0" collapsed="false">
      <c r="A253" s="0" t="s">
        <v>523</v>
      </c>
      <c r="B253" s="0" t="s">
        <v>524</v>
      </c>
      <c r="C253" s="0" t="s">
        <v>525</v>
      </c>
      <c r="D253" s="0" t="s">
        <v>20</v>
      </c>
      <c r="E253" s="0" t="s">
        <v>748</v>
      </c>
      <c r="F253" s="11" t="n">
        <v>46266</v>
      </c>
      <c r="G253" s="12" t="n">
        <v>0</v>
      </c>
      <c r="H253" s="12" t="n">
        <v>139500</v>
      </c>
      <c r="I253" s="12" t="n">
        <v>139500</v>
      </c>
      <c r="J253" s="10" t="s">
        <v>747</v>
      </c>
      <c r="K253" s="10" t="s">
        <v>40</v>
      </c>
    </row>
    <row r="254" customFormat="false" ht="15" hidden="false" customHeight="false" outlineLevel="0" collapsed="false">
      <c r="A254" s="0" t="s">
        <v>523</v>
      </c>
      <c r="B254" s="0" t="s">
        <v>524</v>
      </c>
      <c r="C254" s="0" t="s">
        <v>526</v>
      </c>
      <c r="D254" s="0" t="s">
        <v>20</v>
      </c>
      <c r="E254" s="0" t="s">
        <v>748</v>
      </c>
      <c r="F254" s="11" t="n">
        <v>46282</v>
      </c>
      <c r="G254" s="12" t="n">
        <v>0</v>
      </c>
      <c r="H254" s="12" t="n">
        <v>4650300</v>
      </c>
      <c r="I254" s="12" t="n">
        <v>4650300</v>
      </c>
      <c r="J254" s="10" t="s">
        <v>747</v>
      </c>
      <c r="K254" s="10" t="s">
        <v>40</v>
      </c>
    </row>
    <row r="255" customFormat="false" ht="15" hidden="false" customHeight="false" outlineLevel="0" collapsed="false">
      <c r="A255" s="0" t="s">
        <v>527</v>
      </c>
      <c r="B255" s="0" t="s">
        <v>528</v>
      </c>
      <c r="C255" s="0" t="s">
        <v>529</v>
      </c>
      <c r="D255" s="0" t="s">
        <v>15</v>
      </c>
      <c r="E255" s="0" t="s">
        <v>746</v>
      </c>
      <c r="F255" s="11" t="n">
        <v>46269</v>
      </c>
      <c r="G255" s="12" t="n">
        <v>0</v>
      </c>
      <c r="H255" s="12" t="n">
        <v>4500000</v>
      </c>
      <c r="I255" s="12" t="n">
        <v>4500000</v>
      </c>
      <c r="J255" s="10" t="s">
        <v>747</v>
      </c>
      <c r="K255" s="10" t="s">
        <v>16</v>
      </c>
    </row>
    <row r="256" customFormat="false" ht="15" hidden="false" customHeight="false" outlineLevel="0" collapsed="false">
      <c r="A256" s="0" t="s">
        <v>527</v>
      </c>
      <c r="B256" s="0" t="s">
        <v>528</v>
      </c>
      <c r="C256" s="0" t="s">
        <v>530</v>
      </c>
      <c r="D256" s="0" t="s">
        <v>15</v>
      </c>
      <c r="E256" s="0" t="s">
        <v>746</v>
      </c>
      <c r="F256" s="11" t="n">
        <v>46279</v>
      </c>
      <c r="G256" s="12" t="n">
        <v>0</v>
      </c>
      <c r="H256" s="12" t="n">
        <v>210000</v>
      </c>
      <c r="I256" s="12" t="n">
        <v>210000</v>
      </c>
      <c r="J256" s="10" t="s">
        <v>747</v>
      </c>
      <c r="K256" s="10" t="s">
        <v>16</v>
      </c>
    </row>
    <row r="257" customFormat="false" ht="15" hidden="false" customHeight="false" outlineLevel="0" collapsed="false">
      <c r="A257" s="0" t="s">
        <v>531</v>
      </c>
      <c r="B257" s="0" t="s">
        <v>532</v>
      </c>
      <c r="C257" s="0" t="s">
        <v>533</v>
      </c>
      <c r="D257" s="0" t="s">
        <v>20</v>
      </c>
      <c r="E257" s="0" t="s">
        <v>748</v>
      </c>
      <c r="F257" s="11" t="n">
        <v>46275</v>
      </c>
      <c r="G257" s="12" t="n">
        <v>475000</v>
      </c>
      <c r="H257" s="12" t="n">
        <v>2975000</v>
      </c>
      <c r="I257" s="12" t="n">
        <v>2975000</v>
      </c>
      <c r="J257" s="10" t="s">
        <v>747</v>
      </c>
      <c r="K257" s="10" t="s">
        <v>40</v>
      </c>
    </row>
    <row r="258" customFormat="false" ht="15" hidden="false" customHeight="false" outlineLevel="0" collapsed="false">
      <c r="A258" s="0" t="s">
        <v>534</v>
      </c>
      <c r="B258" s="0" t="s">
        <v>535</v>
      </c>
      <c r="C258" s="0" t="s">
        <v>536</v>
      </c>
      <c r="D258" s="0" t="s">
        <v>15</v>
      </c>
      <c r="E258" s="0" t="s">
        <v>746</v>
      </c>
      <c r="F258" s="11" t="n">
        <v>46287</v>
      </c>
      <c r="G258" s="12" t="n">
        <v>0</v>
      </c>
      <c r="H258" s="12" t="n">
        <v>500000</v>
      </c>
      <c r="I258" s="12" t="n">
        <v>500000</v>
      </c>
      <c r="J258" s="10" t="s">
        <v>747</v>
      </c>
      <c r="K258" s="10" t="s">
        <v>16</v>
      </c>
    </row>
    <row r="259" customFormat="false" ht="15" hidden="false" customHeight="false" outlineLevel="0" collapsed="false">
      <c r="A259" s="0" t="s">
        <v>537</v>
      </c>
      <c r="B259" s="0" t="s">
        <v>538</v>
      </c>
      <c r="C259" s="0" t="s">
        <v>540</v>
      </c>
      <c r="D259" s="0" t="s">
        <v>20</v>
      </c>
      <c r="E259" s="0" t="s">
        <v>748</v>
      </c>
      <c r="F259" s="11" t="n">
        <v>46266</v>
      </c>
      <c r="G259" s="12" t="n">
        <v>0</v>
      </c>
      <c r="H259" s="12" t="n">
        <v>13300</v>
      </c>
      <c r="I259" s="12" t="n">
        <v>13300</v>
      </c>
      <c r="J259" s="10" t="s">
        <v>747</v>
      </c>
      <c r="K259" s="10" t="s">
        <v>26</v>
      </c>
    </row>
    <row r="260" customFormat="false" ht="15" hidden="false" customHeight="false" outlineLevel="0" collapsed="false">
      <c r="A260" s="0" t="s">
        <v>537</v>
      </c>
      <c r="B260" s="0" t="s">
        <v>538</v>
      </c>
      <c r="C260" s="0" t="s">
        <v>541</v>
      </c>
      <c r="D260" s="0" t="s">
        <v>20</v>
      </c>
      <c r="E260" s="0" t="s">
        <v>748</v>
      </c>
      <c r="F260" s="11" t="n">
        <v>46266</v>
      </c>
      <c r="G260" s="12" t="n">
        <v>910</v>
      </c>
      <c r="H260" s="12" t="n">
        <v>5700</v>
      </c>
      <c r="I260" s="12" t="n">
        <v>5700</v>
      </c>
      <c r="J260" s="10" t="s">
        <v>747</v>
      </c>
      <c r="K260" s="10" t="s">
        <v>26</v>
      </c>
    </row>
    <row r="261" customFormat="false" ht="15" hidden="false" customHeight="false" outlineLevel="0" collapsed="false">
      <c r="A261" s="0" t="s">
        <v>537</v>
      </c>
      <c r="B261" s="0" t="s">
        <v>538</v>
      </c>
      <c r="C261" s="0" t="s">
        <v>542</v>
      </c>
      <c r="D261" s="0" t="s">
        <v>20</v>
      </c>
      <c r="E261" s="0" t="s">
        <v>748</v>
      </c>
      <c r="F261" s="11" t="n">
        <v>46267</v>
      </c>
      <c r="G261" s="12" t="n">
        <v>910</v>
      </c>
      <c r="H261" s="12" t="n">
        <v>5700</v>
      </c>
      <c r="I261" s="12" t="n">
        <v>5700</v>
      </c>
      <c r="J261" s="10" t="s">
        <v>747</v>
      </c>
      <c r="K261" s="10" t="s">
        <v>26</v>
      </c>
    </row>
    <row r="262" customFormat="false" ht="15" hidden="false" customHeight="false" outlineLevel="0" collapsed="false">
      <c r="A262" s="0" t="s">
        <v>537</v>
      </c>
      <c r="B262" s="0" t="s">
        <v>538</v>
      </c>
      <c r="C262" s="0" t="s">
        <v>543</v>
      </c>
      <c r="D262" s="0" t="s">
        <v>20</v>
      </c>
      <c r="E262" s="0" t="s">
        <v>748</v>
      </c>
      <c r="F262" s="11" t="n">
        <v>46267</v>
      </c>
      <c r="G262" s="12" t="n">
        <v>0</v>
      </c>
      <c r="H262" s="12" t="n">
        <v>13200</v>
      </c>
      <c r="I262" s="12" t="n">
        <v>13200</v>
      </c>
      <c r="J262" s="10" t="s">
        <v>747</v>
      </c>
      <c r="K262" s="10" t="s">
        <v>26</v>
      </c>
    </row>
    <row r="263" customFormat="false" ht="15" hidden="false" customHeight="false" outlineLevel="0" collapsed="false">
      <c r="A263" s="0" t="s">
        <v>537</v>
      </c>
      <c r="B263" s="0" t="s">
        <v>538</v>
      </c>
      <c r="C263" s="0" t="s">
        <v>544</v>
      </c>
      <c r="D263" s="0" t="s">
        <v>20</v>
      </c>
      <c r="E263" s="0" t="s">
        <v>748</v>
      </c>
      <c r="F263" s="11" t="n">
        <v>46267</v>
      </c>
      <c r="G263" s="12" t="n">
        <v>0</v>
      </c>
      <c r="H263" s="12" t="n">
        <v>13200</v>
      </c>
      <c r="I263" s="12" t="n">
        <v>13200</v>
      </c>
      <c r="J263" s="10" t="s">
        <v>747</v>
      </c>
      <c r="K263" s="10" t="s">
        <v>26</v>
      </c>
    </row>
    <row r="264" customFormat="false" ht="15" hidden="false" customHeight="false" outlineLevel="0" collapsed="false">
      <c r="A264" s="0" t="s">
        <v>537</v>
      </c>
      <c r="B264" s="0" t="s">
        <v>538</v>
      </c>
      <c r="C264" s="0" t="s">
        <v>545</v>
      </c>
      <c r="D264" s="0" t="s">
        <v>20</v>
      </c>
      <c r="E264" s="0" t="s">
        <v>748</v>
      </c>
      <c r="F264" s="11" t="n">
        <v>46268</v>
      </c>
      <c r="G264" s="12" t="n">
        <v>910</v>
      </c>
      <c r="H264" s="12" t="n">
        <v>5700</v>
      </c>
      <c r="I264" s="12" t="n">
        <v>5700</v>
      </c>
      <c r="J264" s="10" t="s">
        <v>747</v>
      </c>
      <c r="K264" s="10" t="s">
        <v>26</v>
      </c>
    </row>
    <row r="265" customFormat="false" ht="15" hidden="false" customHeight="false" outlineLevel="0" collapsed="false">
      <c r="A265" s="0" t="s">
        <v>537</v>
      </c>
      <c r="B265" s="0" t="s">
        <v>538</v>
      </c>
      <c r="C265" s="0" t="s">
        <v>546</v>
      </c>
      <c r="D265" s="0" t="s">
        <v>20</v>
      </c>
      <c r="E265" s="0" t="s">
        <v>748</v>
      </c>
      <c r="F265" s="11" t="n">
        <v>46269</v>
      </c>
      <c r="G265" s="12" t="n">
        <v>0</v>
      </c>
      <c r="H265" s="12" t="n">
        <v>13200</v>
      </c>
      <c r="I265" s="12" t="n">
        <v>13200</v>
      </c>
      <c r="J265" s="10" t="s">
        <v>747</v>
      </c>
      <c r="K265" s="10" t="s">
        <v>26</v>
      </c>
    </row>
    <row r="266" customFormat="false" ht="15" hidden="false" customHeight="false" outlineLevel="0" collapsed="false">
      <c r="A266" s="0" t="s">
        <v>537</v>
      </c>
      <c r="B266" s="0" t="s">
        <v>538</v>
      </c>
      <c r="C266" s="0" t="s">
        <v>547</v>
      </c>
      <c r="D266" s="0" t="s">
        <v>20</v>
      </c>
      <c r="E266" s="0" t="s">
        <v>748</v>
      </c>
      <c r="F266" s="11" t="n">
        <v>46272</v>
      </c>
      <c r="G266" s="12" t="n">
        <v>0</v>
      </c>
      <c r="H266" s="12" t="n">
        <v>13200</v>
      </c>
      <c r="I266" s="12" t="n">
        <v>13200</v>
      </c>
      <c r="J266" s="10" t="s">
        <v>747</v>
      </c>
      <c r="K266" s="10" t="s">
        <v>26</v>
      </c>
    </row>
    <row r="267" customFormat="false" ht="15" hidden="false" customHeight="false" outlineLevel="0" collapsed="false">
      <c r="A267" s="0" t="s">
        <v>537</v>
      </c>
      <c r="B267" s="0" t="s">
        <v>538</v>
      </c>
      <c r="C267" s="0" t="s">
        <v>548</v>
      </c>
      <c r="D267" s="0" t="s">
        <v>20</v>
      </c>
      <c r="E267" s="0" t="s">
        <v>748</v>
      </c>
      <c r="F267" s="11" t="n">
        <v>46272</v>
      </c>
      <c r="G267" s="12" t="n">
        <v>910.08</v>
      </c>
      <c r="H267" s="12" t="n">
        <v>5700</v>
      </c>
      <c r="I267" s="12" t="n">
        <v>5700</v>
      </c>
      <c r="J267" s="10" t="s">
        <v>747</v>
      </c>
      <c r="K267" s="10" t="s">
        <v>26</v>
      </c>
    </row>
    <row r="268" customFormat="false" ht="15" hidden="false" customHeight="false" outlineLevel="0" collapsed="false">
      <c r="A268" s="0" t="s">
        <v>537</v>
      </c>
      <c r="B268" s="0" t="s">
        <v>538</v>
      </c>
      <c r="C268" s="0" t="s">
        <v>549</v>
      </c>
      <c r="D268" s="0" t="s">
        <v>20</v>
      </c>
      <c r="E268" s="0" t="s">
        <v>748</v>
      </c>
      <c r="F268" s="11" t="n">
        <v>46273</v>
      </c>
      <c r="G268" s="12" t="n">
        <v>0</v>
      </c>
      <c r="H268" s="12" t="n">
        <v>13200</v>
      </c>
      <c r="I268" s="12" t="n">
        <v>13200</v>
      </c>
      <c r="J268" s="10" t="s">
        <v>747</v>
      </c>
      <c r="K268" s="10" t="s">
        <v>26</v>
      </c>
    </row>
    <row r="269" customFormat="false" ht="15" hidden="false" customHeight="false" outlineLevel="0" collapsed="false">
      <c r="A269" s="0" t="s">
        <v>537</v>
      </c>
      <c r="B269" s="0" t="s">
        <v>538</v>
      </c>
      <c r="C269" s="0" t="s">
        <v>550</v>
      </c>
      <c r="D269" s="0" t="s">
        <v>20</v>
      </c>
      <c r="E269" s="0" t="s">
        <v>748</v>
      </c>
      <c r="F269" s="11" t="n">
        <v>46273</v>
      </c>
      <c r="G269" s="12" t="n">
        <v>910.08</v>
      </c>
      <c r="H269" s="12" t="n">
        <v>5700</v>
      </c>
      <c r="I269" s="12" t="n">
        <v>5700</v>
      </c>
      <c r="J269" s="10" t="s">
        <v>747</v>
      </c>
      <c r="K269" s="10" t="s">
        <v>26</v>
      </c>
    </row>
    <row r="270" customFormat="false" ht="15" hidden="false" customHeight="false" outlineLevel="0" collapsed="false">
      <c r="A270" s="0" t="s">
        <v>537</v>
      </c>
      <c r="B270" s="0" t="s">
        <v>538</v>
      </c>
      <c r="C270" s="0" t="s">
        <v>551</v>
      </c>
      <c r="D270" s="0" t="s">
        <v>20</v>
      </c>
      <c r="E270" s="0" t="s">
        <v>748</v>
      </c>
      <c r="F270" s="11" t="n">
        <v>46273</v>
      </c>
      <c r="G270" s="12" t="n">
        <v>910.08</v>
      </c>
      <c r="H270" s="12" t="n">
        <v>5700</v>
      </c>
      <c r="I270" s="12" t="n">
        <v>5700</v>
      </c>
      <c r="J270" s="10" t="s">
        <v>747</v>
      </c>
      <c r="K270" s="10" t="s">
        <v>26</v>
      </c>
    </row>
    <row r="271" customFormat="false" ht="15" hidden="false" customHeight="false" outlineLevel="0" collapsed="false">
      <c r="A271" s="0" t="s">
        <v>537</v>
      </c>
      <c r="B271" s="0" t="s">
        <v>538</v>
      </c>
      <c r="C271" s="0" t="s">
        <v>552</v>
      </c>
      <c r="D271" s="0" t="s">
        <v>20</v>
      </c>
      <c r="E271" s="0" t="s">
        <v>748</v>
      </c>
      <c r="F271" s="11" t="n">
        <v>46274</v>
      </c>
      <c r="G271" s="12" t="n">
        <v>0</v>
      </c>
      <c r="H271" s="12" t="n">
        <v>13200</v>
      </c>
      <c r="I271" s="12" t="n">
        <v>13200</v>
      </c>
      <c r="J271" s="10" t="s">
        <v>747</v>
      </c>
      <c r="K271" s="10" t="s">
        <v>26</v>
      </c>
    </row>
    <row r="272" customFormat="false" ht="15" hidden="false" customHeight="false" outlineLevel="0" collapsed="false">
      <c r="A272" s="0" t="s">
        <v>537</v>
      </c>
      <c r="B272" s="0" t="s">
        <v>538</v>
      </c>
      <c r="C272" s="0" t="s">
        <v>553</v>
      </c>
      <c r="D272" s="0" t="s">
        <v>20</v>
      </c>
      <c r="E272" s="0" t="s">
        <v>748</v>
      </c>
      <c r="F272" s="11" t="n">
        <v>46277</v>
      </c>
      <c r="G272" s="12" t="n">
        <v>0</v>
      </c>
      <c r="H272" s="12" t="n">
        <v>7160</v>
      </c>
      <c r="I272" s="12" t="n">
        <v>7160</v>
      </c>
      <c r="J272" s="10" t="s">
        <v>747</v>
      </c>
      <c r="K272" s="10" t="s">
        <v>26</v>
      </c>
    </row>
    <row r="273" customFormat="false" ht="15" hidden="false" customHeight="false" outlineLevel="0" collapsed="false">
      <c r="A273" s="0" t="s">
        <v>537</v>
      </c>
      <c r="B273" s="0" t="s">
        <v>538</v>
      </c>
      <c r="C273" s="0" t="s">
        <v>554</v>
      </c>
      <c r="D273" s="0" t="s">
        <v>20</v>
      </c>
      <c r="E273" s="0" t="s">
        <v>748</v>
      </c>
      <c r="F273" s="11" t="n">
        <v>46277</v>
      </c>
      <c r="G273" s="12" t="n">
        <v>0</v>
      </c>
      <c r="H273" s="12" t="n">
        <v>13200</v>
      </c>
      <c r="I273" s="12" t="n">
        <v>13200</v>
      </c>
      <c r="J273" s="10" t="s">
        <v>747</v>
      </c>
      <c r="K273" s="10" t="s">
        <v>26</v>
      </c>
    </row>
    <row r="274" customFormat="false" ht="15" hidden="false" customHeight="false" outlineLevel="0" collapsed="false">
      <c r="A274" s="0" t="s">
        <v>537</v>
      </c>
      <c r="B274" s="0" t="s">
        <v>538</v>
      </c>
      <c r="C274" s="0" t="s">
        <v>555</v>
      </c>
      <c r="D274" s="0" t="s">
        <v>20</v>
      </c>
      <c r="E274" s="0" t="s">
        <v>748</v>
      </c>
      <c r="F274" s="11" t="n">
        <v>46277</v>
      </c>
      <c r="G274" s="12" t="n">
        <v>0</v>
      </c>
      <c r="H274" s="12" t="n">
        <v>13200</v>
      </c>
      <c r="I274" s="12" t="n">
        <v>13200</v>
      </c>
      <c r="J274" s="10" t="s">
        <v>747</v>
      </c>
      <c r="K274" s="10" t="s">
        <v>26</v>
      </c>
    </row>
    <row r="275" customFormat="false" ht="15" hidden="false" customHeight="false" outlineLevel="0" collapsed="false">
      <c r="A275" s="0" t="s">
        <v>537</v>
      </c>
      <c r="B275" s="0" t="s">
        <v>538</v>
      </c>
      <c r="C275" s="0" t="s">
        <v>556</v>
      </c>
      <c r="D275" s="0" t="s">
        <v>20</v>
      </c>
      <c r="E275" s="0" t="s">
        <v>748</v>
      </c>
      <c r="F275" s="11" t="n">
        <v>46279</v>
      </c>
      <c r="G275" s="12" t="n">
        <v>910.08</v>
      </c>
      <c r="H275" s="12" t="n">
        <v>5700</v>
      </c>
      <c r="I275" s="12" t="n">
        <v>5700</v>
      </c>
      <c r="J275" s="10" t="s">
        <v>747</v>
      </c>
      <c r="K275" s="10" t="s">
        <v>26</v>
      </c>
    </row>
    <row r="276" customFormat="false" ht="15" hidden="false" customHeight="false" outlineLevel="0" collapsed="false">
      <c r="A276" s="0" t="s">
        <v>537</v>
      </c>
      <c r="B276" s="0" t="s">
        <v>538</v>
      </c>
      <c r="C276" s="0" t="s">
        <v>557</v>
      </c>
      <c r="D276" s="0" t="s">
        <v>20</v>
      </c>
      <c r="E276" s="0" t="s">
        <v>748</v>
      </c>
      <c r="F276" s="11" t="n">
        <v>46281</v>
      </c>
      <c r="G276" s="12" t="n">
        <v>910.08</v>
      </c>
      <c r="H276" s="12" t="n">
        <v>5700</v>
      </c>
      <c r="I276" s="12" t="n">
        <v>5700</v>
      </c>
      <c r="J276" s="10" t="s">
        <v>747</v>
      </c>
      <c r="K276" s="10" t="s">
        <v>26</v>
      </c>
    </row>
    <row r="277" customFormat="false" ht="15" hidden="false" customHeight="false" outlineLevel="0" collapsed="false">
      <c r="A277" s="0" t="s">
        <v>537</v>
      </c>
      <c r="B277" s="0" t="s">
        <v>538</v>
      </c>
      <c r="C277" s="0" t="s">
        <v>558</v>
      </c>
      <c r="D277" s="0" t="s">
        <v>20</v>
      </c>
      <c r="E277" s="0" t="s">
        <v>748</v>
      </c>
      <c r="F277" s="11" t="n">
        <v>46282</v>
      </c>
      <c r="G277" s="12" t="n">
        <v>0</v>
      </c>
      <c r="H277" s="12" t="n">
        <v>13200</v>
      </c>
      <c r="I277" s="12" t="n">
        <v>13200</v>
      </c>
      <c r="J277" s="10" t="s">
        <v>747</v>
      </c>
      <c r="K277" s="10" t="s">
        <v>26</v>
      </c>
    </row>
    <row r="278" customFormat="false" ht="15" hidden="false" customHeight="false" outlineLevel="0" collapsed="false">
      <c r="A278" s="0" t="s">
        <v>537</v>
      </c>
      <c r="B278" s="0" t="s">
        <v>538</v>
      </c>
      <c r="C278" s="0" t="s">
        <v>559</v>
      </c>
      <c r="D278" s="0" t="s">
        <v>20</v>
      </c>
      <c r="E278" s="0" t="s">
        <v>748</v>
      </c>
      <c r="F278" s="11" t="n">
        <v>46282</v>
      </c>
      <c r="G278" s="12" t="n">
        <v>0</v>
      </c>
      <c r="H278" s="12" t="n">
        <v>13200</v>
      </c>
      <c r="I278" s="12" t="n">
        <v>13200</v>
      </c>
      <c r="J278" s="10" t="s">
        <v>747</v>
      </c>
      <c r="K278" s="10" t="s">
        <v>26</v>
      </c>
    </row>
    <row r="279" customFormat="false" ht="15" hidden="false" customHeight="false" outlineLevel="0" collapsed="false">
      <c r="A279" s="0" t="s">
        <v>537</v>
      </c>
      <c r="B279" s="0" t="s">
        <v>538</v>
      </c>
      <c r="C279" s="0" t="s">
        <v>560</v>
      </c>
      <c r="D279" s="0" t="s">
        <v>20</v>
      </c>
      <c r="E279" s="0" t="s">
        <v>748</v>
      </c>
      <c r="F279" s="11" t="n">
        <v>46283</v>
      </c>
      <c r="G279" s="12" t="n">
        <v>0</v>
      </c>
      <c r="H279" s="12" t="n">
        <v>13200</v>
      </c>
      <c r="I279" s="12" t="n">
        <v>13200</v>
      </c>
      <c r="J279" s="10" t="s">
        <v>747</v>
      </c>
      <c r="K279" s="10" t="s">
        <v>26</v>
      </c>
    </row>
    <row r="280" customFormat="false" ht="15" hidden="false" customHeight="false" outlineLevel="0" collapsed="false">
      <c r="A280" s="0" t="s">
        <v>537</v>
      </c>
      <c r="B280" s="0" t="s">
        <v>538</v>
      </c>
      <c r="C280" s="0" t="s">
        <v>561</v>
      </c>
      <c r="D280" s="0" t="s">
        <v>20</v>
      </c>
      <c r="E280" s="0" t="s">
        <v>748</v>
      </c>
      <c r="F280" s="11" t="n">
        <v>46284</v>
      </c>
      <c r="G280" s="12" t="n">
        <v>0</v>
      </c>
      <c r="H280" s="12" t="n">
        <v>13200</v>
      </c>
      <c r="I280" s="12" t="n">
        <v>13200</v>
      </c>
      <c r="J280" s="10" t="s">
        <v>747</v>
      </c>
      <c r="K280" s="10" t="s">
        <v>26</v>
      </c>
    </row>
    <row r="281" customFormat="false" ht="15" hidden="false" customHeight="false" outlineLevel="0" collapsed="false">
      <c r="A281" s="0" t="s">
        <v>537</v>
      </c>
      <c r="B281" s="0" t="s">
        <v>538</v>
      </c>
      <c r="C281" s="0" t="s">
        <v>562</v>
      </c>
      <c r="D281" s="0" t="s">
        <v>20</v>
      </c>
      <c r="E281" s="0" t="s">
        <v>748</v>
      </c>
      <c r="F281" s="11" t="n">
        <v>46287</v>
      </c>
      <c r="G281" s="12" t="n">
        <v>0</v>
      </c>
      <c r="H281" s="12" t="n">
        <v>13200</v>
      </c>
      <c r="I281" s="12" t="n">
        <v>13200</v>
      </c>
      <c r="J281" s="10" t="s">
        <v>747</v>
      </c>
      <c r="K281" s="10" t="s">
        <v>26</v>
      </c>
    </row>
    <row r="282" customFormat="false" ht="15" hidden="false" customHeight="false" outlineLevel="0" collapsed="false">
      <c r="A282" s="0" t="s">
        <v>537</v>
      </c>
      <c r="B282" s="0" t="s">
        <v>538</v>
      </c>
      <c r="C282" s="0" t="s">
        <v>563</v>
      </c>
      <c r="D282" s="0" t="s">
        <v>20</v>
      </c>
      <c r="E282" s="0" t="s">
        <v>748</v>
      </c>
      <c r="F282" s="11" t="n">
        <v>46288</v>
      </c>
      <c r="G282" s="12" t="n">
        <v>0</v>
      </c>
      <c r="H282" s="12" t="n">
        <v>13200</v>
      </c>
      <c r="I282" s="12" t="n">
        <v>13200</v>
      </c>
      <c r="J282" s="10" t="s">
        <v>747</v>
      </c>
      <c r="K282" s="10" t="s">
        <v>26</v>
      </c>
    </row>
    <row r="283" customFormat="false" ht="15" hidden="false" customHeight="false" outlineLevel="0" collapsed="false">
      <c r="A283" s="0" t="s">
        <v>537</v>
      </c>
      <c r="B283" s="0" t="s">
        <v>538</v>
      </c>
      <c r="C283" s="0" t="s">
        <v>564</v>
      </c>
      <c r="D283" s="0" t="s">
        <v>20</v>
      </c>
      <c r="E283" s="0" t="s">
        <v>748</v>
      </c>
      <c r="F283" s="11" t="n">
        <v>46291</v>
      </c>
      <c r="G283" s="12" t="n">
        <v>0</v>
      </c>
      <c r="H283" s="12" t="n">
        <v>13200</v>
      </c>
      <c r="I283" s="12" t="n">
        <v>13200</v>
      </c>
      <c r="J283" s="10" t="s">
        <v>747</v>
      </c>
      <c r="K283" s="10" t="s">
        <v>26</v>
      </c>
    </row>
    <row r="284" customFormat="false" ht="15" hidden="false" customHeight="false" outlineLevel="0" collapsed="false">
      <c r="A284" s="0" t="s">
        <v>565</v>
      </c>
      <c r="B284" s="0" t="s">
        <v>566</v>
      </c>
      <c r="C284" s="0" t="s">
        <v>567</v>
      </c>
      <c r="D284" s="0" t="s">
        <v>20</v>
      </c>
      <c r="E284" s="0" t="s">
        <v>748</v>
      </c>
      <c r="F284" s="11" t="n">
        <v>46272</v>
      </c>
      <c r="G284" s="12" t="n">
        <v>49176</v>
      </c>
      <c r="H284" s="12" t="n">
        <v>308000</v>
      </c>
      <c r="I284" s="12" t="n">
        <v>308000</v>
      </c>
      <c r="J284" s="10" t="s">
        <v>747</v>
      </c>
      <c r="K284" s="10" t="s">
        <v>16</v>
      </c>
    </row>
    <row r="285" customFormat="false" ht="15" hidden="false" customHeight="false" outlineLevel="0" collapsed="false">
      <c r="A285" s="0" t="s">
        <v>565</v>
      </c>
      <c r="B285" s="0" t="s">
        <v>566</v>
      </c>
      <c r="C285" s="0" t="s">
        <v>568</v>
      </c>
      <c r="D285" s="0" t="s">
        <v>20</v>
      </c>
      <c r="E285" s="0" t="s">
        <v>748</v>
      </c>
      <c r="F285" s="11" t="n">
        <v>46295</v>
      </c>
      <c r="G285" s="12" t="n">
        <v>0</v>
      </c>
      <c r="H285" s="12" t="n">
        <v>3000</v>
      </c>
      <c r="I285" s="12" t="n">
        <v>3000</v>
      </c>
      <c r="J285" s="10" t="s">
        <v>747</v>
      </c>
      <c r="K285" s="10" t="s">
        <v>16</v>
      </c>
    </row>
    <row r="286" customFormat="false" ht="15" hidden="false" customHeight="false" outlineLevel="0" collapsed="false">
      <c r="A286" s="0" t="s">
        <v>565</v>
      </c>
      <c r="B286" s="0" t="s">
        <v>566</v>
      </c>
      <c r="C286" s="0" t="s">
        <v>569</v>
      </c>
      <c r="D286" s="0" t="s">
        <v>20</v>
      </c>
      <c r="E286" s="0" t="s">
        <v>748</v>
      </c>
      <c r="F286" s="11" t="n">
        <v>46295</v>
      </c>
      <c r="G286" s="12" t="n">
        <v>4215</v>
      </c>
      <c r="H286" s="12" t="n">
        <v>26400</v>
      </c>
      <c r="I286" s="12" t="n">
        <v>26400</v>
      </c>
      <c r="J286" s="10" t="s">
        <v>747</v>
      </c>
      <c r="K286" s="10" t="s">
        <v>16</v>
      </c>
    </row>
    <row r="287" customFormat="false" ht="15" hidden="false" customHeight="false" outlineLevel="0" collapsed="false">
      <c r="A287" s="0" t="s">
        <v>565</v>
      </c>
      <c r="B287" s="0" t="s">
        <v>566</v>
      </c>
      <c r="C287" s="0" t="s">
        <v>570</v>
      </c>
      <c r="D287" s="0" t="s">
        <v>20</v>
      </c>
      <c r="E287" s="0" t="s">
        <v>748</v>
      </c>
      <c r="F287" s="11" t="n">
        <v>46295</v>
      </c>
      <c r="G287" s="12" t="n">
        <v>4418</v>
      </c>
      <c r="H287" s="12" t="n">
        <v>27670</v>
      </c>
      <c r="I287" s="12" t="n">
        <v>27670</v>
      </c>
      <c r="J287" s="10" t="s">
        <v>747</v>
      </c>
      <c r="K287" s="10" t="s">
        <v>16</v>
      </c>
    </row>
    <row r="288" customFormat="false" ht="15" hidden="false" customHeight="false" outlineLevel="0" collapsed="false">
      <c r="A288" s="0" t="s">
        <v>565</v>
      </c>
      <c r="B288" s="0" t="s">
        <v>566</v>
      </c>
      <c r="C288" s="0" t="s">
        <v>571</v>
      </c>
      <c r="D288" s="0" t="s">
        <v>20</v>
      </c>
      <c r="E288" s="0" t="s">
        <v>748</v>
      </c>
      <c r="F288" s="11" t="n">
        <v>46295</v>
      </c>
      <c r="G288" s="12" t="n">
        <v>3856</v>
      </c>
      <c r="H288" s="12" t="n">
        <v>24150</v>
      </c>
      <c r="I288" s="12" t="n">
        <v>24150</v>
      </c>
      <c r="J288" s="10" t="s">
        <v>747</v>
      </c>
      <c r="K288" s="10" t="s">
        <v>16</v>
      </c>
    </row>
    <row r="289" customFormat="false" ht="15" hidden="false" customHeight="false" outlineLevel="0" collapsed="false">
      <c r="A289" s="0" t="s">
        <v>565</v>
      </c>
      <c r="B289" s="0" t="s">
        <v>566</v>
      </c>
      <c r="C289" s="0" t="s">
        <v>572</v>
      </c>
      <c r="D289" s="0" t="s">
        <v>20</v>
      </c>
      <c r="E289" s="0" t="s">
        <v>748</v>
      </c>
      <c r="F289" s="11" t="n">
        <v>46295</v>
      </c>
      <c r="G289" s="12" t="n">
        <v>2850</v>
      </c>
      <c r="H289" s="12" t="n">
        <v>17850</v>
      </c>
      <c r="I289" s="12" t="n">
        <v>17850</v>
      </c>
      <c r="J289" s="10" t="s">
        <v>747</v>
      </c>
      <c r="K289" s="10" t="s">
        <v>16</v>
      </c>
    </row>
    <row r="290" customFormat="false" ht="15" hidden="false" customHeight="false" outlineLevel="0" collapsed="false">
      <c r="A290" s="0" t="s">
        <v>573</v>
      </c>
      <c r="B290" s="0" t="s">
        <v>574</v>
      </c>
      <c r="C290" s="0" t="s">
        <v>575</v>
      </c>
      <c r="D290" s="0" t="s">
        <v>20</v>
      </c>
      <c r="E290" s="0" t="s">
        <v>748</v>
      </c>
      <c r="F290" s="11" t="n">
        <v>46273</v>
      </c>
      <c r="G290" s="12" t="n">
        <v>0</v>
      </c>
      <c r="H290" s="12" t="n">
        <v>8000</v>
      </c>
      <c r="I290" s="12" t="n">
        <v>8000</v>
      </c>
      <c r="J290" s="10" t="s">
        <v>747</v>
      </c>
      <c r="K290" s="10" t="s">
        <v>16</v>
      </c>
    </row>
    <row r="291" customFormat="false" ht="15" hidden="false" customHeight="false" outlineLevel="0" collapsed="false">
      <c r="A291" s="0" t="s">
        <v>576</v>
      </c>
      <c r="B291" s="0" t="s">
        <v>577</v>
      </c>
      <c r="C291" s="0" t="s">
        <v>578</v>
      </c>
      <c r="D291" s="0" t="s">
        <v>15</v>
      </c>
      <c r="E291" s="0" t="s">
        <v>746</v>
      </c>
      <c r="F291" s="11" t="n">
        <v>46279</v>
      </c>
      <c r="G291" s="12" t="n">
        <v>0</v>
      </c>
      <c r="H291" s="12" t="n">
        <v>1773275</v>
      </c>
      <c r="I291" s="12" t="n">
        <v>1773275</v>
      </c>
      <c r="J291" s="10" t="s">
        <v>747</v>
      </c>
      <c r="K291" s="10" t="s">
        <v>16</v>
      </c>
    </row>
    <row r="292" customFormat="false" ht="15" hidden="false" customHeight="false" outlineLevel="0" collapsed="false">
      <c r="A292" s="0" t="s">
        <v>579</v>
      </c>
      <c r="B292" s="0" t="s">
        <v>580</v>
      </c>
      <c r="C292" s="0" t="s">
        <v>581</v>
      </c>
      <c r="D292" s="0" t="s">
        <v>15</v>
      </c>
      <c r="E292" s="0" t="s">
        <v>746</v>
      </c>
      <c r="F292" s="11" t="n">
        <v>46268</v>
      </c>
      <c r="G292" s="12" t="n">
        <v>0</v>
      </c>
      <c r="H292" s="12" t="n">
        <v>2300000</v>
      </c>
      <c r="I292" s="12" t="n">
        <v>2300000</v>
      </c>
      <c r="J292" s="10" t="s">
        <v>747</v>
      </c>
      <c r="K292" s="10" t="s">
        <v>40</v>
      </c>
    </row>
    <row r="293" customFormat="false" ht="15" hidden="false" customHeight="false" outlineLevel="0" collapsed="false">
      <c r="A293" s="0" t="s">
        <v>579</v>
      </c>
      <c r="B293" s="0" t="s">
        <v>580</v>
      </c>
      <c r="C293" s="0" t="s">
        <v>582</v>
      </c>
      <c r="D293" s="0" t="s">
        <v>15</v>
      </c>
      <c r="E293" s="0" t="s">
        <v>746</v>
      </c>
      <c r="F293" s="11" t="n">
        <v>46294</v>
      </c>
      <c r="G293" s="12" t="n">
        <v>0</v>
      </c>
      <c r="H293" s="12" t="n">
        <v>2300000</v>
      </c>
      <c r="I293" s="12" t="n">
        <v>2300000</v>
      </c>
      <c r="J293" s="10" t="s">
        <v>747</v>
      </c>
      <c r="K293" s="10" t="s">
        <v>40</v>
      </c>
    </row>
    <row r="294" customFormat="false" ht="15" hidden="false" customHeight="false" outlineLevel="0" collapsed="false">
      <c r="A294" s="0" t="s">
        <v>583</v>
      </c>
      <c r="B294" s="0" t="s">
        <v>584</v>
      </c>
      <c r="C294" s="0" t="s">
        <v>585</v>
      </c>
      <c r="D294" s="0" t="s">
        <v>15</v>
      </c>
      <c r="E294" s="0" t="s">
        <v>746</v>
      </c>
      <c r="F294" s="11" t="n">
        <v>46289</v>
      </c>
      <c r="G294" s="12" t="n">
        <v>0</v>
      </c>
      <c r="H294" s="12" t="n">
        <v>300000</v>
      </c>
      <c r="I294" s="12" t="n">
        <v>300000</v>
      </c>
      <c r="J294" s="10" t="s">
        <v>747</v>
      </c>
      <c r="K294" s="10" t="s">
        <v>16</v>
      </c>
    </row>
    <row r="295" customFormat="false" ht="15" hidden="false" customHeight="false" outlineLevel="0" collapsed="false">
      <c r="A295" s="0" t="s">
        <v>586</v>
      </c>
      <c r="B295" s="0" t="s">
        <v>587</v>
      </c>
      <c r="C295" s="0" t="s">
        <v>588</v>
      </c>
      <c r="D295" s="0" t="s">
        <v>15</v>
      </c>
      <c r="E295" s="0" t="s">
        <v>746</v>
      </c>
      <c r="F295" s="11" t="n">
        <v>46268</v>
      </c>
      <c r="G295" s="12" t="n">
        <v>0</v>
      </c>
      <c r="H295" s="12" t="n">
        <v>2000000</v>
      </c>
      <c r="I295" s="12" t="n">
        <v>2000000</v>
      </c>
      <c r="J295" s="10" t="s">
        <v>747</v>
      </c>
      <c r="K295" s="10" t="s">
        <v>40</v>
      </c>
    </row>
    <row r="296" customFormat="false" ht="15" hidden="false" customHeight="false" outlineLevel="0" collapsed="false">
      <c r="A296" s="0" t="s">
        <v>586</v>
      </c>
      <c r="B296" s="0" t="s">
        <v>587</v>
      </c>
      <c r="C296" s="0" t="s">
        <v>589</v>
      </c>
      <c r="D296" s="0" t="s">
        <v>15</v>
      </c>
      <c r="E296" s="0" t="s">
        <v>746</v>
      </c>
      <c r="F296" s="11" t="n">
        <v>46294</v>
      </c>
      <c r="G296" s="12" t="n">
        <v>0</v>
      </c>
      <c r="H296" s="12" t="n">
        <v>2000000</v>
      </c>
      <c r="I296" s="12" t="n">
        <v>2000000</v>
      </c>
      <c r="J296" s="10" t="s">
        <v>747</v>
      </c>
      <c r="K296" s="10" t="s">
        <v>40</v>
      </c>
    </row>
    <row r="297" customFormat="false" ht="15" hidden="false" customHeight="false" outlineLevel="0" collapsed="false">
      <c r="A297" s="0" t="s">
        <v>590</v>
      </c>
      <c r="B297" s="0" t="s">
        <v>591</v>
      </c>
      <c r="C297" s="0" t="s">
        <v>592</v>
      </c>
      <c r="D297" s="0" t="s">
        <v>20</v>
      </c>
      <c r="E297" s="0" t="s">
        <v>748</v>
      </c>
      <c r="F297" s="11" t="n">
        <v>46268</v>
      </c>
      <c r="G297" s="12" t="n">
        <v>1597520</v>
      </c>
      <c r="H297" s="12" t="n">
        <v>10005520</v>
      </c>
      <c r="I297" s="12" t="n">
        <v>10005520</v>
      </c>
      <c r="J297" s="10" t="s">
        <v>747</v>
      </c>
      <c r="K297" s="10" t="s">
        <v>40</v>
      </c>
    </row>
    <row r="298" customFormat="false" ht="15" hidden="false" customHeight="false" outlineLevel="0" collapsed="false">
      <c r="A298" s="0" t="s">
        <v>593</v>
      </c>
      <c r="B298" s="0" t="s">
        <v>594</v>
      </c>
      <c r="C298" s="0" t="s">
        <v>595</v>
      </c>
      <c r="D298" s="0" t="s">
        <v>20</v>
      </c>
      <c r="E298" s="0" t="s">
        <v>748</v>
      </c>
      <c r="F298" s="11" t="n">
        <v>46286</v>
      </c>
      <c r="G298" s="12" t="n">
        <v>0</v>
      </c>
      <c r="H298" s="12" t="n">
        <v>14221</v>
      </c>
      <c r="I298" s="12" t="n">
        <v>14221</v>
      </c>
      <c r="J298" s="10" t="s">
        <v>747</v>
      </c>
      <c r="K298" s="10" t="s">
        <v>26</v>
      </c>
    </row>
    <row r="299" customFormat="false" ht="15" hidden="false" customHeight="false" outlineLevel="0" collapsed="false">
      <c r="A299" s="0" t="s">
        <v>593</v>
      </c>
      <c r="B299" s="0" t="s">
        <v>594</v>
      </c>
      <c r="C299" s="0" t="s">
        <v>596</v>
      </c>
      <c r="D299" s="0" t="s">
        <v>20</v>
      </c>
      <c r="E299" s="0" t="s">
        <v>748</v>
      </c>
      <c r="F299" s="11" t="n">
        <v>46286</v>
      </c>
      <c r="G299" s="12" t="n">
        <v>0</v>
      </c>
      <c r="H299" s="12" t="n">
        <v>10000</v>
      </c>
      <c r="I299" s="12" t="n">
        <v>10000</v>
      </c>
      <c r="J299" s="10" t="s">
        <v>747</v>
      </c>
      <c r="K299" s="10" t="s">
        <v>26</v>
      </c>
    </row>
    <row r="300" customFormat="false" ht="15" hidden="false" customHeight="false" outlineLevel="0" collapsed="false">
      <c r="A300" s="0" t="s">
        <v>597</v>
      </c>
      <c r="B300" s="0" t="s">
        <v>598</v>
      </c>
      <c r="C300" s="0" t="s">
        <v>599</v>
      </c>
      <c r="D300" s="0" t="s">
        <v>20</v>
      </c>
      <c r="E300" s="0" t="s">
        <v>748</v>
      </c>
      <c r="F300" s="11" t="n">
        <v>46293</v>
      </c>
      <c r="G300" s="12" t="n">
        <v>0</v>
      </c>
      <c r="H300" s="12" t="n">
        <v>12666650</v>
      </c>
      <c r="I300" s="12" t="n">
        <v>12666650</v>
      </c>
      <c r="J300" s="10" t="s">
        <v>747</v>
      </c>
      <c r="K300" s="10" t="s">
        <v>40</v>
      </c>
    </row>
    <row r="301" customFormat="false" ht="15" hidden="false" customHeight="false" outlineLevel="0" collapsed="false">
      <c r="A301" s="0" t="s">
        <v>600</v>
      </c>
      <c r="B301" s="0" t="s">
        <v>601</v>
      </c>
      <c r="C301" s="0" t="s">
        <v>602</v>
      </c>
      <c r="D301" s="0" t="s">
        <v>15</v>
      </c>
      <c r="E301" s="0" t="s">
        <v>746</v>
      </c>
      <c r="F301" s="11" t="n">
        <v>46287</v>
      </c>
      <c r="G301" s="12" t="n">
        <v>0</v>
      </c>
      <c r="H301" s="12" t="n">
        <v>24000</v>
      </c>
      <c r="I301" s="12" t="n">
        <v>24000</v>
      </c>
      <c r="J301" s="10" t="s">
        <v>747</v>
      </c>
      <c r="K301" s="10" t="s">
        <v>16</v>
      </c>
    </row>
    <row r="302" customFormat="false" ht="15" hidden="false" customHeight="false" outlineLevel="0" collapsed="false">
      <c r="A302" s="0" t="s">
        <v>600</v>
      </c>
      <c r="B302" s="0" t="s">
        <v>601</v>
      </c>
      <c r="C302" s="0" t="s">
        <v>603</v>
      </c>
      <c r="D302" s="0" t="s">
        <v>15</v>
      </c>
      <c r="E302" s="0" t="s">
        <v>746</v>
      </c>
      <c r="F302" s="11" t="n">
        <v>46289</v>
      </c>
      <c r="G302" s="12" t="n">
        <v>0</v>
      </c>
      <c r="H302" s="12" t="n">
        <v>24000</v>
      </c>
      <c r="I302" s="12" t="n">
        <v>24000</v>
      </c>
      <c r="J302" s="10" t="s">
        <v>747</v>
      </c>
      <c r="K302" s="10" t="s">
        <v>16</v>
      </c>
    </row>
    <row r="303" customFormat="false" ht="15" hidden="false" customHeight="false" outlineLevel="0" collapsed="false">
      <c r="A303" s="0" t="s">
        <v>604</v>
      </c>
      <c r="B303" s="0" t="s">
        <v>605</v>
      </c>
      <c r="C303" s="0" t="s">
        <v>606</v>
      </c>
      <c r="D303" s="0" t="s">
        <v>20</v>
      </c>
      <c r="E303" s="0" t="s">
        <v>748</v>
      </c>
      <c r="F303" s="11" t="n">
        <v>46267</v>
      </c>
      <c r="G303" s="12" t="n">
        <v>33750</v>
      </c>
      <c r="H303" s="12" t="n">
        <v>708750</v>
      </c>
      <c r="I303" s="12" t="n">
        <v>708750</v>
      </c>
      <c r="J303" s="10" t="s">
        <v>747</v>
      </c>
      <c r="K303" s="10" t="s">
        <v>16</v>
      </c>
    </row>
    <row r="304" customFormat="false" ht="15" hidden="false" customHeight="false" outlineLevel="0" collapsed="false">
      <c r="A304" s="0" t="s">
        <v>607</v>
      </c>
      <c r="B304" s="0" t="s">
        <v>608</v>
      </c>
      <c r="C304" s="0" t="s">
        <v>609</v>
      </c>
      <c r="D304" s="0" t="s">
        <v>20</v>
      </c>
      <c r="E304" s="0" t="s">
        <v>748</v>
      </c>
      <c r="F304" s="11" t="n">
        <v>46280</v>
      </c>
      <c r="G304" s="12" t="n">
        <v>47404.2</v>
      </c>
      <c r="H304" s="12" t="n">
        <v>296900</v>
      </c>
      <c r="I304" s="12" t="n">
        <v>296900</v>
      </c>
      <c r="J304" s="10" t="s">
        <v>747</v>
      </c>
      <c r="K304" s="10" t="s">
        <v>16</v>
      </c>
    </row>
    <row r="305" customFormat="false" ht="15" hidden="false" customHeight="false" outlineLevel="0" collapsed="false">
      <c r="A305" s="0" t="s">
        <v>610</v>
      </c>
      <c r="B305" s="0" t="s">
        <v>611</v>
      </c>
      <c r="C305" s="0" t="s">
        <v>612</v>
      </c>
      <c r="D305" s="0" t="s">
        <v>20</v>
      </c>
      <c r="E305" s="0" t="s">
        <v>748</v>
      </c>
      <c r="F305" s="11" t="n">
        <v>46286</v>
      </c>
      <c r="G305" s="12" t="n">
        <v>50312.69</v>
      </c>
      <c r="H305" s="12" t="n">
        <v>315116.34</v>
      </c>
      <c r="I305" s="12" t="n">
        <v>315116.34</v>
      </c>
      <c r="J305" s="10" t="s">
        <v>747</v>
      </c>
      <c r="K305" s="10" t="s">
        <v>26</v>
      </c>
    </row>
    <row r="306" customFormat="false" ht="15" hidden="false" customHeight="false" outlineLevel="0" collapsed="false">
      <c r="A306" s="0" t="s">
        <v>613</v>
      </c>
      <c r="B306" s="0" t="s">
        <v>614</v>
      </c>
      <c r="C306" s="0" t="s">
        <v>615</v>
      </c>
      <c r="D306" s="0" t="s">
        <v>15</v>
      </c>
      <c r="E306" s="0" t="s">
        <v>746</v>
      </c>
      <c r="F306" s="11" t="n">
        <v>46279</v>
      </c>
      <c r="G306" s="12" t="n">
        <v>0</v>
      </c>
      <c r="H306" s="12" t="n">
        <v>2000</v>
      </c>
      <c r="I306" s="12" t="n">
        <v>2000</v>
      </c>
      <c r="J306" s="10" t="s">
        <v>747</v>
      </c>
      <c r="K306" s="10" t="s">
        <v>16</v>
      </c>
    </row>
    <row r="307" customFormat="false" ht="15" hidden="false" customHeight="false" outlineLevel="0" collapsed="false">
      <c r="A307" s="0" t="s">
        <v>613</v>
      </c>
      <c r="B307" s="0" t="s">
        <v>614</v>
      </c>
      <c r="C307" s="0" t="s">
        <v>616</v>
      </c>
      <c r="D307" s="0" t="s">
        <v>15</v>
      </c>
      <c r="E307" s="0" t="s">
        <v>746</v>
      </c>
      <c r="F307" s="11" t="n">
        <v>46290</v>
      </c>
      <c r="G307" s="12" t="n">
        <v>0</v>
      </c>
      <c r="H307" s="12" t="n">
        <v>4000</v>
      </c>
      <c r="I307" s="12" t="n">
        <v>4000</v>
      </c>
      <c r="J307" s="10" t="s">
        <v>747</v>
      </c>
      <c r="K307" s="10" t="s">
        <v>16</v>
      </c>
    </row>
    <row r="308" customFormat="false" ht="15" hidden="false" customHeight="false" outlineLevel="0" collapsed="false">
      <c r="A308" s="0" t="s">
        <v>617</v>
      </c>
      <c r="B308" s="0" t="s">
        <v>618</v>
      </c>
      <c r="C308" s="0" t="s">
        <v>619</v>
      </c>
      <c r="D308" s="0" t="s">
        <v>20</v>
      </c>
      <c r="E308" s="0" t="s">
        <v>748</v>
      </c>
      <c r="F308" s="11" t="n">
        <v>46293</v>
      </c>
      <c r="G308" s="12" t="n">
        <v>6386.55</v>
      </c>
      <c r="H308" s="12" t="n">
        <v>40000</v>
      </c>
      <c r="I308" s="12" t="n">
        <v>40000</v>
      </c>
      <c r="J308" s="10" t="s">
        <v>747</v>
      </c>
      <c r="K308" s="10" t="s">
        <v>26</v>
      </c>
    </row>
    <row r="309" customFormat="false" ht="15" hidden="false" customHeight="false" outlineLevel="0" collapsed="false">
      <c r="A309" s="0" t="s">
        <v>620</v>
      </c>
      <c r="B309" s="0" t="s">
        <v>621</v>
      </c>
      <c r="C309" s="0" t="s">
        <v>622</v>
      </c>
      <c r="D309" s="0" t="s">
        <v>20</v>
      </c>
      <c r="E309" s="0" t="s">
        <v>748</v>
      </c>
      <c r="F309" s="11" t="n">
        <v>46286</v>
      </c>
      <c r="G309" s="12" t="n">
        <v>0</v>
      </c>
      <c r="H309" s="12" t="n">
        <v>195500</v>
      </c>
      <c r="I309" s="12" t="n">
        <v>195500</v>
      </c>
      <c r="J309" s="10" t="s">
        <v>747</v>
      </c>
      <c r="K309" s="10" t="s">
        <v>16</v>
      </c>
    </row>
    <row r="310" customFormat="false" ht="15" hidden="false" customHeight="false" outlineLevel="0" collapsed="false">
      <c r="A310" s="0" t="s">
        <v>620</v>
      </c>
      <c r="B310" s="0" t="s">
        <v>621</v>
      </c>
      <c r="C310" s="0" t="s">
        <v>623</v>
      </c>
      <c r="D310" s="0" t="s">
        <v>20</v>
      </c>
      <c r="E310" s="0" t="s">
        <v>748</v>
      </c>
      <c r="F310" s="11" t="n">
        <v>46293</v>
      </c>
      <c r="G310" s="12" t="n">
        <v>0</v>
      </c>
      <c r="H310" s="12" t="n">
        <v>49500</v>
      </c>
      <c r="I310" s="12" t="n">
        <v>49500</v>
      </c>
      <c r="J310" s="10" t="s">
        <v>747</v>
      </c>
      <c r="K310" s="10" t="s">
        <v>16</v>
      </c>
    </row>
    <row r="311" customFormat="false" ht="15" hidden="false" customHeight="false" outlineLevel="0" collapsed="false">
      <c r="A311" s="0" t="s">
        <v>620</v>
      </c>
      <c r="B311" s="0" t="s">
        <v>621</v>
      </c>
      <c r="C311" s="0" t="s">
        <v>624</v>
      </c>
      <c r="D311" s="0" t="s">
        <v>20</v>
      </c>
      <c r="E311" s="0" t="s">
        <v>748</v>
      </c>
      <c r="F311" s="11" t="n">
        <v>46293</v>
      </c>
      <c r="G311" s="12" t="n">
        <v>0</v>
      </c>
      <c r="H311" s="12" t="n">
        <v>20000</v>
      </c>
      <c r="I311" s="12" t="n">
        <v>20000</v>
      </c>
      <c r="J311" s="10" t="s">
        <v>747</v>
      </c>
      <c r="K311" s="10" t="s">
        <v>26</v>
      </c>
    </row>
    <row r="312" customFormat="false" ht="15" hidden="false" customHeight="false" outlineLevel="0" collapsed="false">
      <c r="A312" s="0" t="s">
        <v>625</v>
      </c>
      <c r="B312" s="0" t="s">
        <v>626</v>
      </c>
      <c r="C312" s="0" t="s">
        <v>627</v>
      </c>
      <c r="D312" s="0" t="s">
        <v>20</v>
      </c>
      <c r="E312" s="0" t="s">
        <v>748</v>
      </c>
      <c r="F312" s="11" t="n">
        <v>46268</v>
      </c>
      <c r="G312" s="12" t="n">
        <v>190000</v>
      </c>
      <c r="H312" s="12" t="n">
        <v>1190000</v>
      </c>
      <c r="I312" s="12" t="n">
        <v>1190000</v>
      </c>
      <c r="J312" s="10" t="s">
        <v>747</v>
      </c>
      <c r="K312" s="10" t="s">
        <v>16</v>
      </c>
    </row>
    <row r="313" customFormat="false" ht="15" hidden="false" customHeight="false" outlineLevel="0" collapsed="false">
      <c r="A313" s="0" t="s">
        <v>628</v>
      </c>
      <c r="B313" s="0" t="s">
        <v>629</v>
      </c>
      <c r="C313" s="0" t="s">
        <v>630</v>
      </c>
      <c r="D313" s="0" t="s">
        <v>20</v>
      </c>
      <c r="E313" s="0" t="s">
        <v>748</v>
      </c>
      <c r="F313" s="11" t="n">
        <v>46281</v>
      </c>
      <c r="G313" s="12" t="n">
        <v>11974.79</v>
      </c>
      <c r="H313" s="12" t="n">
        <v>75000</v>
      </c>
      <c r="I313" s="12" t="n">
        <v>75000</v>
      </c>
      <c r="J313" s="10" t="s">
        <v>747</v>
      </c>
      <c r="K313" s="10" t="s">
        <v>16</v>
      </c>
    </row>
    <row r="314" customFormat="false" ht="15" hidden="false" customHeight="false" outlineLevel="0" collapsed="false">
      <c r="A314" s="0" t="s">
        <v>631</v>
      </c>
      <c r="B314" s="0" t="s">
        <v>632</v>
      </c>
      <c r="C314" s="0" t="s">
        <v>633</v>
      </c>
      <c r="D314" s="0" t="s">
        <v>20</v>
      </c>
      <c r="E314" s="0" t="s">
        <v>748</v>
      </c>
      <c r="F314" s="11" t="n">
        <v>46281</v>
      </c>
      <c r="G314" s="12" t="n">
        <v>0</v>
      </c>
      <c r="H314" s="12" t="n">
        <v>15000</v>
      </c>
      <c r="I314" s="12" t="n">
        <v>15000</v>
      </c>
      <c r="J314" s="10" t="s">
        <v>747</v>
      </c>
      <c r="K314" s="10" t="s">
        <v>26</v>
      </c>
    </row>
    <row r="315" customFormat="false" ht="15" hidden="false" customHeight="false" outlineLevel="0" collapsed="false">
      <c r="A315" s="0" t="s">
        <v>631</v>
      </c>
      <c r="B315" s="0" t="s">
        <v>632</v>
      </c>
      <c r="C315" s="0" t="s">
        <v>634</v>
      </c>
      <c r="D315" s="0" t="s">
        <v>20</v>
      </c>
      <c r="E315" s="0" t="s">
        <v>748</v>
      </c>
      <c r="F315" s="11" t="n">
        <v>46288</v>
      </c>
      <c r="G315" s="12" t="n">
        <v>0</v>
      </c>
      <c r="H315" s="12" t="n">
        <v>14015</v>
      </c>
      <c r="I315" s="12" t="n">
        <v>14015</v>
      </c>
      <c r="J315" s="10" t="s">
        <v>747</v>
      </c>
      <c r="K315" s="10" t="s">
        <v>26</v>
      </c>
    </row>
    <row r="316" customFormat="false" ht="15" hidden="false" customHeight="false" outlineLevel="0" collapsed="false">
      <c r="A316" s="0" t="s">
        <v>635</v>
      </c>
      <c r="B316" s="0" t="s">
        <v>636</v>
      </c>
      <c r="C316" s="0" t="s">
        <v>637</v>
      </c>
      <c r="D316" s="0" t="s">
        <v>20</v>
      </c>
      <c r="E316" s="0" t="s">
        <v>748</v>
      </c>
      <c r="F316" s="11" t="n">
        <v>46266</v>
      </c>
      <c r="G316" s="12" t="n">
        <v>11034</v>
      </c>
      <c r="H316" s="12" t="n">
        <v>398202</v>
      </c>
      <c r="I316" s="12" t="n">
        <v>398202</v>
      </c>
      <c r="J316" s="10" t="s">
        <v>747</v>
      </c>
      <c r="K316" s="10" t="s">
        <v>16</v>
      </c>
    </row>
    <row r="317" customFormat="false" ht="15" hidden="false" customHeight="false" outlineLevel="0" collapsed="false">
      <c r="A317" s="0" t="s">
        <v>638</v>
      </c>
      <c r="B317" s="0" t="s">
        <v>639</v>
      </c>
      <c r="C317" s="0" t="s">
        <v>640</v>
      </c>
      <c r="D317" s="0" t="s">
        <v>20</v>
      </c>
      <c r="E317" s="0" t="s">
        <v>748</v>
      </c>
      <c r="F317" s="11" t="n">
        <v>46281</v>
      </c>
      <c r="G317" s="12" t="n">
        <v>67260</v>
      </c>
      <c r="H317" s="12" t="n">
        <v>421260</v>
      </c>
      <c r="I317" s="12" t="n">
        <v>421260</v>
      </c>
      <c r="J317" s="10" t="s">
        <v>747</v>
      </c>
      <c r="K317" s="10" t="s">
        <v>16</v>
      </c>
    </row>
    <row r="318" customFormat="false" ht="15" hidden="false" customHeight="false" outlineLevel="0" collapsed="false">
      <c r="A318" s="0" t="s">
        <v>641</v>
      </c>
      <c r="B318" s="0" t="s">
        <v>642</v>
      </c>
      <c r="C318" s="0" t="s">
        <v>643</v>
      </c>
      <c r="D318" s="0" t="s">
        <v>20</v>
      </c>
      <c r="E318" s="0" t="s">
        <v>748</v>
      </c>
      <c r="F318" s="11" t="n">
        <v>46271</v>
      </c>
      <c r="G318" s="12" t="n">
        <v>0</v>
      </c>
      <c r="H318" s="12" t="n">
        <v>1330374</v>
      </c>
      <c r="I318" s="12" t="n">
        <v>1330374</v>
      </c>
      <c r="J318" s="10" t="s">
        <v>747</v>
      </c>
      <c r="K318" s="10" t="s">
        <v>26</v>
      </c>
    </row>
    <row r="319" customFormat="false" ht="15" hidden="false" customHeight="false" outlineLevel="0" collapsed="false">
      <c r="A319" s="0" t="s">
        <v>644</v>
      </c>
      <c r="B319" s="0" t="s">
        <v>645</v>
      </c>
      <c r="C319" s="0" t="s">
        <v>646</v>
      </c>
      <c r="D319" s="0" t="s">
        <v>20</v>
      </c>
      <c r="E319" s="0" t="s">
        <v>748</v>
      </c>
      <c r="F319" s="11" t="n">
        <v>46269</v>
      </c>
      <c r="G319" s="12" t="n">
        <v>1435469.76</v>
      </c>
      <c r="H319" s="12" t="n">
        <v>8990573.76</v>
      </c>
      <c r="I319" s="12" t="n">
        <v>8990573.76</v>
      </c>
      <c r="J319" s="10" t="s">
        <v>747</v>
      </c>
      <c r="K319" s="10" t="s">
        <v>26</v>
      </c>
    </row>
    <row r="320" customFormat="false" ht="15" hidden="false" customHeight="false" outlineLevel="0" collapsed="false">
      <c r="A320" s="0" t="s">
        <v>647</v>
      </c>
      <c r="B320" s="0" t="s">
        <v>648</v>
      </c>
      <c r="C320" s="0" t="s">
        <v>649</v>
      </c>
      <c r="D320" s="0" t="s">
        <v>20</v>
      </c>
      <c r="E320" s="0" t="s">
        <v>748</v>
      </c>
      <c r="F320" s="11" t="n">
        <v>46266</v>
      </c>
      <c r="G320" s="12" t="n">
        <v>0</v>
      </c>
      <c r="H320" s="12" t="n">
        <v>17783</v>
      </c>
      <c r="I320" s="12" t="n">
        <v>17783</v>
      </c>
      <c r="J320" s="10" t="s">
        <v>747</v>
      </c>
      <c r="K320" s="10" t="s">
        <v>26</v>
      </c>
    </row>
    <row r="321" customFormat="false" ht="15" hidden="false" customHeight="false" outlineLevel="0" collapsed="false">
      <c r="A321" s="0" t="s">
        <v>647</v>
      </c>
      <c r="B321" s="0" t="s">
        <v>648</v>
      </c>
      <c r="C321" s="0" t="s">
        <v>650</v>
      </c>
      <c r="D321" s="0" t="s">
        <v>20</v>
      </c>
      <c r="E321" s="0" t="s">
        <v>748</v>
      </c>
      <c r="F321" s="11" t="n">
        <v>46275</v>
      </c>
      <c r="G321" s="12" t="n">
        <v>0</v>
      </c>
      <c r="H321" s="12" t="n">
        <v>15000</v>
      </c>
      <c r="I321" s="12" t="n">
        <v>15000</v>
      </c>
      <c r="J321" s="10" t="s">
        <v>747</v>
      </c>
      <c r="K321" s="10" t="s">
        <v>26</v>
      </c>
    </row>
    <row r="322" customFormat="false" ht="15" hidden="false" customHeight="false" outlineLevel="0" collapsed="false">
      <c r="A322" s="0" t="s">
        <v>647</v>
      </c>
      <c r="B322" s="0" t="s">
        <v>648</v>
      </c>
      <c r="C322" s="0" t="s">
        <v>651</v>
      </c>
      <c r="D322" s="0" t="s">
        <v>20</v>
      </c>
      <c r="E322" s="0" t="s">
        <v>748</v>
      </c>
      <c r="F322" s="11" t="n">
        <v>46282</v>
      </c>
      <c r="G322" s="12" t="n">
        <v>0</v>
      </c>
      <c r="H322" s="12" t="n">
        <v>17017</v>
      </c>
      <c r="I322" s="12" t="n">
        <v>17017</v>
      </c>
      <c r="J322" s="10" t="s">
        <v>747</v>
      </c>
      <c r="K322" s="10" t="s">
        <v>26</v>
      </c>
    </row>
    <row r="323" customFormat="false" ht="15" hidden="false" customHeight="false" outlineLevel="0" collapsed="false">
      <c r="A323" s="0" t="s">
        <v>647</v>
      </c>
      <c r="B323" s="0" t="s">
        <v>648</v>
      </c>
      <c r="C323" s="0" t="s">
        <v>652</v>
      </c>
      <c r="D323" s="0" t="s">
        <v>20</v>
      </c>
      <c r="E323" s="0" t="s">
        <v>748</v>
      </c>
      <c r="F323" s="11" t="n">
        <v>46289</v>
      </c>
      <c r="G323" s="12" t="n">
        <v>0</v>
      </c>
      <c r="H323" s="12" t="n">
        <v>14000</v>
      </c>
      <c r="I323" s="12" t="n">
        <v>14000</v>
      </c>
      <c r="J323" s="10" t="s">
        <v>747</v>
      </c>
      <c r="K323" s="10" t="s">
        <v>26</v>
      </c>
    </row>
    <row r="324" customFormat="false" ht="15" hidden="false" customHeight="false" outlineLevel="0" collapsed="false">
      <c r="A324" s="0" t="s">
        <v>653</v>
      </c>
      <c r="B324" s="0" t="s">
        <v>654</v>
      </c>
      <c r="C324" s="0" t="s">
        <v>655</v>
      </c>
      <c r="D324" s="0" t="s">
        <v>20</v>
      </c>
      <c r="E324" s="0" t="s">
        <v>748</v>
      </c>
      <c r="F324" s="11" t="n">
        <v>46266</v>
      </c>
      <c r="G324" s="12" t="n">
        <v>4731</v>
      </c>
      <c r="H324" s="12" t="n">
        <v>329535</v>
      </c>
      <c r="I324" s="12" t="n">
        <v>329535</v>
      </c>
      <c r="J324" s="10" t="s">
        <v>747</v>
      </c>
      <c r="K324" s="10" t="s">
        <v>16</v>
      </c>
    </row>
    <row r="325" customFormat="false" ht="15" hidden="false" customHeight="false" outlineLevel="0" collapsed="false">
      <c r="A325" s="0" t="s">
        <v>656</v>
      </c>
      <c r="B325" s="0" t="s">
        <v>657</v>
      </c>
      <c r="C325" s="0" t="s">
        <v>658</v>
      </c>
      <c r="D325" s="0" t="s">
        <v>20</v>
      </c>
      <c r="E325" s="0" t="s">
        <v>748</v>
      </c>
      <c r="F325" s="11" t="n">
        <v>46289</v>
      </c>
      <c r="G325" s="12" t="n">
        <v>0</v>
      </c>
      <c r="H325" s="12" t="n">
        <v>165920</v>
      </c>
      <c r="I325" s="12" t="n">
        <v>165920</v>
      </c>
      <c r="J325" s="10" t="s">
        <v>747</v>
      </c>
      <c r="K325" s="10" t="s">
        <v>26</v>
      </c>
    </row>
    <row r="326" customFormat="false" ht="15" hidden="false" customHeight="false" outlineLevel="0" collapsed="false">
      <c r="A326" s="0" t="s">
        <v>659</v>
      </c>
      <c r="B326" s="0" t="s">
        <v>660</v>
      </c>
      <c r="C326" s="0" t="s">
        <v>661</v>
      </c>
      <c r="D326" s="0" t="s">
        <v>20</v>
      </c>
      <c r="E326" s="0" t="s">
        <v>748</v>
      </c>
      <c r="F326" s="11" t="n">
        <v>46289</v>
      </c>
      <c r="G326" s="12" t="n">
        <v>119109.24</v>
      </c>
      <c r="H326" s="12" t="n">
        <v>746000</v>
      </c>
      <c r="I326" s="12" t="n">
        <v>746000</v>
      </c>
      <c r="J326" s="10" t="s">
        <v>747</v>
      </c>
      <c r="K326" s="10" t="s">
        <v>16</v>
      </c>
    </row>
    <row r="327" customFormat="false" ht="15" hidden="false" customHeight="false" outlineLevel="0" collapsed="false">
      <c r="A327" s="0" t="s">
        <v>662</v>
      </c>
      <c r="B327" s="0" t="s">
        <v>663</v>
      </c>
      <c r="C327" s="0" t="s">
        <v>664</v>
      </c>
      <c r="D327" s="0" t="s">
        <v>20</v>
      </c>
      <c r="E327" s="0" t="s">
        <v>748</v>
      </c>
      <c r="F327" s="11" t="n">
        <v>46267</v>
      </c>
      <c r="G327" s="12" t="n">
        <v>19284</v>
      </c>
      <c r="H327" s="12" t="n">
        <v>865063</v>
      </c>
      <c r="I327" s="12" t="n">
        <v>865063</v>
      </c>
      <c r="J327" s="10" t="s">
        <v>747</v>
      </c>
      <c r="K327" s="10" t="s">
        <v>16</v>
      </c>
    </row>
    <row r="328" customFormat="false" ht="15" hidden="false" customHeight="false" outlineLevel="0" collapsed="false">
      <c r="A328" s="0" t="s">
        <v>662</v>
      </c>
      <c r="B328" s="0" t="s">
        <v>663</v>
      </c>
      <c r="C328" s="0" t="s">
        <v>665</v>
      </c>
      <c r="D328" s="0" t="s">
        <v>20</v>
      </c>
      <c r="E328" s="0" t="s">
        <v>748</v>
      </c>
      <c r="F328" s="11" t="n">
        <v>46267</v>
      </c>
      <c r="G328" s="12" t="n">
        <v>170983</v>
      </c>
      <c r="H328" s="12" t="n">
        <v>2658597</v>
      </c>
      <c r="I328" s="12" t="n">
        <v>2658597</v>
      </c>
      <c r="J328" s="10" t="s">
        <v>747</v>
      </c>
      <c r="K328" s="10" t="s">
        <v>16</v>
      </c>
    </row>
    <row r="329" customFormat="false" ht="15" hidden="false" customHeight="false" outlineLevel="0" collapsed="false">
      <c r="A329" s="0" t="s">
        <v>662</v>
      </c>
      <c r="B329" s="0" t="s">
        <v>663</v>
      </c>
      <c r="C329" s="0" t="s">
        <v>666</v>
      </c>
      <c r="D329" s="0" t="s">
        <v>20</v>
      </c>
      <c r="E329" s="0" t="s">
        <v>748</v>
      </c>
      <c r="F329" s="11" t="n">
        <v>46278</v>
      </c>
      <c r="G329" s="12" t="n">
        <v>22885</v>
      </c>
      <c r="H329" s="12" t="n">
        <v>143330</v>
      </c>
      <c r="I329" s="12" t="n">
        <v>143330</v>
      </c>
      <c r="J329" s="10" t="s">
        <v>747</v>
      </c>
      <c r="K329" s="10" t="s">
        <v>16</v>
      </c>
    </row>
    <row r="330" customFormat="false" ht="15" hidden="false" customHeight="false" outlineLevel="0" collapsed="false">
      <c r="A330" s="0" t="s">
        <v>667</v>
      </c>
      <c r="B330" s="0" t="s">
        <v>668</v>
      </c>
      <c r="C330" s="0" t="s">
        <v>669</v>
      </c>
      <c r="D330" s="0" t="s">
        <v>20</v>
      </c>
      <c r="E330" s="0" t="s">
        <v>748</v>
      </c>
      <c r="F330" s="11" t="n">
        <v>46268</v>
      </c>
      <c r="G330" s="12" t="n">
        <v>0</v>
      </c>
      <c r="H330" s="12" t="n">
        <v>672643</v>
      </c>
      <c r="I330" s="12" t="n">
        <v>672643</v>
      </c>
      <c r="J330" s="10" t="s">
        <v>747</v>
      </c>
      <c r="K330" s="10" t="s">
        <v>40</v>
      </c>
    </row>
    <row r="331" customFormat="false" ht="15" hidden="false" customHeight="false" outlineLevel="0" collapsed="false">
      <c r="A331" s="0" t="s">
        <v>667</v>
      </c>
      <c r="B331" s="0" t="s">
        <v>668</v>
      </c>
      <c r="C331" s="0" t="s">
        <v>670</v>
      </c>
      <c r="D331" s="0" t="s">
        <v>20</v>
      </c>
      <c r="E331" s="0" t="s">
        <v>748</v>
      </c>
      <c r="F331" s="11" t="n">
        <v>46268</v>
      </c>
      <c r="G331" s="12" t="n">
        <v>0</v>
      </c>
      <c r="H331" s="12" t="n">
        <v>401614</v>
      </c>
      <c r="I331" s="12" t="n">
        <v>401614</v>
      </c>
      <c r="J331" s="10" t="s">
        <v>747</v>
      </c>
      <c r="K331" s="10" t="s">
        <v>40</v>
      </c>
    </row>
    <row r="332" customFormat="false" ht="15" hidden="false" customHeight="false" outlineLevel="0" collapsed="false">
      <c r="A332" s="0" t="s">
        <v>667</v>
      </c>
      <c r="B332" s="0" t="s">
        <v>668</v>
      </c>
      <c r="C332" s="0" t="s">
        <v>671</v>
      </c>
      <c r="D332" s="0" t="s">
        <v>31</v>
      </c>
      <c r="E332" s="0" t="s">
        <v>748</v>
      </c>
      <c r="F332" s="11" t="n">
        <v>46274</v>
      </c>
      <c r="G332" s="12" t="n">
        <v>0</v>
      </c>
      <c r="H332" s="12" t="n">
        <v>115855</v>
      </c>
      <c r="I332" s="12" t="n">
        <v>-115855</v>
      </c>
      <c r="J332" s="10" t="s">
        <v>747</v>
      </c>
      <c r="K332" s="10" t="s">
        <v>26</v>
      </c>
    </row>
    <row r="333" customFormat="false" ht="15" hidden="false" customHeight="false" outlineLevel="0" collapsed="false">
      <c r="A333" s="0" t="s">
        <v>672</v>
      </c>
      <c r="B333" s="0" t="s">
        <v>673</v>
      </c>
      <c r="C333" s="0" t="s">
        <v>675</v>
      </c>
      <c r="D333" s="0" t="s">
        <v>20</v>
      </c>
      <c r="E333" s="0" t="s">
        <v>748</v>
      </c>
      <c r="F333" s="11" t="n">
        <v>46266</v>
      </c>
      <c r="G333" s="12" t="n">
        <v>8526.05</v>
      </c>
      <c r="H333" s="12" t="n">
        <v>53400</v>
      </c>
      <c r="I333" s="12" t="n">
        <v>53400</v>
      </c>
      <c r="J333" s="10" t="s">
        <v>747</v>
      </c>
      <c r="K333" s="10" t="s">
        <v>26</v>
      </c>
    </row>
    <row r="334" customFormat="false" ht="15" hidden="false" customHeight="false" outlineLevel="0" collapsed="false">
      <c r="A334" s="0" t="s">
        <v>672</v>
      </c>
      <c r="B334" s="0" t="s">
        <v>673</v>
      </c>
      <c r="C334" s="0" t="s">
        <v>676</v>
      </c>
      <c r="D334" s="0" t="s">
        <v>20</v>
      </c>
      <c r="E334" s="0" t="s">
        <v>748</v>
      </c>
      <c r="F334" s="11" t="n">
        <v>46274</v>
      </c>
      <c r="G334" s="12" t="n">
        <v>136752.1</v>
      </c>
      <c r="H334" s="12" t="n">
        <v>856500</v>
      </c>
      <c r="I334" s="12" t="n">
        <v>856500</v>
      </c>
      <c r="J334" s="10" t="s">
        <v>747</v>
      </c>
      <c r="K334" s="10" t="s">
        <v>16</v>
      </c>
    </row>
    <row r="335" customFormat="false" ht="15" hidden="false" customHeight="false" outlineLevel="0" collapsed="false">
      <c r="A335" s="0" t="s">
        <v>672</v>
      </c>
      <c r="B335" s="0" t="s">
        <v>673</v>
      </c>
      <c r="C335" s="0" t="s">
        <v>677</v>
      </c>
      <c r="D335" s="0" t="s">
        <v>20</v>
      </c>
      <c r="E335" s="0" t="s">
        <v>748</v>
      </c>
      <c r="F335" s="11" t="n">
        <v>46274</v>
      </c>
      <c r="G335" s="12" t="n">
        <v>7631.93</v>
      </c>
      <c r="H335" s="12" t="n">
        <v>47800</v>
      </c>
      <c r="I335" s="12" t="n">
        <v>47800</v>
      </c>
      <c r="J335" s="10" t="s">
        <v>747</v>
      </c>
      <c r="K335" s="10" t="s">
        <v>16</v>
      </c>
    </row>
    <row r="336" customFormat="false" ht="15" hidden="false" customHeight="false" outlineLevel="0" collapsed="false">
      <c r="A336" s="0" t="s">
        <v>672</v>
      </c>
      <c r="B336" s="0" t="s">
        <v>673</v>
      </c>
      <c r="C336" s="0" t="s">
        <v>683</v>
      </c>
      <c r="D336" s="0" t="s">
        <v>20</v>
      </c>
      <c r="E336" s="0" t="s">
        <v>748</v>
      </c>
      <c r="F336" s="11" t="n">
        <v>46275</v>
      </c>
      <c r="G336" s="12" t="n">
        <v>31916.81</v>
      </c>
      <c r="H336" s="12" t="n">
        <v>199900</v>
      </c>
      <c r="I336" s="12" t="n">
        <v>199900</v>
      </c>
      <c r="J336" s="10" t="s">
        <v>747</v>
      </c>
      <c r="K336" s="10" t="s">
        <v>16</v>
      </c>
    </row>
    <row r="337" customFormat="false" ht="15" hidden="false" customHeight="false" outlineLevel="0" collapsed="false">
      <c r="A337" s="0" t="s">
        <v>672</v>
      </c>
      <c r="B337" s="0" t="s">
        <v>673</v>
      </c>
      <c r="C337" s="0" t="s">
        <v>682</v>
      </c>
      <c r="D337" s="0" t="s">
        <v>20</v>
      </c>
      <c r="E337" s="0" t="s">
        <v>748</v>
      </c>
      <c r="F337" s="11" t="n">
        <v>46275</v>
      </c>
      <c r="G337" s="12" t="n">
        <v>384462.6</v>
      </c>
      <c r="H337" s="12" t="n">
        <v>2407950</v>
      </c>
      <c r="I337" s="12" t="n">
        <v>2407950</v>
      </c>
      <c r="J337" s="10" t="s">
        <v>747</v>
      </c>
      <c r="K337" s="10" t="s">
        <v>16</v>
      </c>
    </row>
    <row r="338" customFormat="false" ht="15" hidden="false" customHeight="false" outlineLevel="0" collapsed="false">
      <c r="A338" s="0" t="s">
        <v>672</v>
      </c>
      <c r="B338" s="0" t="s">
        <v>673</v>
      </c>
      <c r="C338" s="0" t="s">
        <v>684</v>
      </c>
      <c r="D338" s="0" t="s">
        <v>20</v>
      </c>
      <c r="E338" s="0" t="s">
        <v>748</v>
      </c>
      <c r="F338" s="11" t="n">
        <v>46275</v>
      </c>
      <c r="G338" s="12" t="n">
        <v>142891.18</v>
      </c>
      <c r="H338" s="12" t="n">
        <v>894950</v>
      </c>
      <c r="I338" s="12" t="n">
        <v>894950</v>
      </c>
      <c r="J338" s="10" t="s">
        <v>747</v>
      </c>
      <c r="K338" s="10" t="s">
        <v>16</v>
      </c>
    </row>
    <row r="339" customFormat="false" ht="15" hidden="false" customHeight="false" outlineLevel="0" collapsed="false">
      <c r="A339" s="0" t="s">
        <v>672</v>
      </c>
      <c r="B339" s="0" t="s">
        <v>673</v>
      </c>
      <c r="C339" s="0" t="s">
        <v>680</v>
      </c>
      <c r="D339" s="0" t="s">
        <v>20</v>
      </c>
      <c r="E339" s="0" t="s">
        <v>748</v>
      </c>
      <c r="F339" s="11" t="n">
        <v>46275</v>
      </c>
      <c r="G339" s="12" t="n">
        <v>17115.97</v>
      </c>
      <c r="H339" s="12" t="n">
        <v>292400</v>
      </c>
      <c r="I339" s="12" t="n">
        <v>292400</v>
      </c>
      <c r="J339" s="10" t="s">
        <v>747</v>
      </c>
      <c r="K339" s="10" t="s">
        <v>16</v>
      </c>
    </row>
    <row r="340" customFormat="false" ht="15" hidden="false" customHeight="false" outlineLevel="0" collapsed="false">
      <c r="A340" s="0" t="s">
        <v>672</v>
      </c>
      <c r="B340" s="0" t="s">
        <v>673</v>
      </c>
      <c r="C340" s="0" t="s">
        <v>679</v>
      </c>
      <c r="D340" s="0" t="s">
        <v>20</v>
      </c>
      <c r="E340" s="0" t="s">
        <v>748</v>
      </c>
      <c r="F340" s="11" t="n">
        <v>46275</v>
      </c>
      <c r="G340" s="12" t="n">
        <v>62524.37</v>
      </c>
      <c r="H340" s="12" t="n">
        <v>391600</v>
      </c>
      <c r="I340" s="12" t="n">
        <v>391600</v>
      </c>
      <c r="J340" s="10" t="s">
        <v>747</v>
      </c>
      <c r="K340" s="10" t="s">
        <v>16</v>
      </c>
    </row>
    <row r="341" customFormat="false" ht="15" hidden="false" customHeight="false" outlineLevel="0" collapsed="false">
      <c r="A341" s="0" t="s">
        <v>672</v>
      </c>
      <c r="B341" s="0" t="s">
        <v>673</v>
      </c>
      <c r="C341" s="0" t="s">
        <v>678</v>
      </c>
      <c r="D341" s="0" t="s">
        <v>31</v>
      </c>
      <c r="E341" s="0" t="s">
        <v>748</v>
      </c>
      <c r="F341" s="11" t="n">
        <v>46275</v>
      </c>
      <c r="G341" s="12" t="n">
        <v>16716.81</v>
      </c>
      <c r="H341" s="12" t="n">
        <v>104700</v>
      </c>
      <c r="I341" s="12" t="n">
        <v>-104700</v>
      </c>
      <c r="J341" s="10" t="s">
        <v>747</v>
      </c>
      <c r="K341" s="10" t="s">
        <v>26</v>
      </c>
    </row>
    <row r="342" customFormat="false" ht="15" hidden="false" customHeight="false" outlineLevel="0" collapsed="false">
      <c r="A342" s="0" t="s">
        <v>672</v>
      </c>
      <c r="B342" s="0" t="s">
        <v>673</v>
      </c>
      <c r="C342" s="0" t="s">
        <v>681</v>
      </c>
      <c r="D342" s="0" t="s">
        <v>31</v>
      </c>
      <c r="E342" s="0" t="s">
        <v>748</v>
      </c>
      <c r="F342" s="11" t="n">
        <v>46275</v>
      </c>
      <c r="G342" s="12" t="n">
        <v>62524.37</v>
      </c>
      <c r="H342" s="12" t="n">
        <v>391600</v>
      </c>
      <c r="I342" s="12" t="n">
        <v>-391600</v>
      </c>
      <c r="J342" s="10" t="s">
        <v>747</v>
      </c>
      <c r="K342" s="10" t="s">
        <v>26</v>
      </c>
    </row>
    <row r="343" customFormat="false" ht="15" hidden="false" customHeight="false" outlineLevel="0" collapsed="false">
      <c r="A343" s="0" t="s">
        <v>672</v>
      </c>
      <c r="B343" s="0" t="s">
        <v>673</v>
      </c>
      <c r="C343" s="0" t="s">
        <v>685</v>
      </c>
      <c r="D343" s="0" t="s">
        <v>20</v>
      </c>
      <c r="E343" s="0" t="s">
        <v>748</v>
      </c>
      <c r="F343" s="11" t="n">
        <v>46279</v>
      </c>
      <c r="G343" s="12" t="n">
        <v>40347.06</v>
      </c>
      <c r="H343" s="12" t="n">
        <v>252700</v>
      </c>
      <c r="I343" s="12" t="n">
        <v>252700</v>
      </c>
      <c r="J343" s="10" t="s">
        <v>747</v>
      </c>
      <c r="K343" s="10" t="s">
        <v>16</v>
      </c>
    </row>
    <row r="344" customFormat="false" ht="15" hidden="false" customHeight="false" outlineLevel="0" collapsed="false">
      <c r="A344" s="0" t="s">
        <v>672</v>
      </c>
      <c r="B344" s="0" t="s">
        <v>673</v>
      </c>
      <c r="C344" s="0" t="s">
        <v>686</v>
      </c>
      <c r="D344" s="0" t="s">
        <v>20</v>
      </c>
      <c r="E344" s="0" t="s">
        <v>748</v>
      </c>
      <c r="F344" s="11" t="n">
        <v>46279</v>
      </c>
      <c r="G344" s="12" t="n">
        <v>19255.47</v>
      </c>
      <c r="H344" s="12" t="n">
        <v>120600</v>
      </c>
      <c r="I344" s="12" t="n">
        <v>120600</v>
      </c>
      <c r="J344" s="10" t="s">
        <v>747</v>
      </c>
      <c r="K344" s="10" t="s">
        <v>26</v>
      </c>
    </row>
    <row r="345" customFormat="false" ht="15" hidden="false" customHeight="false" outlineLevel="0" collapsed="false">
      <c r="A345" s="0" t="s">
        <v>672</v>
      </c>
      <c r="B345" s="0" t="s">
        <v>673</v>
      </c>
      <c r="C345" s="0" t="s">
        <v>687</v>
      </c>
      <c r="D345" s="0" t="s">
        <v>20</v>
      </c>
      <c r="E345" s="0" t="s">
        <v>748</v>
      </c>
      <c r="F345" s="11" t="n">
        <v>46281</v>
      </c>
      <c r="G345" s="12" t="n">
        <v>5173.11</v>
      </c>
      <c r="H345" s="12" t="n">
        <v>32400</v>
      </c>
      <c r="I345" s="12" t="n">
        <v>32400</v>
      </c>
      <c r="J345" s="10" t="s">
        <v>747</v>
      </c>
      <c r="K345" s="10" t="s">
        <v>16</v>
      </c>
    </row>
    <row r="346" customFormat="false" ht="15" hidden="false" customHeight="false" outlineLevel="0" collapsed="false">
      <c r="A346" s="0" t="s">
        <v>672</v>
      </c>
      <c r="B346" s="0" t="s">
        <v>673</v>
      </c>
      <c r="C346" s="0" t="s">
        <v>688</v>
      </c>
      <c r="D346" s="0" t="s">
        <v>31</v>
      </c>
      <c r="E346" s="0" t="s">
        <v>748</v>
      </c>
      <c r="F346" s="11" t="n">
        <v>46286</v>
      </c>
      <c r="G346" s="12" t="n">
        <v>6370.59</v>
      </c>
      <c r="H346" s="12" t="n">
        <v>39900</v>
      </c>
      <c r="I346" s="12" t="n">
        <v>-39900</v>
      </c>
      <c r="J346" s="10" t="s">
        <v>747</v>
      </c>
      <c r="K346" s="10" t="s">
        <v>26</v>
      </c>
    </row>
    <row r="347" customFormat="false" ht="15" hidden="false" customHeight="false" outlineLevel="0" collapsed="false">
      <c r="A347" s="0" t="s">
        <v>672</v>
      </c>
      <c r="B347" s="0" t="s">
        <v>673</v>
      </c>
      <c r="C347" s="0" t="s">
        <v>689</v>
      </c>
      <c r="D347" s="0" t="s">
        <v>20</v>
      </c>
      <c r="E347" s="0" t="s">
        <v>748</v>
      </c>
      <c r="F347" s="11" t="n">
        <v>46286</v>
      </c>
      <c r="G347" s="12" t="n">
        <v>47021.02</v>
      </c>
      <c r="H347" s="12" t="n">
        <v>294500</v>
      </c>
      <c r="I347" s="12" t="n">
        <v>294500</v>
      </c>
      <c r="J347" s="10" t="s">
        <v>747</v>
      </c>
      <c r="K347" s="10" t="s">
        <v>16</v>
      </c>
    </row>
    <row r="348" customFormat="false" ht="15" hidden="false" customHeight="false" outlineLevel="0" collapsed="false">
      <c r="A348" s="0" t="s">
        <v>672</v>
      </c>
      <c r="B348" s="0" t="s">
        <v>673</v>
      </c>
      <c r="C348" s="0" t="s">
        <v>690</v>
      </c>
      <c r="D348" s="0" t="s">
        <v>20</v>
      </c>
      <c r="E348" s="0" t="s">
        <v>748</v>
      </c>
      <c r="F348" s="11" t="n">
        <v>46289</v>
      </c>
      <c r="G348" s="12" t="n">
        <v>2538.66</v>
      </c>
      <c r="H348" s="12" t="n">
        <v>15900</v>
      </c>
      <c r="I348" s="12" t="n">
        <v>15900</v>
      </c>
      <c r="J348" s="10" t="s">
        <v>747</v>
      </c>
      <c r="K348" s="10" t="s">
        <v>16</v>
      </c>
    </row>
    <row r="349" customFormat="false" ht="15" hidden="false" customHeight="false" outlineLevel="0" collapsed="false">
      <c r="A349" s="0" t="s">
        <v>672</v>
      </c>
      <c r="B349" s="0" t="s">
        <v>673</v>
      </c>
      <c r="C349" s="0" t="s">
        <v>691</v>
      </c>
      <c r="D349" s="0" t="s">
        <v>20</v>
      </c>
      <c r="E349" s="0" t="s">
        <v>748</v>
      </c>
      <c r="F349" s="11" t="n">
        <v>46290</v>
      </c>
      <c r="G349" s="12" t="n">
        <v>12821</v>
      </c>
      <c r="H349" s="12" t="n">
        <v>80300</v>
      </c>
      <c r="I349" s="12" t="n">
        <v>80300</v>
      </c>
      <c r="J349" s="10" t="s">
        <v>747</v>
      </c>
      <c r="K349" s="10" t="s">
        <v>16</v>
      </c>
    </row>
    <row r="350" customFormat="false" ht="15" hidden="false" customHeight="false" outlineLevel="0" collapsed="false">
      <c r="A350" s="0" t="s">
        <v>672</v>
      </c>
      <c r="B350" s="0" t="s">
        <v>673</v>
      </c>
      <c r="C350" s="0" t="s">
        <v>692</v>
      </c>
      <c r="D350" s="0" t="s">
        <v>20</v>
      </c>
      <c r="E350" s="0" t="s">
        <v>748</v>
      </c>
      <c r="F350" s="11" t="n">
        <v>46291</v>
      </c>
      <c r="G350" s="12" t="n">
        <v>14479.27</v>
      </c>
      <c r="H350" s="12" t="n">
        <v>90686</v>
      </c>
      <c r="I350" s="12" t="n">
        <v>90686</v>
      </c>
      <c r="J350" s="10" t="s">
        <v>747</v>
      </c>
      <c r="K350" s="10" t="s">
        <v>16</v>
      </c>
    </row>
    <row r="351" customFormat="false" ht="15" hidden="false" customHeight="false" outlineLevel="0" collapsed="false">
      <c r="A351" s="0" t="s">
        <v>672</v>
      </c>
      <c r="B351" s="0" t="s">
        <v>673</v>
      </c>
      <c r="C351" s="0" t="s">
        <v>693</v>
      </c>
      <c r="D351" s="0" t="s">
        <v>20</v>
      </c>
      <c r="E351" s="0" t="s">
        <v>748</v>
      </c>
      <c r="F351" s="11" t="n">
        <v>46293</v>
      </c>
      <c r="G351" s="12" t="n">
        <v>14976.46</v>
      </c>
      <c r="H351" s="12" t="n">
        <v>93800</v>
      </c>
      <c r="I351" s="12" t="n">
        <v>93800</v>
      </c>
      <c r="J351" s="10" t="s">
        <v>747</v>
      </c>
      <c r="K351" s="10" t="s">
        <v>26</v>
      </c>
    </row>
    <row r="352" customFormat="false" ht="15" hidden="false" customHeight="false" outlineLevel="0" collapsed="false">
      <c r="A352" s="0" t="s">
        <v>694</v>
      </c>
      <c r="B352" s="0" t="s">
        <v>695</v>
      </c>
      <c r="C352" s="0" t="s">
        <v>696</v>
      </c>
      <c r="D352" s="0" t="s">
        <v>20</v>
      </c>
      <c r="E352" s="0" t="s">
        <v>748</v>
      </c>
      <c r="F352" s="11" t="n">
        <v>46280</v>
      </c>
      <c r="G352" s="12" t="n">
        <v>1167796.05</v>
      </c>
      <c r="H352" s="12" t="n">
        <v>14542891.05</v>
      </c>
      <c r="I352" s="12" t="n">
        <v>14542891.05</v>
      </c>
      <c r="J352" s="10" t="s">
        <v>747</v>
      </c>
      <c r="K352" s="10" t="s">
        <v>26</v>
      </c>
    </row>
    <row r="353" customFormat="false" ht="15" hidden="false" customHeight="false" outlineLevel="0" collapsed="false">
      <c r="A353" s="0" t="s">
        <v>694</v>
      </c>
      <c r="B353" s="0" t="s">
        <v>695</v>
      </c>
      <c r="C353" s="0" t="s">
        <v>697</v>
      </c>
      <c r="D353" s="0" t="s">
        <v>20</v>
      </c>
      <c r="E353" s="0" t="s">
        <v>748</v>
      </c>
      <c r="F353" s="11" t="n">
        <v>46280</v>
      </c>
      <c r="G353" s="12" t="n">
        <v>804892.82</v>
      </c>
      <c r="H353" s="12" t="n">
        <v>8656670.82</v>
      </c>
      <c r="I353" s="12" t="n">
        <v>8656670.82</v>
      </c>
      <c r="J353" s="10" t="s">
        <v>747</v>
      </c>
      <c r="K353" s="10" t="s">
        <v>26</v>
      </c>
    </row>
    <row r="354" customFormat="false" ht="15" hidden="false" customHeight="false" outlineLevel="0" collapsed="false">
      <c r="A354" s="0" t="s">
        <v>698</v>
      </c>
      <c r="B354" s="0" t="s">
        <v>699</v>
      </c>
      <c r="C354" s="0" t="s">
        <v>700</v>
      </c>
      <c r="D354" s="0" t="s">
        <v>20</v>
      </c>
      <c r="E354" s="0" t="s">
        <v>748</v>
      </c>
      <c r="F354" s="11" t="n">
        <v>46276</v>
      </c>
      <c r="G354" s="12" t="n">
        <v>89539</v>
      </c>
      <c r="H354" s="12" t="n">
        <v>560799</v>
      </c>
      <c r="I354" s="12" t="n">
        <v>560799</v>
      </c>
      <c r="J354" s="10" t="s">
        <v>747</v>
      </c>
      <c r="K354" s="10" t="s">
        <v>16</v>
      </c>
    </row>
    <row r="355" customFormat="false" ht="15" hidden="false" customHeight="false" outlineLevel="0" collapsed="false">
      <c r="A355" s="0" t="s">
        <v>701</v>
      </c>
      <c r="B355" s="0" t="s">
        <v>702</v>
      </c>
      <c r="C355" s="0" t="s">
        <v>703</v>
      </c>
      <c r="D355" s="0" t="s">
        <v>15</v>
      </c>
      <c r="E355" s="0" t="s">
        <v>746</v>
      </c>
      <c r="F355" s="11" t="n">
        <v>46279</v>
      </c>
      <c r="G355" s="12" t="n">
        <v>0</v>
      </c>
      <c r="H355" s="12" t="n">
        <v>1626400</v>
      </c>
      <c r="I355" s="12" t="n">
        <v>1626400</v>
      </c>
      <c r="J355" s="10" t="s">
        <v>747</v>
      </c>
      <c r="K355" s="10" t="s">
        <v>40</v>
      </c>
    </row>
    <row r="356" customFormat="false" ht="15" hidden="false" customHeight="false" outlineLevel="0" collapsed="false">
      <c r="A356" s="0" t="s">
        <v>704</v>
      </c>
      <c r="B356" s="0" t="s">
        <v>705</v>
      </c>
      <c r="C356" s="0" t="s">
        <v>706</v>
      </c>
      <c r="D356" s="0" t="s">
        <v>20</v>
      </c>
      <c r="E356" s="0" t="s">
        <v>748</v>
      </c>
      <c r="F356" s="11" t="n">
        <v>46289</v>
      </c>
      <c r="G356" s="12" t="n">
        <v>10537.81</v>
      </c>
      <c r="H356" s="12" t="n">
        <v>66000</v>
      </c>
      <c r="I356" s="12" t="n">
        <v>66000</v>
      </c>
      <c r="J356" s="10" t="s">
        <v>747</v>
      </c>
      <c r="K356" s="10" t="s">
        <v>16</v>
      </c>
    </row>
    <row r="357" customFormat="false" ht="15" hidden="false" customHeight="false" outlineLevel="0" collapsed="false">
      <c r="A357" s="0" t="s">
        <v>704</v>
      </c>
      <c r="B357" s="0" t="s">
        <v>705</v>
      </c>
      <c r="C357" s="0" t="s">
        <v>707</v>
      </c>
      <c r="D357" s="0" t="s">
        <v>20</v>
      </c>
      <c r="E357" s="0" t="s">
        <v>748</v>
      </c>
      <c r="F357" s="11" t="n">
        <v>46290</v>
      </c>
      <c r="G357" s="12" t="n">
        <v>3193.28</v>
      </c>
      <c r="H357" s="12" t="n">
        <v>20000</v>
      </c>
      <c r="I357" s="12" t="n">
        <v>20000</v>
      </c>
      <c r="J357" s="10" t="s">
        <v>747</v>
      </c>
      <c r="K357" s="10" t="s">
        <v>16</v>
      </c>
    </row>
    <row r="358" customFormat="false" ht="15" hidden="false" customHeight="false" outlineLevel="0" collapsed="false">
      <c r="A358" s="0" t="s">
        <v>708</v>
      </c>
      <c r="B358" s="0" t="s">
        <v>709</v>
      </c>
      <c r="C358" s="0" t="s">
        <v>710</v>
      </c>
      <c r="D358" s="0" t="s">
        <v>20</v>
      </c>
      <c r="E358" s="0" t="s">
        <v>748</v>
      </c>
      <c r="F358" s="11" t="n">
        <v>46286</v>
      </c>
      <c r="G358" s="12" t="n">
        <v>0</v>
      </c>
      <c r="H358" s="12" t="n">
        <v>43820</v>
      </c>
      <c r="I358" s="12" t="n">
        <v>43820</v>
      </c>
      <c r="J358" s="10" t="s">
        <v>747</v>
      </c>
      <c r="K358" s="10" t="s">
        <v>16</v>
      </c>
    </row>
    <row r="359" customFormat="false" ht="15" hidden="false" customHeight="false" outlineLevel="0" collapsed="false">
      <c r="A359" s="0" t="s">
        <v>708</v>
      </c>
      <c r="B359" s="0" t="s">
        <v>709</v>
      </c>
      <c r="C359" s="0" t="s">
        <v>711</v>
      </c>
      <c r="D359" s="0" t="s">
        <v>20</v>
      </c>
      <c r="E359" s="0" t="s">
        <v>748</v>
      </c>
      <c r="F359" s="11" t="n">
        <v>46287</v>
      </c>
      <c r="G359" s="12" t="n">
        <v>0</v>
      </c>
      <c r="H359" s="12" t="n">
        <v>639660</v>
      </c>
      <c r="I359" s="12" t="n">
        <v>639660</v>
      </c>
      <c r="J359" s="10" t="s">
        <v>747</v>
      </c>
      <c r="K359" s="10" t="s">
        <v>16</v>
      </c>
    </row>
    <row r="360" customFormat="false" ht="15" hidden="false" customHeight="false" outlineLevel="0" collapsed="false">
      <c r="A360" s="0" t="s">
        <v>712</v>
      </c>
      <c r="B360" s="0" t="s">
        <v>713</v>
      </c>
      <c r="C360" s="0" t="s">
        <v>714</v>
      </c>
      <c r="D360" s="0" t="s">
        <v>20</v>
      </c>
      <c r="E360" s="0" t="s">
        <v>748</v>
      </c>
      <c r="F360" s="11" t="n">
        <v>46266</v>
      </c>
      <c r="G360" s="12" t="n">
        <v>7983.19</v>
      </c>
      <c r="H360" s="12" t="n">
        <v>50000</v>
      </c>
      <c r="I360" s="12" t="n">
        <v>50000</v>
      </c>
      <c r="J360" s="10" t="s">
        <v>747</v>
      </c>
      <c r="K360" s="10" t="s">
        <v>16</v>
      </c>
    </row>
    <row r="361" customFormat="false" ht="15" hidden="false" customHeight="false" outlineLevel="0" collapsed="false">
      <c r="A361" s="0" t="s">
        <v>712</v>
      </c>
      <c r="B361" s="0" t="s">
        <v>713</v>
      </c>
      <c r="C361" s="0" t="s">
        <v>715</v>
      </c>
      <c r="D361" s="0" t="s">
        <v>20</v>
      </c>
      <c r="E361" s="0" t="s">
        <v>748</v>
      </c>
      <c r="F361" s="11" t="n">
        <v>46269</v>
      </c>
      <c r="G361" s="12" t="n">
        <v>5588.23</v>
      </c>
      <c r="H361" s="12" t="n">
        <v>35000</v>
      </c>
      <c r="I361" s="12" t="n">
        <v>35000</v>
      </c>
      <c r="J361" s="10" t="s">
        <v>747</v>
      </c>
      <c r="K361" s="10" t="s">
        <v>16</v>
      </c>
    </row>
    <row r="362" customFormat="false" ht="15" hidden="false" customHeight="false" outlineLevel="0" collapsed="false">
      <c r="A362" s="0" t="s">
        <v>712</v>
      </c>
      <c r="B362" s="0" t="s">
        <v>713</v>
      </c>
      <c r="C362" s="0" t="s">
        <v>716</v>
      </c>
      <c r="D362" s="0" t="s">
        <v>20</v>
      </c>
      <c r="E362" s="0" t="s">
        <v>748</v>
      </c>
      <c r="F362" s="11" t="n">
        <v>46293</v>
      </c>
      <c r="G362" s="12" t="n">
        <v>14210.08</v>
      </c>
      <c r="H362" s="12" t="n">
        <v>89000</v>
      </c>
      <c r="I362" s="12" t="n">
        <v>89000</v>
      </c>
      <c r="J362" s="10" t="s">
        <v>747</v>
      </c>
      <c r="K362" s="10" t="s">
        <v>16</v>
      </c>
    </row>
    <row r="363" customFormat="false" ht="15" hidden="false" customHeight="false" outlineLevel="0" collapsed="false">
      <c r="A363" s="0" t="s">
        <v>717</v>
      </c>
      <c r="B363" s="0" t="s">
        <v>718</v>
      </c>
      <c r="C363" s="0" t="s">
        <v>719</v>
      </c>
      <c r="D363" s="0" t="s">
        <v>20</v>
      </c>
      <c r="E363" s="0" t="s">
        <v>748</v>
      </c>
      <c r="F363" s="11" t="n">
        <v>46272</v>
      </c>
      <c r="G363" s="12" t="n">
        <v>0</v>
      </c>
      <c r="H363" s="12" t="n">
        <v>806247</v>
      </c>
      <c r="I363" s="12" t="n">
        <v>806247</v>
      </c>
      <c r="J363" s="10" t="s">
        <v>747</v>
      </c>
      <c r="K363" s="10" t="s">
        <v>16</v>
      </c>
    </row>
    <row r="364" customFormat="false" ht="15" hidden="false" customHeight="false" outlineLevel="0" collapsed="false">
      <c r="A364" s="0" t="s">
        <v>717</v>
      </c>
      <c r="B364" s="0" t="s">
        <v>718</v>
      </c>
      <c r="C364" s="0" t="s">
        <v>720</v>
      </c>
      <c r="D364" s="0" t="s">
        <v>20</v>
      </c>
      <c r="E364" s="0" t="s">
        <v>748</v>
      </c>
      <c r="F364" s="11" t="n">
        <v>46279</v>
      </c>
      <c r="G364" s="12" t="n">
        <v>0</v>
      </c>
      <c r="H364" s="12" t="n">
        <v>725860</v>
      </c>
      <c r="I364" s="12" t="n">
        <v>725860</v>
      </c>
      <c r="J364" s="10" t="s">
        <v>747</v>
      </c>
      <c r="K364" s="10" t="s">
        <v>16</v>
      </c>
    </row>
    <row r="365" customFormat="false" ht="15" hidden="false" customHeight="false" outlineLevel="0" collapsed="false">
      <c r="A365" s="0" t="s">
        <v>717</v>
      </c>
      <c r="B365" s="0" t="s">
        <v>718</v>
      </c>
      <c r="C365" s="0" t="s">
        <v>721</v>
      </c>
      <c r="D365" s="0" t="s">
        <v>20</v>
      </c>
      <c r="E365" s="0" t="s">
        <v>748</v>
      </c>
      <c r="F365" s="11" t="n">
        <v>46286</v>
      </c>
      <c r="G365" s="12" t="n">
        <v>0</v>
      </c>
      <c r="H365" s="12" t="n">
        <v>444843</v>
      </c>
      <c r="I365" s="12" t="n">
        <v>444843</v>
      </c>
      <c r="J365" s="10" t="s">
        <v>747</v>
      </c>
      <c r="K365" s="10" t="s">
        <v>16</v>
      </c>
    </row>
    <row r="366" customFormat="false" ht="15" hidden="false" customHeight="false" outlineLevel="0" collapsed="false">
      <c r="A366" s="0" t="s">
        <v>717</v>
      </c>
      <c r="B366" s="0" t="s">
        <v>718</v>
      </c>
      <c r="C366" s="0" t="s">
        <v>722</v>
      </c>
      <c r="D366" s="0" t="s">
        <v>20</v>
      </c>
      <c r="E366" s="0" t="s">
        <v>748</v>
      </c>
      <c r="F366" s="11" t="n">
        <v>46293</v>
      </c>
      <c r="G366" s="12" t="n">
        <v>0</v>
      </c>
      <c r="H366" s="12" t="n">
        <v>483640</v>
      </c>
      <c r="I366" s="12" t="n">
        <v>483640</v>
      </c>
      <c r="J366" s="10" t="s">
        <v>747</v>
      </c>
      <c r="K366" s="10" t="s">
        <v>16</v>
      </c>
    </row>
    <row r="367" customFormat="false" ht="15" hidden="false" customHeight="false" outlineLevel="0" collapsed="false">
      <c r="A367" s="0" t="s">
        <v>723</v>
      </c>
      <c r="B367" s="0" t="s">
        <v>724</v>
      </c>
      <c r="C367" s="0" t="s">
        <v>725</v>
      </c>
      <c r="D367" s="0" t="s">
        <v>20</v>
      </c>
      <c r="E367" s="0" t="s">
        <v>748</v>
      </c>
      <c r="F367" s="11" t="n">
        <v>46275</v>
      </c>
      <c r="G367" s="12" t="n">
        <v>447.07</v>
      </c>
      <c r="H367" s="12" t="n">
        <v>2800.07</v>
      </c>
      <c r="I367" s="12" t="n">
        <v>2800.07</v>
      </c>
      <c r="J367" s="10" t="s">
        <v>747</v>
      </c>
      <c r="K367" s="10" t="s">
        <v>26</v>
      </c>
    </row>
    <row r="368" customFormat="false" ht="15" hidden="false" customHeight="false" outlineLevel="0" collapsed="false">
      <c r="A368" s="0" t="s">
        <v>726</v>
      </c>
      <c r="B368" s="0" t="s">
        <v>727</v>
      </c>
      <c r="C368" s="0" t="s">
        <v>728</v>
      </c>
      <c r="D368" s="0" t="s">
        <v>20</v>
      </c>
      <c r="E368" s="0" t="s">
        <v>748</v>
      </c>
      <c r="F368" s="11" t="n">
        <v>46267</v>
      </c>
      <c r="G368" s="12" t="n">
        <v>0</v>
      </c>
      <c r="H368" s="12" t="n">
        <v>7500000</v>
      </c>
      <c r="I368" s="12" t="n">
        <v>7500000</v>
      </c>
      <c r="J368" s="10" t="s">
        <v>747</v>
      </c>
      <c r="K368" s="10" t="s">
        <v>16</v>
      </c>
    </row>
    <row r="369" customFormat="false" ht="15" hidden="false" customHeight="false" outlineLevel="0" collapsed="false">
      <c r="A369" s="0" t="s">
        <v>729</v>
      </c>
      <c r="B369" s="0" t="s">
        <v>730</v>
      </c>
      <c r="C369" s="0" t="s">
        <v>731</v>
      </c>
      <c r="D369" s="0" t="s">
        <v>20</v>
      </c>
      <c r="E369" s="0" t="s">
        <v>748</v>
      </c>
      <c r="F369" s="11" t="n">
        <v>46275</v>
      </c>
      <c r="G369" s="12" t="n">
        <v>0</v>
      </c>
      <c r="H369" s="12" t="n">
        <v>690000</v>
      </c>
      <c r="I369" s="12" t="n">
        <v>690000</v>
      </c>
      <c r="J369" s="10" t="s">
        <v>747</v>
      </c>
      <c r="K369" s="10" t="s">
        <v>16</v>
      </c>
    </row>
    <row r="370" customFormat="false" ht="15" hidden="false" customHeight="false" outlineLevel="0" collapsed="false">
      <c r="A370" s="0" t="s">
        <v>729</v>
      </c>
      <c r="B370" s="0" t="s">
        <v>730</v>
      </c>
      <c r="C370" s="0" t="s">
        <v>732</v>
      </c>
      <c r="D370" s="0" t="s">
        <v>20</v>
      </c>
      <c r="E370" s="0" t="s">
        <v>748</v>
      </c>
      <c r="F370" s="11" t="n">
        <v>46277</v>
      </c>
      <c r="G370" s="12" t="n">
        <v>0</v>
      </c>
      <c r="H370" s="12" t="n">
        <v>303000</v>
      </c>
      <c r="I370" s="12" t="n">
        <v>303000</v>
      </c>
      <c r="J370" s="10" t="s">
        <v>747</v>
      </c>
      <c r="K370" s="10" t="s">
        <v>16</v>
      </c>
    </row>
    <row r="371" customFormat="false" ht="15" hidden="false" customHeight="false" outlineLevel="0" collapsed="false">
      <c r="A371" s="0" t="s">
        <v>733</v>
      </c>
      <c r="B371" s="0" t="s">
        <v>734</v>
      </c>
      <c r="C371" s="0" t="s">
        <v>735</v>
      </c>
      <c r="D371" s="0" t="s">
        <v>20</v>
      </c>
      <c r="E371" s="0" t="s">
        <v>748</v>
      </c>
      <c r="F371" s="11" t="n">
        <v>46279</v>
      </c>
      <c r="G371" s="12" t="n">
        <v>357960</v>
      </c>
      <c r="H371" s="12" t="n">
        <v>2241960</v>
      </c>
      <c r="I371" s="12" t="n">
        <v>2241960</v>
      </c>
      <c r="J371" s="10" t="s">
        <v>747</v>
      </c>
      <c r="K371" s="10" t="s">
        <v>16</v>
      </c>
    </row>
    <row r="372" customFormat="false" ht="15" hidden="false" customHeight="false" outlineLevel="0" collapsed="false">
      <c r="A372" s="0" t="s">
        <v>736</v>
      </c>
      <c r="B372" s="0" t="s">
        <v>737</v>
      </c>
      <c r="C372" s="0" t="s">
        <v>738</v>
      </c>
      <c r="D372" s="0" t="s">
        <v>15</v>
      </c>
      <c r="E372" s="0" t="s">
        <v>746</v>
      </c>
      <c r="F372" s="11" t="n">
        <v>46274</v>
      </c>
      <c r="G372" s="12" t="n">
        <v>0</v>
      </c>
      <c r="H372" s="12" t="n">
        <v>1735000</v>
      </c>
      <c r="I372" s="12" t="n">
        <v>1735000</v>
      </c>
      <c r="J372" s="10" t="s">
        <v>747</v>
      </c>
      <c r="K372" s="10" t="s">
        <v>16</v>
      </c>
    </row>
    <row r="373" customFormat="false" ht="15" hidden="false" customHeight="false" outlineLevel="0" collapsed="false">
      <c r="A373" s="0" t="s">
        <v>736</v>
      </c>
      <c r="B373" s="0" t="s">
        <v>737</v>
      </c>
      <c r="C373" s="0" t="s">
        <v>739</v>
      </c>
      <c r="D373" s="0" t="s">
        <v>15</v>
      </c>
      <c r="E373" s="0" t="s">
        <v>746</v>
      </c>
      <c r="F373" s="11" t="n">
        <v>46274</v>
      </c>
      <c r="G373" s="12" t="n">
        <v>0</v>
      </c>
      <c r="H373" s="12" t="n">
        <v>1725000</v>
      </c>
      <c r="I373" s="12" t="n">
        <v>1725000</v>
      </c>
      <c r="J373" s="10" t="s">
        <v>747</v>
      </c>
      <c r="K373" s="10" t="s">
        <v>16</v>
      </c>
    </row>
    <row r="374" customFormat="false" ht="15" hidden="false" customHeight="false" outlineLevel="0" collapsed="false">
      <c r="A374" s="0" t="s">
        <v>740</v>
      </c>
      <c r="B374" s="0" t="s">
        <v>741</v>
      </c>
      <c r="C374" s="0" t="s">
        <v>742</v>
      </c>
      <c r="D374" s="0" t="s">
        <v>20</v>
      </c>
      <c r="E374" s="0" t="s">
        <v>748</v>
      </c>
      <c r="F374" s="11" t="n">
        <v>46266</v>
      </c>
      <c r="G374" s="12" t="n">
        <v>0</v>
      </c>
      <c r="H374" s="12" t="n">
        <v>704700</v>
      </c>
      <c r="I374" s="12" t="n">
        <v>704700</v>
      </c>
      <c r="J374" s="10" t="s">
        <v>747</v>
      </c>
      <c r="K374" s="10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2026-10-13T19:52:55Z</dcterms:created>
  <dc:creator>openpyxl</dc:creator>
  <dc:description/>
  <dc:language>en-US</dc:language>
  <cp:lastModifiedBy/>
  <dcterms:modified xsi:type="dcterms:W3CDTF">2026-10-13T19:52:56Z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